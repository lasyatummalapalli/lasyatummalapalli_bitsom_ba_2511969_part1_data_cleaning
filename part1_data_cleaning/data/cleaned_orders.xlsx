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mmalapalli\Desktop\part1_data_cleaning\data\"/>
    </mc:Choice>
  </mc:AlternateContent>
  <xr:revisionPtr revIDLastSave="0" documentId="13_ncr:1_{0D82CD58-1E21-4844-BD54-C6F653D71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4" r:id="rId1"/>
    <sheet name="business_rules" sheetId="2" r:id="rId2"/>
  </sheets>
  <definedNames>
    <definedName name="_xlnm._FilterDatabase" localSheetId="0" hidden="1">raw_orders!$A$1:$Y$933</definedName>
  </definedNames>
  <calcPr calcId="191029"/>
</workbook>
</file>

<file path=xl/calcChain.xml><?xml version="1.0" encoding="utf-8"?>
<calcChain xmlns="http://schemas.openxmlformats.org/spreadsheetml/2006/main">
  <c r="AH3" i="4" l="1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Z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2" i="4"/>
  <c r="AH2" i="4"/>
  <c r="AC3" i="4"/>
  <c r="AC4" i="4"/>
  <c r="AC5" i="4"/>
  <c r="AE5" i="4" s="1"/>
  <c r="AF5" i="4" s="1"/>
  <c r="AK5" i="4" s="1"/>
  <c r="AC6" i="4"/>
  <c r="AE6" i="4" s="1"/>
  <c r="AC7" i="4"/>
  <c r="AC8" i="4"/>
  <c r="AD8" i="4" s="1"/>
  <c r="AC9" i="4"/>
  <c r="AE9" i="4" s="1"/>
  <c r="AC10" i="4"/>
  <c r="AE10" i="4" s="1"/>
  <c r="AC11" i="4"/>
  <c r="AC12" i="4"/>
  <c r="AC13" i="4"/>
  <c r="AD13" i="4" s="1"/>
  <c r="AC14" i="4"/>
  <c r="AE14" i="4" s="1"/>
  <c r="AC15" i="4"/>
  <c r="AE15" i="4" s="1"/>
  <c r="AC16" i="4"/>
  <c r="AC17" i="4"/>
  <c r="AE17" i="4" s="1"/>
  <c r="AC18" i="4"/>
  <c r="AE18" i="4" s="1"/>
  <c r="AC19" i="4"/>
  <c r="AC20" i="4"/>
  <c r="AE20" i="4" s="1"/>
  <c r="AC21" i="4"/>
  <c r="AC22" i="4"/>
  <c r="AC23" i="4"/>
  <c r="AE23" i="4" s="1"/>
  <c r="AC24" i="4"/>
  <c r="AE24" i="4" s="1"/>
  <c r="AC25" i="4"/>
  <c r="AD25" i="4" s="1"/>
  <c r="AC26" i="4"/>
  <c r="AE26" i="4" s="1"/>
  <c r="AC27" i="4"/>
  <c r="AC28" i="4"/>
  <c r="AE28" i="4" s="1"/>
  <c r="AC29" i="4"/>
  <c r="AC30" i="4"/>
  <c r="AC31" i="4"/>
  <c r="AC32" i="4"/>
  <c r="AE32" i="4" s="1"/>
  <c r="AC33" i="4"/>
  <c r="AC34" i="4"/>
  <c r="AC35" i="4"/>
  <c r="AC36" i="4"/>
  <c r="AE36" i="4" s="1"/>
  <c r="AC37" i="4"/>
  <c r="AC38" i="4"/>
  <c r="AD38" i="4" s="1"/>
  <c r="AC39" i="4"/>
  <c r="AC40" i="4"/>
  <c r="AC41" i="4"/>
  <c r="AC42" i="4"/>
  <c r="AE42" i="4" s="1"/>
  <c r="AC43" i="4"/>
  <c r="AC44" i="4"/>
  <c r="AC45" i="4"/>
  <c r="AC46" i="4"/>
  <c r="AE46" i="4" s="1"/>
  <c r="AC47" i="4"/>
  <c r="AE47" i="4" s="1"/>
  <c r="AC48" i="4"/>
  <c r="AC49" i="4"/>
  <c r="AC50" i="4"/>
  <c r="AE50" i="4" s="1"/>
  <c r="AC51" i="4"/>
  <c r="AC52" i="4"/>
  <c r="AD52" i="4" s="1"/>
  <c r="AC53" i="4"/>
  <c r="AC54" i="4"/>
  <c r="AE54" i="4" s="1"/>
  <c r="AC55" i="4"/>
  <c r="AE55" i="4" s="1"/>
  <c r="AC56" i="4"/>
  <c r="AE56" i="4" s="1"/>
  <c r="AC57" i="4"/>
  <c r="AC58" i="4"/>
  <c r="AC59" i="4"/>
  <c r="AC60" i="4"/>
  <c r="AE60" i="4" s="1"/>
  <c r="AC61" i="4"/>
  <c r="AC62" i="4"/>
  <c r="AC63" i="4"/>
  <c r="AE63" i="4" s="1"/>
  <c r="AC64" i="4"/>
  <c r="AE64" i="4" s="1"/>
  <c r="AC65" i="4"/>
  <c r="AC66" i="4"/>
  <c r="AC67" i="4"/>
  <c r="AC68" i="4"/>
  <c r="AC69" i="4"/>
  <c r="AC70" i="4"/>
  <c r="AE70" i="4" s="1"/>
  <c r="AC71" i="4"/>
  <c r="AC72" i="4"/>
  <c r="AE72" i="4" s="1"/>
  <c r="AC73" i="4"/>
  <c r="AC74" i="4"/>
  <c r="AE74" i="4" s="1"/>
  <c r="AF74" i="4" s="1"/>
  <c r="AK74" i="4" s="1"/>
  <c r="AC75" i="4"/>
  <c r="AC76" i="4"/>
  <c r="AC77" i="4"/>
  <c r="AC78" i="4"/>
  <c r="AE78" i="4" s="1"/>
  <c r="AC79" i="4"/>
  <c r="AE79" i="4" s="1"/>
  <c r="AC80" i="4"/>
  <c r="AC81" i="4"/>
  <c r="AC82" i="4"/>
  <c r="AE82" i="4" s="1"/>
  <c r="AC83" i="4"/>
  <c r="AC84" i="4"/>
  <c r="AD84" i="4" s="1"/>
  <c r="AC85" i="4"/>
  <c r="AC86" i="4"/>
  <c r="AC87" i="4"/>
  <c r="AE87" i="4" s="1"/>
  <c r="AC88" i="4"/>
  <c r="AE88" i="4" s="1"/>
  <c r="AC89" i="4"/>
  <c r="AC90" i="4"/>
  <c r="AE90" i="4" s="1"/>
  <c r="AC91" i="4"/>
  <c r="AC92" i="4"/>
  <c r="AE92" i="4" s="1"/>
  <c r="AC93" i="4"/>
  <c r="AC94" i="4"/>
  <c r="AC95" i="4"/>
  <c r="AC96" i="4"/>
  <c r="AE96" i="4" s="1"/>
  <c r="AC97" i="4"/>
  <c r="AC98" i="4"/>
  <c r="AC99" i="4"/>
  <c r="AC100" i="4"/>
  <c r="AE100" i="4" s="1"/>
  <c r="AC101" i="4"/>
  <c r="AC102" i="4"/>
  <c r="AE102" i="4" s="1"/>
  <c r="AC103" i="4"/>
  <c r="AC104" i="4"/>
  <c r="AC105" i="4"/>
  <c r="AC106" i="4"/>
  <c r="AE106" i="4" s="1"/>
  <c r="AC107" i="4"/>
  <c r="AC108" i="4"/>
  <c r="AC109" i="4"/>
  <c r="AC110" i="4"/>
  <c r="AD110" i="4" s="1"/>
  <c r="AC111" i="4"/>
  <c r="AE111" i="4" s="1"/>
  <c r="AC112" i="4"/>
  <c r="AC113" i="4"/>
  <c r="AC114" i="4"/>
  <c r="AE114" i="4" s="1"/>
  <c r="AC115" i="4"/>
  <c r="AC116" i="4"/>
  <c r="AD116" i="4" s="1"/>
  <c r="AC117" i="4"/>
  <c r="AC118" i="4"/>
  <c r="AE118" i="4" s="1"/>
  <c r="AC119" i="4"/>
  <c r="AE119" i="4" s="1"/>
  <c r="AF119" i="4" s="1"/>
  <c r="AK119" i="4" s="1"/>
  <c r="AC120" i="4"/>
  <c r="AE120" i="4" s="1"/>
  <c r="AC121" i="4"/>
  <c r="AC122" i="4"/>
  <c r="AC123" i="4"/>
  <c r="AC124" i="4"/>
  <c r="AE124" i="4" s="1"/>
  <c r="AC125" i="4"/>
  <c r="AC126" i="4"/>
  <c r="AC127" i="4"/>
  <c r="AE127" i="4" s="1"/>
  <c r="AC128" i="4"/>
  <c r="AE128" i="4" s="1"/>
  <c r="AC129" i="4"/>
  <c r="AC130" i="4"/>
  <c r="AC131" i="4"/>
  <c r="AC132" i="4"/>
  <c r="AC133" i="4"/>
  <c r="AC134" i="4"/>
  <c r="AE134" i="4" s="1"/>
  <c r="AC135" i="4"/>
  <c r="AC136" i="4"/>
  <c r="AE136" i="4" s="1"/>
  <c r="AC137" i="4"/>
  <c r="AC138" i="4"/>
  <c r="AE138" i="4" s="1"/>
  <c r="AC139" i="4"/>
  <c r="AC140" i="4"/>
  <c r="AC141" i="4"/>
  <c r="AC142" i="4"/>
  <c r="AE142" i="4" s="1"/>
  <c r="AC143" i="4"/>
  <c r="AE143" i="4" s="1"/>
  <c r="AC144" i="4"/>
  <c r="AC145" i="4"/>
  <c r="AC146" i="4"/>
  <c r="AE146" i="4" s="1"/>
  <c r="AF146" i="4" s="1"/>
  <c r="AK146" i="4" s="1"/>
  <c r="AC147" i="4"/>
  <c r="AC148" i="4"/>
  <c r="AE148" i="4" s="1"/>
  <c r="AC149" i="4"/>
  <c r="AC150" i="4"/>
  <c r="AC151" i="4"/>
  <c r="AE151" i="4" s="1"/>
  <c r="AC152" i="4"/>
  <c r="AE152" i="4" s="1"/>
  <c r="AC153" i="4"/>
  <c r="AC154" i="4"/>
  <c r="AE154" i="4" s="1"/>
  <c r="AC155" i="4"/>
  <c r="AC156" i="4"/>
  <c r="AE156" i="4" s="1"/>
  <c r="AC157" i="4"/>
  <c r="AC158" i="4"/>
  <c r="AC159" i="4"/>
  <c r="AC160" i="4"/>
  <c r="AD160" i="4" s="1"/>
  <c r="AC161" i="4"/>
  <c r="AC162" i="4"/>
  <c r="AC163" i="4"/>
  <c r="AC164" i="4"/>
  <c r="AE164" i="4" s="1"/>
  <c r="AC165" i="4"/>
  <c r="AC166" i="4"/>
  <c r="AE166" i="4" s="1"/>
  <c r="AC167" i="4"/>
  <c r="AC168" i="4"/>
  <c r="AC169" i="4"/>
  <c r="AC170" i="4"/>
  <c r="AE170" i="4" s="1"/>
  <c r="AC171" i="4"/>
  <c r="AC172" i="4"/>
  <c r="AC173" i="4"/>
  <c r="AC174" i="4"/>
  <c r="AE174" i="4" s="1"/>
  <c r="AC175" i="4"/>
  <c r="AE175" i="4" s="1"/>
  <c r="AC176" i="4"/>
  <c r="AC177" i="4"/>
  <c r="AC178" i="4"/>
  <c r="AE178" i="4" s="1"/>
  <c r="AC179" i="4"/>
  <c r="AC180" i="4"/>
  <c r="AE180" i="4" s="1"/>
  <c r="AC181" i="4"/>
  <c r="AC182" i="4"/>
  <c r="AE182" i="4" s="1"/>
  <c r="AC183" i="4"/>
  <c r="AE183" i="4" s="1"/>
  <c r="AC184" i="4"/>
  <c r="AE184" i="4" s="1"/>
  <c r="AC185" i="4"/>
  <c r="AC186" i="4"/>
  <c r="AC187" i="4"/>
  <c r="AC188" i="4"/>
  <c r="AD188" i="4" s="1"/>
  <c r="AC189" i="4"/>
  <c r="AC190" i="4"/>
  <c r="AC191" i="4"/>
  <c r="AE191" i="4" s="1"/>
  <c r="AC192" i="4"/>
  <c r="AD192" i="4" s="1"/>
  <c r="AC193" i="4"/>
  <c r="AC194" i="4"/>
  <c r="AC195" i="4"/>
  <c r="AC196" i="4"/>
  <c r="AE196" i="4" s="1"/>
  <c r="AC197" i="4"/>
  <c r="AC198" i="4"/>
  <c r="AE198" i="4" s="1"/>
  <c r="AC199" i="4"/>
  <c r="AC200" i="4"/>
  <c r="AE200" i="4" s="1"/>
  <c r="AC201" i="4"/>
  <c r="AC202" i="4"/>
  <c r="AE202" i="4" s="1"/>
  <c r="AC203" i="4"/>
  <c r="AC204" i="4"/>
  <c r="AC205" i="4"/>
  <c r="AC206" i="4"/>
  <c r="AE206" i="4" s="1"/>
  <c r="AC207" i="4"/>
  <c r="AE207" i="4" s="1"/>
  <c r="AC208" i="4"/>
  <c r="AC209" i="4"/>
  <c r="AC210" i="4"/>
  <c r="AD210" i="4" s="1"/>
  <c r="AC211" i="4"/>
  <c r="AC212" i="4"/>
  <c r="AE212" i="4" s="1"/>
  <c r="AC213" i="4"/>
  <c r="AC214" i="4"/>
  <c r="AD214" i="4" s="1"/>
  <c r="AC215" i="4"/>
  <c r="AE215" i="4" s="1"/>
  <c r="AC216" i="4"/>
  <c r="AD216" i="4" s="1"/>
  <c r="AC217" i="4"/>
  <c r="AC218" i="4"/>
  <c r="AE218" i="4" s="1"/>
  <c r="AC219" i="4"/>
  <c r="AD219" i="4" s="1"/>
  <c r="AC220" i="4"/>
  <c r="AE220" i="4" s="1"/>
  <c r="AC221" i="4"/>
  <c r="AC222" i="4"/>
  <c r="AC223" i="4"/>
  <c r="AE223" i="4" s="1"/>
  <c r="AC224" i="4"/>
  <c r="AE224" i="4" s="1"/>
  <c r="AC225" i="4"/>
  <c r="AC226" i="4"/>
  <c r="AC227" i="4"/>
  <c r="AC228" i="4"/>
  <c r="AE228" i="4" s="1"/>
  <c r="AC229" i="4"/>
  <c r="AC230" i="4"/>
  <c r="AE230" i="4" s="1"/>
  <c r="AC231" i="4"/>
  <c r="AC232" i="4"/>
  <c r="AE232" i="4" s="1"/>
  <c r="AC233" i="4"/>
  <c r="AC234" i="4"/>
  <c r="AD234" i="4" s="1"/>
  <c r="AC235" i="4"/>
  <c r="AC236" i="4"/>
  <c r="AC237" i="4"/>
  <c r="AC238" i="4"/>
  <c r="AE238" i="4" s="1"/>
  <c r="AC239" i="4"/>
  <c r="AE239" i="4" s="1"/>
  <c r="AC240" i="4"/>
  <c r="AC241" i="4"/>
  <c r="AC242" i="4"/>
  <c r="AD242" i="4" s="1"/>
  <c r="AC243" i="4"/>
  <c r="AC244" i="4"/>
  <c r="AE244" i="4" s="1"/>
  <c r="AC245" i="4"/>
  <c r="AC246" i="4"/>
  <c r="AD246" i="4" s="1"/>
  <c r="AC247" i="4"/>
  <c r="AE247" i="4" s="1"/>
  <c r="AC248" i="4"/>
  <c r="AE248" i="4" s="1"/>
  <c r="AC249" i="4"/>
  <c r="AC250" i="4"/>
  <c r="AE250" i="4" s="1"/>
  <c r="AC251" i="4"/>
  <c r="AC252" i="4"/>
  <c r="AE252" i="4" s="1"/>
  <c r="AC253" i="4"/>
  <c r="AC254" i="4"/>
  <c r="AC255" i="4"/>
  <c r="AE255" i="4" s="1"/>
  <c r="AC256" i="4"/>
  <c r="AE256" i="4" s="1"/>
  <c r="AC257" i="4"/>
  <c r="AC258" i="4"/>
  <c r="AC259" i="4"/>
  <c r="AC260" i="4"/>
  <c r="AD260" i="4" s="1"/>
  <c r="AC261" i="4"/>
  <c r="AC262" i="4"/>
  <c r="AE262" i="4" s="1"/>
  <c r="AC263" i="4"/>
  <c r="AC264" i="4"/>
  <c r="AE264" i="4" s="1"/>
  <c r="AC265" i="4"/>
  <c r="AC266" i="4"/>
  <c r="AE266" i="4" s="1"/>
  <c r="AC267" i="4"/>
  <c r="AC268" i="4"/>
  <c r="AC269" i="4"/>
  <c r="AC270" i="4"/>
  <c r="AD270" i="4" s="1"/>
  <c r="AC271" i="4"/>
  <c r="AE271" i="4" s="1"/>
  <c r="AC272" i="4"/>
  <c r="AC273" i="4"/>
  <c r="AC274" i="4"/>
  <c r="AE274" i="4" s="1"/>
  <c r="AC275" i="4"/>
  <c r="AC276" i="4"/>
  <c r="AE276" i="4" s="1"/>
  <c r="AC277" i="4"/>
  <c r="AC278" i="4"/>
  <c r="AE278" i="4" s="1"/>
  <c r="AC279" i="4"/>
  <c r="AE279" i="4" s="1"/>
  <c r="AC280" i="4"/>
  <c r="AE280" i="4" s="1"/>
  <c r="AC281" i="4"/>
  <c r="AC282" i="4"/>
  <c r="AE282" i="4" s="1"/>
  <c r="AC283" i="4"/>
  <c r="AC284" i="4"/>
  <c r="AE284" i="4" s="1"/>
  <c r="AC285" i="4"/>
  <c r="AC286" i="4"/>
  <c r="AC287" i="4"/>
  <c r="AE287" i="4" s="1"/>
  <c r="AC288" i="4"/>
  <c r="AD288" i="4" s="1"/>
  <c r="AC289" i="4"/>
  <c r="AC290" i="4"/>
  <c r="AC291" i="4"/>
  <c r="AC292" i="4"/>
  <c r="AE292" i="4" s="1"/>
  <c r="AC293" i="4"/>
  <c r="AC294" i="4"/>
  <c r="AE294" i="4" s="1"/>
  <c r="AC295" i="4"/>
  <c r="AC296" i="4"/>
  <c r="AE296" i="4" s="1"/>
  <c r="AC297" i="4"/>
  <c r="AC298" i="4"/>
  <c r="AE298" i="4" s="1"/>
  <c r="AC299" i="4"/>
  <c r="AC300" i="4"/>
  <c r="AC301" i="4"/>
  <c r="AC302" i="4"/>
  <c r="AE302" i="4" s="1"/>
  <c r="AC303" i="4"/>
  <c r="AE303" i="4" s="1"/>
  <c r="AC304" i="4"/>
  <c r="AC305" i="4"/>
  <c r="AC306" i="4"/>
  <c r="AD306" i="4" s="1"/>
  <c r="AC307" i="4"/>
  <c r="AC308" i="4"/>
  <c r="AE308" i="4" s="1"/>
  <c r="AC309" i="4"/>
  <c r="AC310" i="4"/>
  <c r="AD310" i="4" s="1"/>
  <c r="AC311" i="4"/>
  <c r="AE311" i="4" s="1"/>
  <c r="AC312" i="4"/>
  <c r="AE312" i="4" s="1"/>
  <c r="AC313" i="4"/>
  <c r="AC314" i="4"/>
  <c r="AE314" i="4" s="1"/>
  <c r="AC315" i="4"/>
  <c r="AC316" i="4"/>
  <c r="AE316" i="4" s="1"/>
  <c r="AC317" i="4"/>
  <c r="AC318" i="4"/>
  <c r="AC319" i="4"/>
  <c r="AE319" i="4" s="1"/>
  <c r="AC320" i="4"/>
  <c r="AE320" i="4" s="1"/>
  <c r="AC321" i="4"/>
  <c r="AC322" i="4"/>
  <c r="AC323" i="4"/>
  <c r="AC324" i="4"/>
  <c r="AE324" i="4" s="1"/>
  <c r="AC325" i="4"/>
  <c r="AC326" i="4"/>
  <c r="AE326" i="4" s="1"/>
  <c r="AC327" i="4"/>
  <c r="AC328" i="4"/>
  <c r="AE328" i="4" s="1"/>
  <c r="AC329" i="4"/>
  <c r="AC330" i="4"/>
  <c r="AE330" i="4" s="1"/>
  <c r="AC331" i="4"/>
  <c r="AC332" i="4"/>
  <c r="AC333" i="4"/>
  <c r="AC334" i="4"/>
  <c r="AD334" i="4" s="1"/>
  <c r="AC335" i="4"/>
  <c r="AE335" i="4" s="1"/>
  <c r="AC336" i="4"/>
  <c r="AC337" i="4"/>
  <c r="AC338" i="4"/>
  <c r="AD338" i="4" s="1"/>
  <c r="AC339" i="4"/>
  <c r="AC340" i="4"/>
  <c r="AE340" i="4" s="1"/>
  <c r="AC341" i="4"/>
  <c r="AC342" i="4"/>
  <c r="AE342" i="4" s="1"/>
  <c r="AC343" i="4"/>
  <c r="AE343" i="4" s="1"/>
  <c r="AC344" i="4"/>
  <c r="AE344" i="4" s="1"/>
  <c r="AC345" i="4"/>
  <c r="AC346" i="4"/>
  <c r="AE346" i="4" s="1"/>
  <c r="AC347" i="4"/>
  <c r="AC348" i="4"/>
  <c r="AE348" i="4" s="1"/>
  <c r="AC349" i="4"/>
  <c r="AC350" i="4"/>
  <c r="AC351" i="4"/>
  <c r="AE351" i="4" s="1"/>
  <c r="AC352" i="4"/>
  <c r="AE352" i="4" s="1"/>
  <c r="AC353" i="4"/>
  <c r="AC354" i="4"/>
  <c r="AC355" i="4"/>
  <c r="AC356" i="4"/>
  <c r="AD356" i="4" s="1"/>
  <c r="AC357" i="4"/>
  <c r="AC358" i="4"/>
  <c r="AE358" i="4" s="1"/>
  <c r="AC359" i="4"/>
  <c r="AC360" i="4"/>
  <c r="AE360" i="4" s="1"/>
  <c r="AJ360" i="4" s="1"/>
  <c r="AC361" i="4"/>
  <c r="AC362" i="4"/>
  <c r="AD362" i="4" s="1"/>
  <c r="AC363" i="4"/>
  <c r="AC364" i="4"/>
  <c r="AC365" i="4"/>
  <c r="AC366" i="4"/>
  <c r="AE366" i="4" s="1"/>
  <c r="AC367" i="4"/>
  <c r="AE367" i="4" s="1"/>
  <c r="AC368" i="4"/>
  <c r="AC369" i="4"/>
  <c r="AC370" i="4"/>
  <c r="AE370" i="4" s="1"/>
  <c r="AC371" i="4"/>
  <c r="AC372" i="4"/>
  <c r="AE372" i="4" s="1"/>
  <c r="AC373" i="4"/>
  <c r="AC374" i="4"/>
  <c r="AE374" i="4" s="1"/>
  <c r="AC375" i="4"/>
  <c r="AE375" i="4" s="1"/>
  <c r="AC376" i="4"/>
  <c r="AC377" i="4"/>
  <c r="AC378" i="4"/>
  <c r="AE378" i="4" s="1"/>
  <c r="AF378" i="4" s="1"/>
  <c r="AK378" i="4" s="1"/>
  <c r="AC379" i="4"/>
  <c r="AC380" i="4"/>
  <c r="AD380" i="4" s="1"/>
  <c r="AC381" i="4"/>
  <c r="AC382" i="4"/>
  <c r="AC383" i="4"/>
  <c r="AE383" i="4" s="1"/>
  <c r="AC384" i="4"/>
  <c r="AC385" i="4"/>
  <c r="AC386" i="4"/>
  <c r="AC387" i="4"/>
  <c r="AC388" i="4"/>
  <c r="AD388" i="4" s="1"/>
  <c r="AC389" i="4"/>
  <c r="AC390" i="4"/>
  <c r="AE390" i="4" s="1"/>
  <c r="AC391" i="4"/>
  <c r="AC392" i="4"/>
  <c r="AC393" i="4"/>
  <c r="AC394" i="4"/>
  <c r="AE394" i="4" s="1"/>
  <c r="AC395" i="4"/>
  <c r="AC396" i="4"/>
  <c r="AC397" i="4"/>
  <c r="AC398" i="4"/>
  <c r="AE398" i="4" s="1"/>
  <c r="AC399" i="4"/>
  <c r="AE399" i="4" s="1"/>
  <c r="AC400" i="4"/>
  <c r="AC401" i="4"/>
  <c r="AC402" i="4"/>
  <c r="AE402" i="4" s="1"/>
  <c r="AC403" i="4"/>
  <c r="AC404" i="4"/>
  <c r="AE404" i="4" s="1"/>
  <c r="AC405" i="4"/>
  <c r="AC406" i="4"/>
  <c r="AD406" i="4" s="1"/>
  <c r="AC407" i="4"/>
  <c r="AE407" i="4" s="1"/>
  <c r="AC408" i="4"/>
  <c r="AC409" i="4"/>
  <c r="AC410" i="4"/>
  <c r="AE410" i="4" s="1"/>
  <c r="AF410" i="4" s="1"/>
  <c r="AK410" i="4" s="1"/>
  <c r="AC411" i="4"/>
  <c r="AC412" i="4"/>
  <c r="AE412" i="4" s="1"/>
  <c r="AF412" i="4" s="1"/>
  <c r="AK412" i="4" s="1"/>
  <c r="AC413" i="4"/>
  <c r="AC414" i="4"/>
  <c r="AC415" i="4"/>
  <c r="AE415" i="4" s="1"/>
  <c r="AC416" i="4"/>
  <c r="AC417" i="4"/>
  <c r="AC418" i="4"/>
  <c r="AC419" i="4"/>
  <c r="AC420" i="4"/>
  <c r="AE420" i="4" s="1"/>
  <c r="AC421" i="4"/>
  <c r="AC422" i="4"/>
  <c r="AE422" i="4" s="1"/>
  <c r="AC423" i="4"/>
  <c r="AC424" i="4"/>
  <c r="AC425" i="4"/>
  <c r="AC426" i="4"/>
  <c r="AE426" i="4" s="1"/>
  <c r="AC427" i="4"/>
  <c r="AC428" i="4"/>
  <c r="AC429" i="4"/>
  <c r="AC430" i="4"/>
  <c r="AC431" i="4"/>
  <c r="AE431" i="4" s="1"/>
  <c r="AC432" i="4"/>
  <c r="AC433" i="4"/>
  <c r="AC434" i="4"/>
  <c r="AD434" i="4" s="1"/>
  <c r="AC435" i="4"/>
  <c r="AC436" i="4"/>
  <c r="AE436" i="4" s="1"/>
  <c r="AC437" i="4"/>
  <c r="AC438" i="4"/>
  <c r="AC439" i="4"/>
  <c r="AE439" i="4" s="1"/>
  <c r="AC440" i="4"/>
  <c r="AC441" i="4"/>
  <c r="AC442" i="4"/>
  <c r="AE442" i="4" s="1"/>
  <c r="AC443" i="4"/>
  <c r="AC444" i="4"/>
  <c r="AE444" i="4" s="1"/>
  <c r="AC445" i="4"/>
  <c r="AC446" i="4"/>
  <c r="AC447" i="4"/>
  <c r="AE447" i="4" s="1"/>
  <c r="AC448" i="4"/>
  <c r="AC449" i="4"/>
  <c r="AC450" i="4"/>
  <c r="AC451" i="4"/>
  <c r="AC452" i="4"/>
  <c r="AE452" i="4" s="1"/>
  <c r="AC453" i="4"/>
  <c r="AC454" i="4"/>
  <c r="AC455" i="4"/>
  <c r="AC456" i="4"/>
  <c r="AC457" i="4"/>
  <c r="AC458" i="4"/>
  <c r="AE458" i="4" s="1"/>
  <c r="AC459" i="4"/>
  <c r="AC460" i="4"/>
  <c r="AC461" i="4"/>
  <c r="AC462" i="4"/>
  <c r="AC463" i="4"/>
  <c r="AE463" i="4" s="1"/>
  <c r="AC464" i="4"/>
  <c r="AC465" i="4"/>
  <c r="AC466" i="4"/>
  <c r="AE466" i="4" s="1"/>
  <c r="AC467" i="4"/>
  <c r="AC468" i="4"/>
  <c r="AE468" i="4" s="1"/>
  <c r="AC469" i="4"/>
  <c r="AC470" i="4"/>
  <c r="AC471" i="4"/>
  <c r="AE471" i="4" s="1"/>
  <c r="AC472" i="4"/>
  <c r="AC473" i="4"/>
  <c r="AC474" i="4"/>
  <c r="AE474" i="4" s="1"/>
  <c r="AC475" i="4"/>
  <c r="AC476" i="4"/>
  <c r="AE476" i="4" s="1"/>
  <c r="AC477" i="4"/>
  <c r="AC478" i="4"/>
  <c r="AC479" i="4"/>
  <c r="AE479" i="4" s="1"/>
  <c r="AC480" i="4"/>
  <c r="AC481" i="4"/>
  <c r="AC482" i="4"/>
  <c r="AC483" i="4"/>
  <c r="AC484" i="4"/>
  <c r="AD484" i="4" s="1"/>
  <c r="AC485" i="4"/>
  <c r="AC486" i="4"/>
  <c r="AC487" i="4"/>
  <c r="AE487" i="4" s="1"/>
  <c r="AC488" i="4"/>
  <c r="AC489" i="4"/>
  <c r="AC490" i="4"/>
  <c r="AE490" i="4" s="1"/>
  <c r="AC491" i="4"/>
  <c r="AC492" i="4"/>
  <c r="AE492" i="4" s="1"/>
  <c r="AC493" i="4"/>
  <c r="AC494" i="4"/>
  <c r="AC495" i="4"/>
  <c r="AE495" i="4" s="1"/>
  <c r="AF495" i="4" s="1"/>
  <c r="AK495" i="4" s="1"/>
  <c r="AC496" i="4"/>
  <c r="AC497" i="4"/>
  <c r="AC498" i="4"/>
  <c r="AD498" i="4" s="1"/>
  <c r="AC499" i="4"/>
  <c r="AC500" i="4"/>
  <c r="AE500" i="4" s="1"/>
  <c r="AC501" i="4"/>
  <c r="AC502" i="4"/>
  <c r="AC503" i="4"/>
  <c r="AE503" i="4" s="1"/>
  <c r="AC504" i="4"/>
  <c r="AC505" i="4"/>
  <c r="AC506" i="4"/>
  <c r="AE506" i="4" s="1"/>
  <c r="AC507" i="4"/>
  <c r="AC508" i="4"/>
  <c r="AD508" i="4" s="1"/>
  <c r="AC509" i="4"/>
  <c r="AC510" i="4"/>
  <c r="AC511" i="4"/>
  <c r="AE511" i="4" s="1"/>
  <c r="AC512" i="4"/>
  <c r="AC513" i="4"/>
  <c r="AC514" i="4"/>
  <c r="AE514" i="4" s="1"/>
  <c r="AF514" i="4" s="1"/>
  <c r="AK514" i="4" s="1"/>
  <c r="AC515" i="4"/>
  <c r="AC516" i="4"/>
  <c r="AD516" i="4" s="1"/>
  <c r="AC517" i="4"/>
  <c r="AC518" i="4"/>
  <c r="AC519" i="4"/>
  <c r="AC520" i="4"/>
  <c r="AC521" i="4"/>
  <c r="AC522" i="4"/>
  <c r="AE522" i="4" s="1"/>
  <c r="AC523" i="4"/>
  <c r="AC524" i="4"/>
  <c r="AE524" i="4" s="1"/>
  <c r="AC525" i="4"/>
  <c r="AC526" i="4"/>
  <c r="AC527" i="4"/>
  <c r="AC528" i="4"/>
  <c r="AC529" i="4"/>
  <c r="AC530" i="4"/>
  <c r="AD530" i="4" s="1"/>
  <c r="AC531" i="4"/>
  <c r="AC532" i="4"/>
  <c r="AE532" i="4" s="1"/>
  <c r="AC533" i="4"/>
  <c r="AC534" i="4"/>
  <c r="AC535" i="4"/>
  <c r="AC536" i="4"/>
  <c r="AC537" i="4"/>
  <c r="AC538" i="4"/>
  <c r="AE538" i="4" s="1"/>
  <c r="AC539" i="4"/>
  <c r="AC540" i="4"/>
  <c r="AE540" i="4" s="1"/>
  <c r="AC541" i="4"/>
  <c r="AC542" i="4"/>
  <c r="AC543" i="4"/>
  <c r="AC544" i="4"/>
  <c r="AC545" i="4"/>
  <c r="AC546" i="4"/>
  <c r="AE546" i="4" s="1"/>
  <c r="AC547" i="4"/>
  <c r="AC548" i="4"/>
  <c r="AE548" i="4" s="1"/>
  <c r="AC549" i="4"/>
  <c r="AC550" i="4"/>
  <c r="AC551" i="4"/>
  <c r="AC552" i="4"/>
  <c r="AC553" i="4"/>
  <c r="AC554" i="4"/>
  <c r="AD554" i="4" s="1"/>
  <c r="AC555" i="4"/>
  <c r="AC556" i="4"/>
  <c r="AE556" i="4" s="1"/>
  <c r="AC557" i="4"/>
  <c r="AC558" i="4"/>
  <c r="AC559" i="4"/>
  <c r="AC560" i="4"/>
  <c r="AC561" i="4"/>
  <c r="AC562" i="4"/>
  <c r="AE562" i="4" s="1"/>
  <c r="AC563" i="4"/>
  <c r="AC564" i="4"/>
  <c r="AE564" i="4" s="1"/>
  <c r="AC565" i="4"/>
  <c r="AC566" i="4"/>
  <c r="AC567" i="4"/>
  <c r="AC568" i="4"/>
  <c r="AC569" i="4"/>
  <c r="AC570" i="4"/>
  <c r="AE570" i="4" s="1"/>
  <c r="AC571" i="4"/>
  <c r="AC572" i="4"/>
  <c r="AE572" i="4" s="1"/>
  <c r="AC573" i="4"/>
  <c r="AC574" i="4"/>
  <c r="AC575" i="4"/>
  <c r="AC576" i="4"/>
  <c r="AC577" i="4"/>
  <c r="AC578" i="4"/>
  <c r="AE578" i="4" s="1"/>
  <c r="AC579" i="4"/>
  <c r="AC580" i="4"/>
  <c r="AE580" i="4" s="1"/>
  <c r="AC581" i="4"/>
  <c r="AC582" i="4"/>
  <c r="AC583" i="4"/>
  <c r="AC584" i="4"/>
  <c r="AC585" i="4"/>
  <c r="AC586" i="4"/>
  <c r="AE586" i="4" s="1"/>
  <c r="AC587" i="4"/>
  <c r="AC588" i="4"/>
  <c r="AE588" i="4" s="1"/>
  <c r="AC589" i="4"/>
  <c r="AC590" i="4"/>
  <c r="AC591" i="4"/>
  <c r="AC592" i="4"/>
  <c r="AC593" i="4"/>
  <c r="AC594" i="4"/>
  <c r="AE594" i="4" s="1"/>
  <c r="AC595" i="4"/>
  <c r="AC596" i="4"/>
  <c r="AE596" i="4" s="1"/>
  <c r="AC597" i="4"/>
  <c r="AC598" i="4"/>
  <c r="AC599" i="4"/>
  <c r="AC600" i="4"/>
  <c r="AC601" i="4"/>
  <c r="AC602" i="4"/>
  <c r="AE602" i="4" s="1"/>
  <c r="AC603" i="4"/>
  <c r="AC604" i="4"/>
  <c r="AC605" i="4"/>
  <c r="AC606" i="4"/>
  <c r="AC607" i="4"/>
  <c r="AC608" i="4"/>
  <c r="AC609" i="4"/>
  <c r="AC610" i="4"/>
  <c r="AE610" i="4" s="1"/>
  <c r="AC611" i="4"/>
  <c r="AC612" i="4"/>
  <c r="AC613" i="4"/>
  <c r="AC614" i="4"/>
  <c r="AC615" i="4"/>
  <c r="AC616" i="4"/>
  <c r="AC617" i="4"/>
  <c r="AC618" i="4"/>
  <c r="AE618" i="4" s="1"/>
  <c r="AC619" i="4"/>
  <c r="AC620" i="4"/>
  <c r="AC621" i="4"/>
  <c r="AC622" i="4"/>
  <c r="AC623" i="4"/>
  <c r="AC624" i="4"/>
  <c r="AC625" i="4"/>
  <c r="AC626" i="4"/>
  <c r="AD626" i="4" s="1"/>
  <c r="AC627" i="4"/>
  <c r="AC628" i="4"/>
  <c r="AC629" i="4"/>
  <c r="AC630" i="4"/>
  <c r="AC631" i="4"/>
  <c r="AC632" i="4"/>
  <c r="AC633" i="4"/>
  <c r="AC634" i="4"/>
  <c r="AE634" i="4" s="1"/>
  <c r="AF634" i="4" s="1"/>
  <c r="AK634" i="4" s="1"/>
  <c r="AC635" i="4"/>
  <c r="AC636" i="4"/>
  <c r="AC637" i="4"/>
  <c r="AC638" i="4"/>
  <c r="AC639" i="4"/>
  <c r="AC640" i="4"/>
  <c r="AC641" i="4"/>
  <c r="AC642" i="4"/>
  <c r="AE642" i="4" s="1"/>
  <c r="AJ642" i="4" s="1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AB930" i="4" l="1"/>
  <c r="AB922" i="4"/>
  <c r="AB914" i="4"/>
  <c r="AB906" i="4"/>
  <c r="AB898" i="4"/>
  <c r="AB890" i="4"/>
  <c r="AB882" i="4"/>
  <c r="AB874" i="4"/>
  <c r="AB866" i="4"/>
  <c r="AB858" i="4"/>
  <c r="AB850" i="4"/>
  <c r="AB842" i="4"/>
  <c r="AB834" i="4"/>
  <c r="AB826" i="4"/>
  <c r="AB818" i="4"/>
  <c r="AB810" i="4"/>
  <c r="AB802" i="4"/>
  <c r="AB794" i="4"/>
  <c r="AB786" i="4"/>
  <c r="AB778" i="4"/>
  <c r="AB770" i="4"/>
  <c r="AB762" i="4"/>
  <c r="AB754" i="4"/>
  <c r="AB746" i="4"/>
  <c r="AB738" i="4"/>
  <c r="AB730" i="4"/>
  <c r="AB722" i="4"/>
  <c r="AB714" i="4"/>
  <c r="AB706" i="4"/>
  <c r="AB698" i="4"/>
  <c r="AB690" i="4"/>
  <c r="AB682" i="4"/>
  <c r="AB674" i="4"/>
  <c r="AB666" i="4"/>
  <c r="AB658" i="4"/>
  <c r="AB650" i="4"/>
  <c r="AB642" i="4"/>
  <c r="AB634" i="4"/>
  <c r="AB626" i="4"/>
  <c r="AB618" i="4"/>
  <c r="AB610" i="4"/>
  <c r="AB602" i="4"/>
  <c r="AB594" i="4"/>
  <c r="AB586" i="4"/>
  <c r="AB578" i="4"/>
  <c r="AB570" i="4"/>
  <c r="AB562" i="4"/>
  <c r="AB554" i="4"/>
  <c r="AM554" i="4" s="1"/>
  <c r="AB546" i="4"/>
  <c r="AB538" i="4"/>
  <c r="AB530" i="4"/>
  <c r="AB522" i="4"/>
  <c r="AB514" i="4"/>
  <c r="AB506" i="4"/>
  <c r="AB498" i="4"/>
  <c r="AB490" i="4"/>
  <c r="AB482" i="4"/>
  <c r="AB474" i="4"/>
  <c r="AB466" i="4"/>
  <c r="AB458" i="4"/>
  <c r="AB450" i="4"/>
  <c r="AB442" i="4"/>
  <c r="AB434" i="4"/>
  <c r="AB426" i="4"/>
  <c r="AB418" i="4"/>
  <c r="AB410" i="4"/>
  <c r="AB402" i="4"/>
  <c r="AB394" i="4"/>
  <c r="AB386" i="4"/>
  <c r="AB378" i="4"/>
  <c r="AB370" i="4"/>
  <c r="AB362" i="4"/>
  <c r="AB354" i="4"/>
  <c r="AB346" i="4"/>
  <c r="AB338" i="4"/>
  <c r="AB330" i="4"/>
  <c r="AB322" i="4"/>
  <c r="AB929" i="4"/>
  <c r="AB921" i="4"/>
  <c r="AB913" i="4"/>
  <c r="AB905" i="4"/>
  <c r="AB897" i="4"/>
  <c r="AB889" i="4"/>
  <c r="AB881" i="4"/>
  <c r="AB873" i="4"/>
  <c r="AB865" i="4"/>
  <c r="AB857" i="4"/>
  <c r="AB849" i="4"/>
  <c r="AB841" i="4"/>
  <c r="AB833" i="4"/>
  <c r="AB825" i="4"/>
  <c r="AB817" i="4"/>
  <c r="AB809" i="4"/>
  <c r="AB801" i="4"/>
  <c r="AB793" i="4"/>
  <c r="AB785" i="4"/>
  <c r="AB777" i="4"/>
  <c r="AB769" i="4"/>
  <c r="AB761" i="4"/>
  <c r="AB753" i="4"/>
  <c r="AB745" i="4"/>
  <c r="AB737" i="4"/>
  <c r="AB729" i="4"/>
  <c r="AB721" i="4"/>
  <c r="AB713" i="4"/>
  <c r="AB705" i="4"/>
  <c r="AB697" i="4"/>
  <c r="AB689" i="4"/>
  <c r="AB681" i="4"/>
  <c r="AB928" i="4"/>
  <c r="AB920" i="4"/>
  <c r="AB912" i="4"/>
  <c r="AB904" i="4"/>
  <c r="AB896" i="4"/>
  <c r="AB888" i="4"/>
  <c r="AB880" i="4"/>
  <c r="AB872" i="4"/>
  <c r="AB864" i="4"/>
  <c r="AB856" i="4"/>
  <c r="AB848" i="4"/>
  <c r="AB840" i="4"/>
  <c r="AB832" i="4"/>
  <c r="AB824" i="4"/>
  <c r="AB816" i="4"/>
  <c r="AB808" i="4"/>
  <c r="AB800" i="4"/>
  <c r="AB792" i="4"/>
  <c r="AB784" i="4"/>
  <c r="AB776" i="4"/>
  <c r="AB768" i="4"/>
  <c r="AB760" i="4"/>
  <c r="AB752" i="4"/>
  <c r="AB744" i="4"/>
  <c r="AB736" i="4"/>
  <c r="AB728" i="4"/>
  <c r="AB720" i="4"/>
  <c r="AB712" i="4"/>
  <c r="AB704" i="4"/>
  <c r="AB696" i="4"/>
  <c r="AB688" i="4"/>
  <c r="AB680" i="4"/>
  <c r="AB672" i="4"/>
  <c r="AB664" i="4"/>
  <c r="AB656" i="4"/>
  <c r="AB927" i="4"/>
  <c r="AB919" i="4"/>
  <c r="AB911" i="4"/>
  <c r="AB903" i="4"/>
  <c r="AB895" i="4"/>
  <c r="AB887" i="4"/>
  <c r="AB879" i="4"/>
  <c r="AB871" i="4"/>
  <c r="AB863" i="4"/>
  <c r="AB855" i="4"/>
  <c r="AB847" i="4"/>
  <c r="AB839" i="4"/>
  <c r="AB831" i="4"/>
  <c r="AB823" i="4"/>
  <c r="AB815" i="4"/>
  <c r="AB807" i="4"/>
  <c r="AB799" i="4"/>
  <c r="AB791" i="4"/>
  <c r="AB783" i="4"/>
  <c r="AB775" i="4"/>
  <c r="AB767" i="4"/>
  <c r="AB759" i="4"/>
  <c r="AB751" i="4"/>
  <c r="AB743" i="4"/>
  <c r="AB735" i="4"/>
  <c r="AB727" i="4"/>
  <c r="AB719" i="4"/>
  <c r="AB711" i="4"/>
  <c r="AB703" i="4"/>
  <c r="AB695" i="4"/>
  <c r="AB687" i="4"/>
  <c r="AB679" i="4"/>
  <c r="AB2" i="4"/>
  <c r="AB926" i="4"/>
  <c r="AB918" i="4"/>
  <c r="AB910" i="4"/>
  <c r="AB902" i="4"/>
  <c r="AB894" i="4"/>
  <c r="AB886" i="4"/>
  <c r="AB878" i="4"/>
  <c r="AB870" i="4"/>
  <c r="AB862" i="4"/>
  <c r="AB854" i="4"/>
  <c r="AB846" i="4"/>
  <c r="AB838" i="4"/>
  <c r="AB830" i="4"/>
  <c r="AB822" i="4"/>
  <c r="AB814" i="4"/>
  <c r="AB806" i="4"/>
  <c r="AB798" i="4"/>
  <c r="AB790" i="4"/>
  <c r="AB782" i="4"/>
  <c r="AB774" i="4"/>
  <c r="AB766" i="4"/>
  <c r="AB758" i="4"/>
  <c r="AB750" i="4"/>
  <c r="AB742" i="4"/>
  <c r="AB734" i="4"/>
  <c r="AB726" i="4"/>
  <c r="AB718" i="4"/>
  <c r="AB710" i="4"/>
  <c r="AB702" i="4"/>
  <c r="AB694" i="4"/>
  <c r="AB686" i="4"/>
  <c r="AB678" i="4"/>
  <c r="AB670" i="4"/>
  <c r="AB662" i="4"/>
  <c r="AB654" i="4"/>
  <c r="AB646" i="4"/>
  <c r="AB638" i="4"/>
  <c r="AB630" i="4"/>
  <c r="AB622" i="4"/>
  <c r="AB614" i="4"/>
  <c r="AB606" i="4"/>
  <c r="AB598" i="4"/>
  <c r="AB590" i="4"/>
  <c r="AB582" i="4"/>
  <c r="AB574" i="4"/>
  <c r="AB566" i="4"/>
  <c r="AB558" i="4"/>
  <c r="AB550" i="4"/>
  <c r="AB542" i="4"/>
  <c r="AB933" i="4"/>
  <c r="AB925" i="4"/>
  <c r="AB917" i="4"/>
  <c r="AB909" i="4"/>
  <c r="AB901" i="4"/>
  <c r="AB893" i="4"/>
  <c r="AB885" i="4"/>
  <c r="AB877" i="4"/>
  <c r="AB869" i="4"/>
  <c r="AB861" i="4"/>
  <c r="AB853" i="4"/>
  <c r="AB845" i="4"/>
  <c r="AB837" i="4"/>
  <c r="AB829" i="4"/>
  <c r="AB821" i="4"/>
  <c r="AB813" i="4"/>
  <c r="AB805" i="4"/>
  <c r="AB797" i="4"/>
  <c r="AB789" i="4"/>
  <c r="AB781" i="4"/>
  <c r="AB773" i="4"/>
  <c r="AB765" i="4"/>
  <c r="AB757" i="4"/>
  <c r="AB749" i="4"/>
  <c r="AB741" i="4"/>
  <c r="AB733" i="4"/>
  <c r="AB725" i="4"/>
  <c r="AB717" i="4"/>
  <c r="AB709" i="4"/>
  <c r="AB701" i="4"/>
  <c r="AB693" i="4"/>
  <c r="AB685" i="4"/>
  <c r="AB932" i="4"/>
  <c r="AB924" i="4"/>
  <c r="AB916" i="4"/>
  <c r="AB908" i="4"/>
  <c r="AB900" i="4"/>
  <c r="AB892" i="4"/>
  <c r="AB884" i="4"/>
  <c r="AB876" i="4"/>
  <c r="AB868" i="4"/>
  <c r="AB860" i="4"/>
  <c r="AB852" i="4"/>
  <c r="AB844" i="4"/>
  <c r="AB836" i="4"/>
  <c r="AB828" i="4"/>
  <c r="AB820" i="4"/>
  <c r="AB812" i="4"/>
  <c r="AB804" i="4"/>
  <c r="AB796" i="4"/>
  <c r="AB788" i="4"/>
  <c r="AB780" i="4"/>
  <c r="AB772" i="4"/>
  <c r="AB764" i="4"/>
  <c r="AB756" i="4"/>
  <c r="AB748" i="4"/>
  <c r="AB740" i="4"/>
  <c r="AB732" i="4"/>
  <c r="AB724" i="4"/>
  <c r="AB716" i="4"/>
  <c r="AB708" i="4"/>
  <c r="AB700" i="4"/>
  <c r="AB692" i="4"/>
  <c r="AB684" i="4"/>
  <c r="AB676" i="4"/>
  <c r="AB668" i="4"/>
  <c r="AB660" i="4"/>
  <c r="AB652" i="4"/>
  <c r="AB644" i="4"/>
  <c r="AB636" i="4"/>
  <c r="AB628" i="4"/>
  <c r="AB620" i="4"/>
  <c r="AB612" i="4"/>
  <c r="AB604" i="4"/>
  <c r="AB596" i="4"/>
  <c r="AB588" i="4"/>
  <c r="AB580" i="4"/>
  <c r="AB572" i="4"/>
  <c r="AB564" i="4"/>
  <c r="AB556" i="4"/>
  <c r="AB548" i="4"/>
  <c r="AB540" i="4"/>
  <c r="AB532" i="4"/>
  <c r="AB931" i="4"/>
  <c r="AB923" i="4"/>
  <c r="AB915" i="4"/>
  <c r="AB907" i="4"/>
  <c r="AB899" i="4"/>
  <c r="AB891" i="4"/>
  <c r="AB883" i="4"/>
  <c r="AB875" i="4"/>
  <c r="AB867" i="4"/>
  <c r="AB859" i="4"/>
  <c r="AB851" i="4"/>
  <c r="AB843" i="4"/>
  <c r="AB835" i="4"/>
  <c r="AB827" i="4"/>
  <c r="AB819" i="4"/>
  <c r="AB811" i="4"/>
  <c r="AB803" i="4"/>
  <c r="AB795" i="4"/>
  <c r="AB787" i="4"/>
  <c r="AB779" i="4"/>
  <c r="AB771" i="4"/>
  <c r="AB763" i="4"/>
  <c r="AB755" i="4"/>
  <c r="AB747" i="4"/>
  <c r="AB739" i="4"/>
  <c r="AB731" i="4"/>
  <c r="AB723" i="4"/>
  <c r="AB715" i="4"/>
  <c r="AB707" i="4"/>
  <c r="AB699" i="4"/>
  <c r="AB691" i="4"/>
  <c r="AB683" i="4"/>
  <c r="AB314" i="4"/>
  <c r="AB306" i="4"/>
  <c r="AB298" i="4"/>
  <c r="AB290" i="4"/>
  <c r="AB282" i="4"/>
  <c r="AB274" i="4"/>
  <c r="AB266" i="4"/>
  <c r="AB258" i="4"/>
  <c r="AB250" i="4"/>
  <c r="AB242" i="4"/>
  <c r="AB234" i="4"/>
  <c r="AB226" i="4"/>
  <c r="AB218" i="4"/>
  <c r="AB210" i="4"/>
  <c r="AB202" i="4"/>
  <c r="AB194" i="4"/>
  <c r="AB186" i="4"/>
  <c r="AB178" i="4"/>
  <c r="AB170" i="4"/>
  <c r="AB162" i="4"/>
  <c r="AB154" i="4"/>
  <c r="AB146" i="4"/>
  <c r="AB138" i="4"/>
  <c r="AB130" i="4"/>
  <c r="AB122" i="4"/>
  <c r="AB114" i="4"/>
  <c r="AB106" i="4"/>
  <c r="AB98" i="4"/>
  <c r="AB90" i="4"/>
  <c r="AB82" i="4"/>
  <c r="AB74" i="4"/>
  <c r="AB66" i="4"/>
  <c r="AB58" i="4"/>
  <c r="AB50" i="4"/>
  <c r="AB42" i="4"/>
  <c r="AB34" i="4"/>
  <c r="AB26" i="4"/>
  <c r="AB18" i="4"/>
  <c r="AB10" i="4"/>
  <c r="AB673" i="4"/>
  <c r="AB665" i="4"/>
  <c r="AB657" i="4"/>
  <c r="AB649" i="4"/>
  <c r="AB641" i="4"/>
  <c r="AB633" i="4"/>
  <c r="AB625" i="4"/>
  <c r="AB617" i="4"/>
  <c r="AB609" i="4"/>
  <c r="AB601" i="4"/>
  <c r="AB593" i="4"/>
  <c r="AB585" i="4"/>
  <c r="AB577" i="4"/>
  <c r="AB569" i="4"/>
  <c r="AB561" i="4"/>
  <c r="AB553" i="4"/>
  <c r="AB545" i="4"/>
  <c r="AB537" i="4"/>
  <c r="AB529" i="4"/>
  <c r="AB521" i="4"/>
  <c r="AB513" i="4"/>
  <c r="AB505" i="4"/>
  <c r="AB497" i="4"/>
  <c r="AB489" i="4"/>
  <c r="AB481" i="4"/>
  <c r="AB473" i="4"/>
  <c r="AB465" i="4"/>
  <c r="AB457" i="4"/>
  <c r="AB449" i="4"/>
  <c r="AB441" i="4"/>
  <c r="AB433" i="4"/>
  <c r="AB425" i="4"/>
  <c r="AB417" i="4"/>
  <c r="AB409" i="4"/>
  <c r="AB401" i="4"/>
  <c r="AB393" i="4"/>
  <c r="AB385" i="4"/>
  <c r="AB377" i="4"/>
  <c r="AB369" i="4"/>
  <c r="AB361" i="4"/>
  <c r="AB353" i="4"/>
  <c r="AB345" i="4"/>
  <c r="AB337" i="4"/>
  <c r="AB329" i="4"/>
  <c r="AB321" i="4"/>
  <c r="AB313" i="4"/>
  <c r="AB305" i="4"/>
  <c r="AB297" i="4"/>
  <c r="AB289" i="4"/>
  <c r="AB281" i="4"/>
  <c r="AB273" i="4"/>
  <c r="AB265" i="4"/>
  <c r="AB257" i="4"/>
  <c r="AB249" i="4"/>
  <c r="AB241" i="4"/>
  <c r="AB233" i="4"/>
  <c r="AB225" i="4"/>
  <c r="AB217" i="4"/>
  <c r="AB209" i="4"/>
  <c r="AB201" i="4"/>
  <c r="AB193" i="4"/>
  <c r="AB185" i="4"/>
  <c r="AB177" i="4"/>
  <c r="AB169" i="4"/>
  <c r="AB161" i="4"/>
  <c r="AB153" i="4"/>
  <c r="AB145" i="4"/>
  <c r="AB137" i="4"/>
  <c r="AB129" i="4"/>
  <c r="AB121" i="4"/>
  <c r="AB113" i="4"/>
  <c r="AB105" i="4"/>
  <c r="AB97" i="4"/>
  <c r="AB89" i="4"/>
  <c r="AB81" i="4"/>
  <c r="AB73" i="4"/>
  <c r="AB65" i="4"/>
  <c r="AB57" i="4"/>
  <c r="AB49" i="4"/>
  <c r="AB41" i="4"/>
  <c r="AB33" i="4"/>
  <c r="AB25" i="4"/>
  <c r="AB17" i="4"/>
  <c r="AB9" i="4"/>
  <c r="AB648" i="4"/>
  <c r="AB640" i="4"/>
  <c r="AB632" i="4"/>
  <c r="AB624" i="4"/>
  <c r="AB616" i="4"/>
  <c r="AB608" i="4"/>
  <c r="AB600" i="4"/>
  <c r="AB592" i="4"/>
  <c r="AB584" i="4"/>
  <c r="AB576" i="4"/>
  <c r="AB568" i="4"/>
  <c r="AB560" i="4"/>
  <c r="AB552" i="4"/>
  <c r="AB544" i="4"/>
  <c r="AB536" i="4"/>
  <c r="AB528" i="4"/>
  <c r="AB520" i="4"/>
  <c r="AB512" i="4"/>
  <c r="AB504" i="4"/>
  <c r="AB496" i="4"/>
  <c r="AB488" i="4"/>
  <c r="AB480" i="4"/>
  <c r="AB472" i="4"/>
  <c r="AB464" i="4"/>
  <c r="AB456" i="4"/>
  <c r="AB448" i="4"/>
  <c r="AB440" i="4"/>
  <c r="AB432" i="4"/>
  <c r="AB424" i="4"/>
  <c r="AB416" i="4"/>
  <c r="AB408" i="4"/>
  <c r="AB400" i="4"/>
  <c r="AB392" i="4"/>
  <c r="AB384" i="4"/>
  <c r="AB376" i="4"/>
  <c r="AB368" i="4"/>
  <c r="AB360" i="4"/>
  <c r="AB352" i="4"/>
  <c r="AB344" i="4"/>
  <c r="AB336" i="4"/>
  <c r="AB328" i="4"/>
  <c r="AB320" i="4"/>
  <c r="AB312" i="4"/>
  <c r="AB304" i="4"/>
  <c r="AB296" i="4"/>
  <c r="AB288" i="4"/>
  <c r="AB280" i="4"/>
  <c r="AB272" i="4"/>
  <c r="AB264" i="4"/>
  <c r="AB256" i="4"/>
  <c r="AB248" i="4"/>
  <c r="AB240" i="4"/>
  <c r="AB232" i="4"/>
  <c r="AB224" i="4"/>
  <c r="AB216" i="4"/>
  <c r="AB208" i="4"/>
  <c r="AB200" i="4"/>
  <c r="AB192" i="4"/>
  <c r="AB184" i="4"/>
  <c r="AB176" i="4"/>
  <c r="AB168" i="4"/>
  <c r="AB160" i="4"/>
  <c r="AB152" i="4"/>
  <c r="AB144" i="4"/>
  <c r="AB136" i="4"/>
  <c r="AB128" i="4"/>
  <c r="AB120" i="4"/>
  <c r="AB112" i="4"/>
  <c r="AB104" i="4"/>
  <c r="AB96" i="4"/>
  <c r="AB88" i="4"/>
  <c r="AB80" i="4"/>
  <c r="AB72" i="4"/>
  <c r="AB64" i="4"/>
  <c r="AB56" i="4"/>
  <c r="AB48" i="4"/>
  <c r="AB40" i="4"/>
  <c r="AB32" i="4"/>
  <c r="AB24" i="4"/>
  <c r="AB16" i="4"/>
  <c r="AB8" i="4"/>
  <c r="AB671" i="4"/>
  <c r="AB663" i="4"/>
  <c r="AB655" i="4"/>
  <c r="AB647" i="4"/>
  <c r="AB639" i="4"/>
  <c r="AB631" i="4"/>
  <c r="AB623" i="4"/>
  <c r="AB615" i="4"/>
  <c r="AB607" i="4"/>
  <c r="AB599" i="4"/>
  <c r="AB591" i="4"/>
  <c r="AB583" i="4"/>
  <c r="AB575" i="4"/>
  <c r="AB567" i="4"/>
  <c r="AB559" i="4"/>
  <c r="AB551" i="4"/>
  <c r="AB543" i="4"/>
  <c r="AB535" i="4"/>
  <c r="AB527" i="4"/>
  <c r="AB519" i="4"/>
  <c r="AB511" i="4"/>
  <c r="AB503" i="4"/>
  <c r="AB495" i="4"/>
  <c r="AB487" i="4"/>
  <c r="AB479" i="4"/>
  <c r="AB471" i="4"/>
  <c r="AB463" i="4"/>
  <c r="AB455" i="4"/>
  <c r="AB447" i="4"/>
  <c r="AB439" i="4"/>
  <c r="AB431" i="4"/>
  <c r="AB423" i="4"/>
  <c r="AB415" i="4"/>
  <c r="AB407" i="4"/>
  <c r="AB399" i="4"/>
  <c r="AB391" i="4"/>
  <c r="AB383" i="4"/>
  <c r="AB375" i="4"/>
  <c r="AB367" i="4"/>
  <c r="AB359" i="4"/>
  <c r="AB351" i="4"/>
  <c r="AB343" i="4"/>
  <c r="AB335" i="4"/>
  <c r="AB327" i="4"/>
  <c r="AB319" i="4"/>
  <c r="AB311" i="4"/>
  <c r="AB303" i="4"/>
  <c r="AB295" i="4"/>
  <c r="AB287" i="4"/>
  <c r="AB279" i="4"/>
  <c r="AB271" i="4"/>
  <c r="AB263" i="4"/>
  <c r="AB255" i="4"/>
  <c r="AB247" i="4"/>
  <c r="AB239" i="4"/>
  <c r="AB231" i="4"/>
  <c r="AB223" i="4"/>
  <c r="AB215" i="4"/>
  <c r="AB207" i="4"/>
  <c r="AB199" i="4"/>
  <c r="AB191" i="4"/>
  <c r="AB183" i="4"/>
  <c r="AB175" i="4"/>
  <c r="AB167" i="4"/>
  <c r="AB159" i="4"/>
  <c r="AB151" i="4"/>
  <c r="AB143" i="4"/>
  <c r="AB135" i="4"/>
  <c r="AB127" i="4"/>
  <c r="AB119" i="4"/>
  <c r="AB111" i="4"/>
  <c r="AB103" i="4"/>
  <c r="AB95" i="4"/>
  <c r="AB87" i="4"/>
  <c r="AB79" i="4"/>
  <c r="AB71" i="4"/>
  <c r="AB63" i="4"/>
  <c r="AB55" i="4"/>
  <c r="AB47" i="4"/>
  <c r="AB39" i="4"/>
  <c r="AB31" i="4"/>
  <c r="AB23" i="4"/>
  <c r="AB15" i="4"/>
  <c r="AB7" i="4"/>
  <c r="AB534" i="4"/>
  <c r="AB526" i="4"/>
  <c r="AB518" i="4"/>
  <c r="AB510" i="4"/>
  <c r="AB502" i="4"/>
  <c r="AB494" i="4"/>
  <c r="AB486" i="4"/>
  <c r="AB478" i="4"/>
  <c r="AB470" i="4"/>
  <c r="AB462" i="4"/>
  <c r="AB454" i="4"/>
  <c r="AB446" i="4"/>
  <c r="AB438" i="4"/>
  <c r="AB430" i="4"/>
  <c r="AB422" i="4"/>
  <c r="AB414" i="4"/>
  <c r="AB406" i="4"/>
  <c r="AB398" i="4"/>
  <c r="AB390" i="4"/>
  <c r="AB382" i="4"/>
  <c r="AB374" i="4"/>
  <c r="AB366" i="4"/>
  <c r="AB358" i="4"/>
  <c r="AB350" i="4"/>
  <c r="AB342" i="4"/>
  <c r="AB334" i="4"/>
  <c r="AB326" i="4"/>
  <c r="AB318" i="4"/>
  <c r="AB310" i="4"/>
  <c r="AB302" i="4"/>
  <c r="AB294" i="4"/>
  <c r="AB286" i="4"/>
  <c r="AB278" i="4"/>
  <c r="AB270" i="4"/>
  <c r="AB262" i="4"/>
  <c r="AB254" i="4"/>
  <c r="AB246" i="4"/>
  <c r="AB238" i="4"/>
  <c r="AB230" i="4"/>
  <c r="AB222" i="4"/>
  <c r="AB214" i="4"/>
  <c r="AB206" i="4"/>
  <c r="AB198" i="4"/>
  <c r="AB190" i="4"/>
  <c r="AB182" i="4"/>
  <c r="AB174" i="4"/>
  <c r="AB166" i="4"/>
  <c r="AB158" i="4"/>
  <c r="AB150" i="4"/>
  <c r="AB142" i="4"/>
  <c r="AB134" i="4"/>
  <c r="AB126" i="4"/>
  <c r="AB118" i="4"/>
  <c r="AB110" i="4"/>
  <c r="AB102" i="4"/>
  <c r="AB94" i="4"/>
  <c r="AB86" i="4"/>
  <c r="AB78" i="4"/>
  <c r="AB70" i="4"/>
  <c r="AB62" i="4"/>
  <c r="AB54" i="4"/>
  <c r="AB46" i="4"/>
  <c r="AB38" i="4"/>
  <c r="AB30" i="4"/>
  <c r="AB22" i="4"/>
  <c r="AB14" i="4"/>
  <c r="AB6" i="4"/>
  <c r="AB677" i="4"/>
  <c r="AB669" i="4"/>
  <c r="AB661" i="4"/>
  <c r="AB653" i="4"/>
  <c r="AB645" i="4"/>
  <c r="AB637" i="4"/>
  <c r="AB629" i="4"/>
  <c r="AB621" i="4"/>
  <c r="AB613" i="4"/>
  <c r="AB605" i="4"/>
  <c r="AB597" i="4"/>
  <c r="AB589" i="4"/>
  <c r="AB581" i="4"/>
  <c r="AB573" i="4"/>
  <c r="AB565" i="4"/>
  <c r="AB557" i="4"/>
  <c r="AB549" i="4"/>
  <c r="AB541" i="4"/>
  <c r="AB533" i="4"/>
  <c r="AB525" i="4"/>
  <c r="AB517" i="4"/>
  <c r="AB509" i="4"/>
  <c r="AB501" i="4"/>
  <c r="AB493" i="4"/>
  <c r="AB485" i="4"/>
  <c r="AB477" i="4"/>
  <c r="AB469" i="4"/>
  <c r="AB461" i="4"/>
  <c r="AB453" i="4"/>
  <c r="AB445" i="4"/>
  <c r="AB437" i="4"/>
  <c r="AB429" i="4"/>
  <c r="AB421" i="4"/>
  <c r="AB413" i="4"/>
  <c r="AB405" i="4"/>
  <c r="AB397" i="4"/>
  <c r="AB389" i="4"/>
  <c r="AB381" i="4"/>
  <c r="AB373" i="4"/>
  <c r="AB365" i="4"/>
  <c r="AB357" i="4"/>
  <c r="AB349" i="4"/>
  <c r="AB341" i="4"/>
  <c r="AB333" i="4"/>
  <c r="AB325" i="4"/>
  <c r="AB317" i="4"/>
  <c r="AB309" i="4"/>
  <c r="AB301" i="4"/>
  <c r="AB293" i="4"/>
  <c r="AB285" i="4"/>
  <c r="AB277" i="4"/>
  <c r="AB269" i="4"/>
  <c r="AB261" i="4"/>
  <c r="AB253" i="4"/>
  <c r="AB245" i="4"/>
  <c r="AB237" i="4"/>
  <c r="AB229" i="4"/>
  <c r="AB221" i="4"/>
  <c r="AB213" i="4"/>
  <c r="AB205" i="4"/>
  <c r="AB197" i="4"/>
  <c r="AB189" i="4"/>
  <c r="AB181" i="4"/>
  <c r="AB173" i="4"/>
  <c r="AB165" i="4"/>
  <c r="AB157" i="4"/>
  <c r="AB149" i="4"/>
  <c r="AB141" i="4"/>
  <c r="AB133" i="4"/>
  <c r="AB125" i="4"/>
  <c r="AB117" i="4"/>
  <c r="AB109" i="4"/>
  <c r="AB101" i="4"/>
  <c r="AB93" i="4"/>
  <c r="AB85" i="4"/>
  <c r="AB77" i="4"/>
  <c r="AB69" i="4"/>
  <c r="AB61" i="4"/>
  <c r="AB53" i="4"/>
  <c r="AB45" i="4"/>
  <c r="AB37" i="4"/>
  <c r="AB29" i="4"/>
  <c r="AB21" i="4"/>
  <c r="AB13" i="4"/>
  <c r="AB5" i="4"/>
  <c r="AB524" i="4"/>
  <c r="AB516" i="4"/>
  <c r="AB508" i="4"/>
  <c r="AB500" i="4"/>
  <c r="AB492" i="4"/>
  <c r="AB484" i="4"/>
  <c r="AB476" i="4"/>
  <c r="AB468" i="4"/>
  <c r="AB460" i="4"/>
  <c r="AB452" i="4"/>
  <c r="AB444" i="4"/>
  <c r="AB436" i="4"/>
  <c r="AB428" i="4"/>
  <c r="AB420" i="4"/>
  <c r="AB412" i="4"/>
  <c r="AB404" i="4"/>
  <c r="AB396" i="4"/>
  <c r="AB388" i="4"/>
  <c r="AB380" i="4"/>
  <c r="AB372" i="4"/>
  <c r="AB364" i="4"/>
  <c r="AB356" i="4"/>
  <c r="AB348" i="4"/>
  <c r="AB340" i="4"/>
  <c r="AB332" i="4"/>
  <c r="AB324" i="4"/>
  <c r="AB316" i="4"/>
  <c r="AB308" i="4"/>
  <c r="AB300" i="4"/>
  <c r="AB292" i="4"/>
  <c r="AB284" i="4"/>
  <c r="AB276" i="4"/>
  <c r="AB268" i="4"/>
  <c r="AB260" i="4"/>
  <c r="AB252" i="4"/>
  <c r="AB244" i="4"/>
  <c r="AB236" i="4"/>
  <c r="AB228" i="4"/>
  <c r="AB220" i="4"/>
  <c r="AB212" i="4"/>
  <c r="AB204" i="4"/>
  <c r="AB196" i="4"/>
  <c r="AB188" i="4"/>
  <c r="AB180" i="4"/>
  <c r="AB172" i="4"/>
  <c r="AB164" i="4"/>
  <c r="AB156" i="4"/>
  <c r="AB148" i="4"/>
  <c r="AB140" i="4"/>
  <c r="AB132" i="4"/>
  <c r="AB124" i="4"/>
  <c r="AB116" i="4"/>
  <c r="AB108" i="4"/>
  <c r="AB100" i="4"/>
  <c r="AB92" i="4"/>
  <c r="AB84" i="4"/>
  <c r="AB76" i="4"/>
  <c r="AB68" i="4"/>
  <c r="AB60" i="4"/>
  <c r="AB52" i="4"/>
  <c r="AB44" i="4"/>
  <c r="AB36" i="4"/>
  <c r="AB28" i="4"/>
  <c r="AB20" i="4"/>
  <c r="AB12" i="4"/>
  <c r="AB4" i="4"/>
  <c r="AB675" i="4"/>
  <c r="AB667" i="4"/>
  <c r="AB659" i="4"/>
  <c r="AB651" i="4"/>
  <c r="AB643" i="4"/>
  <c r="AB635" i="4"/>
  <c r="AB627" i="4"/>
  <c r="AB619" i="4"/>
  <c r="AB611" i="4"/>
  <c r="AB603" i="4"/>
  <c r="AB595" i="4"/>
  <c r="AB587" i="4"/>
  <c r="AB579" i="4"/>
  <c r="AB571" i="4"/>
  <c r="AB563" i="4"/>
  <c r="AB555" i="4"/>
  <c r="AB547" i="4"/>
  <c r="AB539" i="4"/>
  <c r="AB531" i="4"/>
  <c r="AB523" i="4"/>
  <c r="AB515" i="4"/>
  <c r="AB507" i="4"/>
  <c r="AB499" i="4"/>
  <c r="AB491" i="4"/>
  <c r="AB483" i="4"/>
  <c r="AB475" i="4"/>
  <c r="AB467" i="4"/>
  <c r="AB459" i="4"/>
  <c r="AB451" i="4"/>
  <c r="AB443" i="4"/>
  <c r="AB435" i="4"/>
  <c r="AB427" i="4"/>
  <c r="AB419" i="4"/>
  <c r="AB411" i="4"/>
  <c r="AB403" i="4"/>
  <c r="AB395" i="4"/>
  <c r="AB387" i="4"/>
  <c r="AB379" i="4"/>
  <c r="AB371" i="4"/>
  <c r="AB363" i="4"/>
  <c r="AB355" i="4"/>
  <c r="AB347" i="4"/>
  <c r="AB339" i="4"/>
  <c r="AB331" i="4"/>
  <c r="AB323" i="4"/>
  <c r="AB315" i="4"/>
  <c r="AB307" i="4"/>
  <c r="AB299" i="4"/>
  <c r="AB291" i="4"/>
  <c r="AB283" i="4"/>
  <c r="AB275" i="4"/>
  <c r="AB267" i="4"/>
  <c r="AB259" i="4"/>
  <c r="AB251" i="4"/>
  <c r="AB243" i="4"/>
  <c r="AB235" i="4"/>
  <c r="AB227" i="4"/>
  <c r="AB219" i="4"/>
  <c r="AB211" i="4"/>
  <c r="AB203" i="4"/>
  <c r="AB195" i="4"/>
  <c r="AB187" i="4"/>
  <c r="AB179" i="4"/>
  <c r="AB171" i="4"/>
  <c r="AB163" i="4"/>
  <c r="AB155" i="4"/>
  <c r="AB147" i="4"/>
  <c r="AB139" i="4"/>
  <c r="AB131" i="4"/>
  <c r="AB123" i="4"/>
  <c r="AB115" i="4"/>
  <c r="AB107" i="4"/>
  <c r="AB99" i="4"/>
  <c r="AB91" i="4"/>
  <c r="AB83" i="4"/>
  <c r="AB75" i="4"/>
  <c r="AB67" i="4"/>
  <c r="AB59" i="4"/>
  <c r="AB51" i="4"/>
  <c r="AB43" i="4"/>
  <c r="AB35" i="4"/>
  <c r="AB27" i="4"/>
  <c r="AB19" i="4"/>
  <c r="AB11" i="4"/>
  <c r="AB3" i="4"/>
  <c r="AE2" i="4"/>
  <c r="AD2" i="4"/>
  <c r="AE926" i="4"/>
  <c r="AD926" i="4"/>
  <c r="AM926" i="4" s="1"/>
  <c r="AD918" i="4"/>
  <c r="AE918" i="4"/>
  <c r="AE910" i="4"/>
  <c r="AD910" i="4"/>
  <c r="AE902" i="4"/>
  <c r="AD902" i="4"/>
  <c r="AD894" i="4"/>
  <c r="AE894" i="4"/>
  <c r="AD886" i="4"/>
  <c r="AE886" i="4"/>
  <c r="AD878" i="4"/>
  <c r="AE878" i="4"/>
  <c r="AE870" i="4"/>
  <c r="AD870" i="4"/>
  <c r="AE862" i="4"/>
  <c r="AD862" i="4"/>
  <c r="AD854" i="4"/>
  <c r="AE854" i="4"/>
  <c r="AD846" i="4"/>
  <c r="AE846" i="4"/>
  <c r="AE838" i="4"/>
  <c r="AD838" i="4"/>
  <c r="AD830" i="4"/>
  <c r="AE830" i="4"/>
  <c r="AE822" i="4"/>
  <c r="AD822" i="4"/>
  <c r="AD814" i="4"/>
  <c r="AE814" i="4"/>
  <c r="AE806" i="4"/>
  <c r="AD806" i="4"/>
  <c r="AE798" i="4"/>
  <c r="AD798" i="4"/>
  <c r="AD790" i="4"/>
  <c r="AE790" i="4"/>
  <c r="AD782" i="4"/>
  <c r="AE782" i="4"/>
  <c r="AE774" i="4"/>
  <c r="AD774" i="4"/>
  <c r="AE766" i="4"/>
  <c r="AD766" i="4"/>
  <c r="AD758" i="4"/>
  <c r="AE758" i="4"/>
  <c r="AE750" i="4"/>
  <c r="AD750" i="4"/>
  <c r="AE742" i="4"/>
  <c r="AD742" i="4"/>
  <c r="AE734" i="4"/>
  <c r="AD734" i="4"/>
  <c r="AD726" i="4"/>
  <c r="AE726" i="4"/>
  <c r="AD718" i="4"/>
  <c r="AE718" i="4"/>
  <c r="AE710" i="4"/>
  <c r="AD710" i="4"/>
  <c r="AE702" i="4"/>
  <c r="AD702" i="4"/>
  <c r="AD694" i="4"/>
  <c r="AE694" i="4"/>
  <c r="AE686" i="4"/>
  <c r="AD686" i="4"/>
  <c r="AE678" i="4"/>
  <c r="AD678" i="4"/>
  <c r="AE670" i="4"/>
  <c r="AD670" i="4"/>
  <c r="AD662" i="4"/>
  <c r="AE662" i="4"/>
  <c r="AD654" i="4"/>
  <c r="AE654" i="4"/>
  <c r="AE646" i="4"/>
  <c r="AD646" i="4"/>
  <c r="AE638" i="4"/>
  <c r="AD638" i="4"/>
  <c r="AD630" i="4"/>
  <c r="AE630" i="4"/>
  <c r="AE622" i="4"/>
  <c r="AD622" i="4"/>
  <c r="AE614" i="4"/>
  <c r="AD614" i="4"/>
  <c r="AE606" i="4"/>
  <c r="AD606" i="4"/>
  <c r="AD598" i="4"/>
  <c r="AE598" i="4"/>
  <c r="AD590" i="4"/>
  <c r="AE590" i="4"/>
  <c r="AE582" i="4"/>
  <c r="AD582" i="4"/>
  <c r="AE574" i="4"/>
  <c r="AD574" i="4"/>
  <c r="AD566" i="4"/>
  <c r="AE566" i="4"/>
  <c r="AE558" i="4"/>
  <c r="AD558" i="4"/>
  <c r="AE550" i="4"/>
  <c r="AD550" i="4"/>
  <c r="AE542" i="4"/>
  <c r="AD542" i="4"/>
  <c r="AD534" i="4"/>
  <c r="AE534" i="4"/>
  <c r="AD526" i="4"/>
  <c r="AE526" i="4"/>
  <c r="AE518" i="4"/>
  <c r="AD518" i="4"/>
  <c r="AE510" i="4"/>
  <c r="AD510" i="4"/>
  <c r="AD502" i="4"/>
  <c r="AM502" i="4" s="1"/>
  <c r="AE502" i="4"/>
  <c r="AE494" i="4"/>
  <c r="AD494" i="4"/>
  <c r="AE486" i="4"/>
  <c r="AD486" i="4"/>
  <c r="AD478" i="4"/>
  <c r="AE478" i="4"/>
  <c r="AE470" i="4"/>
  <c r="AD470" i="4"/>
  <c r="AE462" i="4"/>
  <c r="AD462" i="4"/>
  <c r="AE454" i="4"/>
  <c r="AD454" i="4"/>
  <c r="AD446" i="4"/>
  <c r="AE446" i="4"/>
  <c r="AE438" i="4"/>
  <c r="AD438" i="4"/>
  <c r="AE430" i="4"/>
  <c r="AD430" i="4"/>
  <c r="AJ398" i="4"/>
  <c r="AF398" i="4"/>
  <c r="AK398" i="4" s="1"/>
  <c r="AJ374" i="4"/>
  <c r="AF374" i="4"/>
  <c r="AK374" i="4" s="1"/>
  <c r="AJ342" i="4"/>
  <c r="AF342" i="4"/>
  <c r="AK342" i="4" s="1"/>
  <c r="AJ278" i="4"/>
  <c r="AF278" i="4"/>
  <c r="AK278" i="4" s="1"/>
  <c r="AJ206" i="4"/>
  <c r="AF206" i="4"/>
  <c r="AK206" i="4" s="1"/>
  <c r="AJ174" i="4"/>
  <c r="AF174" i="4"/>
  <c r="AK174" i="4" s="1"/>
  <c r="AJ166" i="4"/>
  <c r="AF166" i="4"/>
  <c r="AK166" i="4" s="1"/>
  <c r="AJ134" i="4"/>
  <c r="AF134" i="4"/>
  <c r="AK134" i="4" s="1"/>
  <c r="AJ102" i="4"/>
  <c r="AF102" i="4"/>
  <c r="AK102" i="4" s="1"/>
  <c r="AJ70" i="4"/>
  <c r="AF70" i="4"/>
  <c r="AK70" i="4" s="1"/>
  <c r="AJ46" i="4"/>
  <c r="AF46" i="4"/>
  <c r="AK46" i="4" s="1"/>
  <c r="AJ6" i="4"/>
  <c r="AF6" i="4"/>
  <c r="AK6" i="4" s="1"/>
  <c r="AE933" i="4"/>
  <c r="AD933" i="4"/>
  <c r="AM933" i="4" s="1"/>
  <c r="AE925" i="4"/>
  <c r="AD925" i="4"/>
  <c r="AM925" i="4" s="1"/>
  <c r="AE917" i="4"/>
  <c r="AD917" i="4"/>
  <c r="AE909" i="4"/>
  <c r="AD909" i="4"/>
  <c r="AE901" i="4"/>
  <c r="AD901" i="4"/>
  <c r="AE893" i="4"/>
  <c r="AD893" i="4"/>
  <c r="AE885" i="4"/>
  <c r="AD885" i="4"/>
  <c r="AE877" i="4"/>
  <c r="AD877" i="4"/>
  <c r="AE869" i="4"/>
  <c r="AD869" i="4"/>
  <c r="AE861" i="4"/>
  <c r="AD861" i="4"/>
  <c r="AE853" i="4"/>
  <c r="AD853" i="4"/>
  <c r="AE845" i="4"/>
  <c r="AD845" i="4"/>
  <c r="AM845" i="4" s="1"/>
  <c r="AE837" i="4"/>
  <c r="AD837" i="4"/>
  <c r="AE829" i="4"/>
  <c r="AD829" i="4"/>
  <c r="AE821" i="4"/>
  <c r="AD821" i="4"/>
  <c r="AE813" i="4"/>
  <c r="AD813" i="4"/>
  <c r="AE805" i="4"/>
  <c r="AD805" i="4"/>
  <c r="AE797" i="4"/>
  <c r="AD797" i="4"/>
  <c r="AE789" i="4"/>
  <c r="AD789" i="4"/>
  <c r="AE781" i="4"/>
  <c r="AD781" i="4"/>
  <c r="AE773" i="4"/>
  <c r="AD773" i="4"/>
  <c r="AE765" i="4"/>
  <c r="AD765" i="4"/>
  <c r="AE757" i="4"/>
  <c r="AD757" i="4"/>
  <c r="AE749" i="4"/>
  <c r="AD749" i="4"/>
  <c r="AE741" i="4"/>
  <c r="AD741" i="4"/>
  <c r="AE733" i="4"/>
  <c r="AD733" i="4"/>
  <c r="AE725" i="4"/>
  <c r="AD725" i="4"/>
  <c r="AE717" i="4"/>
  <c r="AD717" i="4"/>
  <c r="AE709" i="4"/>
  <c r="AD709" i="4"/>
  <c r="AE701" i="4"/>
  <c r="AD701" i="4"/>
  <c r="AE693" i="4"/>
  <c r="AD693" i="4"/>
  <c r="AE685" i="4"/>
  <c r="AD685" i="4"/>
  <c r="AE677" i="4"/>
  <c r="AD677" i="4"/>
  <c r="AE669" i="4"/>
  <c r="AD669" i="4"/>
  <c r="AE661" i="4"/>
  <c r="AD661" i="4"/>
  <c r="AE653" i="4"/>
  <c r="AD653" i="4"/>
  <c r="AE645" i="4"/>
  <c r="AD645" i="4"/>
  <c r="AE637" i="4"/>
  <c r="AD637" i="4"/>
  <c r="AE629" i="4"/>
  <c r="AD629" i="4"/>
  <c r="AE621" i="4"/>
  <c r="AD621" i="4"/>
  <c r="AE613" i="4"/>
  <c r="AD613" i="4"/>
  <c r="AE605" i="4"/>
  <c r="AD605" i="4"/>
  <c r="AE597" i="4"/>
  <c r="AD597" i="4"/>
  <c r="AE589" i="4"/>
  <c r="AD589" i="4"/>
  <c r="AE581" i="4"/>
  <c r="AD581" i="4"/>
  <c r="AE573" i="4"/>
  <c r="AD573" i="4"/>
  <c r="AM573" i="4" s="1"/>
  <c r="AE565" i="4"/>
  <c r="AD565" i="4"/>
  <c r="AE557" i="4"/>
  <c r="AD557" i="4"/>
  <c r="AE549" i="4"/>
  <c r="AD549" i="4"/>
  <c r="AE541" i="4"/>
  <c r="AD541" i="4"/>
  <c r="AE533" i="4"/>
  <c r="AD533" i="4"/>
  <c r="AD525" i="4"/>
  <c r="AE525" i="4"/>
  <c r="AD517" i="4"/>
  <c r="AM517" i="4" s="1"/>
  <c r="AE517" i="4"/>
  <c r="AE509" i="4"/>
  <c r="AD509" i="4"/>
  <c r="AE501" i="4"/>
  <c r="AD501" i="4"/>
  <c r="AE493" i="4"/>
  <c r="AD493" i="4"/>
  <c r="AE485" i="4"/>
  <c r="AD485" i="4"/>
  <c r="AE477" i="4"/>
  <c r="AD477" i="4"/>
  <c r="AD469" i="4"/>
  <c r="AE469" i="4"/>
  <c r="AD461" i="4"/>
  <c r="AE461" i="4"/>
  <c r="AD453" i="4"/>
  <c r="AE453" i="4"/>
  <c r="AE445" i="4"/>
  <c r="AD445" i="4"/>
  <c r="AD437" i="4"/>
  <c r="AE437" i="4"/>
  <c r="AD429" i="4"/>
  <c r="AE429" i="4"/>
  <c r="AE421" i="4"/>
  <c r="AD421" i="4"/>
  <c r="AE413" i="4"/>
  <c r="AD413" i="4"/>
  <c r="AD405" i="4"/>
  <c r="AE405" i="4"/>
  <c r="AE397" i="4"/>
  <c r="AD397" i="4"/>
  <c r="AE389" i="4"/>
  <c r="AD389" i="4"/>
  <c r="AE381" i="4"/>
  <c r="AD381" i="4"/>
  <c r="AD373" i="4"/>
  <c r="AE373" i="4"/>
  <c r="AE365" i="4"/>
  <c r="AD365" i="4"/>
  <c r="AE357" i="4"/>
  <c r="AD357" i="4"/>
  <c r="AE349" i="4"/>
  <c r="AD349" i="4"/>
  <c r="AD341" i="4"/>
  <c r="AE341" i="4"/>
  <c r="AD333" i="4"/>
  <c r="AM333" i="4" s="1"/>
  <c r="AE333" i="4"/>
  <c r="AE325" i="4"/>
  <c r="AD325" i="4"/>
  <c r="AE317" i="4"/>
  <c r="AD317" i="4"/>
  <c r="AD309" i="4"/>
  <c r="AE309" i="4"/>
  <c r="AE301" i="4"/>
  <c r="AD301" i="4"/>
  <c r="AE293" i="4"/>
  <c r="AD293" i="4"/>
  <c r="AE285" i="4"/>
  <c r="AD285" i="4"/>
  <c r="AD277" i="4"/>
  <c r="AE277" i="4"/>
  <c r="AE269" i="4"/>
  <c r="AD269" i="4"/>
  <c r="AD261" i="4"/>
  <c r="AE261" i="4"/>
  <c r="AE253" i="4"/>
  <c r="AD253" i="4"/>
  <c r="AD245" i="4"/>
  <c r="AE245" i="4"/>
  <c r="AD237" i="4"/>
  <c r="AE237" i="4"/>
  <c r="AE229" i="4"/>
  <c r="AD229" i="4"/>
  <c r="AE221" i="4"/>
  <c r="AD221" i="4"/>
  <c r="AD213" i="4"/>
  <c r="AE213" i="4"/>
  <c r="AE205" i="4"/>
  <c r="AD205" i="4"/>
  <c r="AD197" i="4"/>
  <c r="AE197" i="4"/>
  <c r="AE189" i="4"/>
  <c r="AD189" i="4"/>
  <c r="AE181" i="4"/>
  <c r="AD181" i="4"/>
  <c r="AE173" i="4"/>
  <c r="AD173" i="4"/>
  <c r="AE165" i="4"/>
  <c r="AD165" i="4"/>
  <c r="AE157" i="4"/>
  <c r="AD157" i="4"/>
  <c r="AD149" i="4"/>
  <c r="AE149" i="4"/>
  <c r="AD141" i="4"/>
  <c r="AE141" i="4"/>
  <c r="AE133" i="4"/>
  <c r="AD133" i="4"/>
  <c r="AE125" i="4"/>
  <c r="AD125" i="4"/>
  <c r="AE117" i="4"/>
  <c r="AD117" i="4"/>
  <c r="AE109" i="4"/>
  <c r="AD109" i="4"/>
  <c r="AE101" i="4"/>
  <c r="AD101" i="4"/>
  <c r="AE93" i="4"/>
  <c r="AD93" i="4"/>
  <c r="AD85" i="4"/>
  <c r="AE85" i="4"/>
  <c r="AD77" i="4"/>
  <c r="AE77" i="4"/>
  <c r="AE69" i="4"/>
  <c r="AD69" i="4"/>
  <c r="AE61" i="4"/>
  <c r="AD61" i="4"/>
  <c r="AE53" i="4"/>
  <c r="AD53" i="4"/>
  <c r="AE45" i="4"/>
  <c r="AD45" i="4"/>
  <c r="AE37" i="4"/>
  <c r="AD37" i="4"/>
  <c r="AE29" i="4"/>
  <c r="AD29" i="4"/>
  <c r="AD21" i="4"/>
  <c r="AM21" i="4" s="1"/>
  <c r="AE21" i="4"/>
  <c r="AE932" i="4"/>
  <c r="AD932" i="4"/>
  <c r="AM932" i="4" s="1"/>
  <c r="AE924" i="4"/>
  <c r="AD924" i="4"/>
  <c r="AM924" i="4" s="1"/>
  <c r="AE916" i="4"/>
  <c r="AD916" i="4"/>
  <c r="AE908" i="4"/>
  <c r="AD908" i="4"/>
  <c r="AE900" i="4"/>
  <c r="AD900" i="4"/>
  <c r="AE892" i="4"/>
  <c r="AD892" i="4"/>
  <c r="AE884" i="4"/>
  <c r="AD884" i="4"/>
  <c r="AE876" i="4"/>
  <c r="AD876" i="4"/>
  <c r="AE868" i="4"/>
  <c r="AD868" i="4"/>
  <c r="AE860" i="4"/>
  <c r="AD860" i="4"/>
  <c r="AE852" i="4"/>
  <c r="AD852" i="4"/>
  <c r="AE844" i="4"/>
  <c r="AD844" i="4"/>
  <c r="AD836" i="4"/>
  <c r="AE836" i="4"/>
  <c r="AE828" i="4"/>
  <c r="AD828" i="4"/>
  <c r="AE820" i="4"/>
  <c r="AD820" i="4"/>
  <c r="AM820" i="4" s="1"/>
  <c r="AE812" i="4"/>
  <c r="AD812" i="4"/>
  <c r="AE804" i="4"/>
  <c r="AD804" i="4"/>
  <c r="AE796" i="4"/>
  <c r="AD796" i="4"/>
  <c r="AE788" i="4"/>
  <c r="AD788" i="4"/>
  <c r="AE780" i="4"/>
  <c r="AD780" i="4"/>
  <c r="AE772" i="4"/>
  <c r="AD772" i="4"/>
  <c r="AE764" i="4"/>
  <c r="AD764" i="4"/>
  <c r="AE756" i="4"/>
  <c r="AD756" i="4"/>
  <c r="AE748" i="4"/>
  <c r="AD748" i="4"/>
  <c r="AE740" i="4"/>
  <c r="AD740" i="4"/>
  <c r="AE732" i="4"/>
  <c r="AD732" i="4"/>
  <c r="AE724" i="4"/>
  <c r="AD724" i="4"/>
  <c r="AE716" i="4"/>
  <c r="AD716" i="4"/>
  <c r="AE708" i="4"/>
  <c r="AD708" i="4"/>
  <c r="AE700" i="4"/>
  <c r="AD700" i="4"/>
  <c r="AE692" i="4"/>
  <c r="AD692" i="4"/>
  <c r="AE684" i="4"/>
  <c r="AD684" i="4"/>
  <c r="AE676" i="4"/>
  <c r="AD676" i="4"/>
  <c r="AE668" i="4"/>
  <c r="AD668" i="4"/>
  <c r="AE660" i="4"/>
  <c r="AD660" i="4"/>
  <c r="AE652" i="4"/>
  <c r="AD652" i="4"/>
  <c r="AE644" i="4"/>
  <c r="AD644" i="4"/>
  <c r="AE636" i="4"/>
  <c r="AD636" i="4"/>
  <c r="AE628" i="4"/>
  <c r="AD628" i="4"/>
  <c r="AE620" i="4"/>
  <c r="AD620" i="4"/>
  <c r="AE612" i="4"/>
  <c r="AD612" i="4"/>
  <c r="AE604" i="4"/>
  <c r="AD604" i="4"/>
  <c r="AJ580" i="4"/>
  <c r="AG580" i="4"/>
  <c r="AF580" i="4"/>
  <c r="AK580" i="4" s="1"/>
  <c r="AJ572" i="4"/>
  <c r="AF572" i="4"/>
  <c r="AK572" i="4" s="1"/>
  <c r="AJ548" i="4"/>
  <c r="AF548" i="4"/>
  <c r="AK548" i="4" s="1"/>
  <c r="AJ452" i="4"/>
  <c r="AF452" i="4"/>
  <c r="AK452" i="4" s="1"/>
  <c r="AJ444" i="4"/>
  <c r="AF444" i="4"/>
  <c r="AK444" i="4" s="1"/>
  <c r="AJ420" i="4"/>
  <c r="AF420" i="4"/>
  <c r="AK420" i="4" s="1"/>
  <c r="AM356" i="4"/>
  <c r="AJ324" i="4"/>
  <c r="AG324" i="4"/>
  <c r="AF324" i="4"/>
  <c r="AK324" i="4" s="1"/>
  <c r="AJ316" i="4"/>
  <c r="AF316" i="4"/>
  <c r="AK316" i="4" s="1"/>
  <c r="AJ292" i="4"/>
  <c r="AF292" i="4"/>
  <c r="AK292" i="4" s="1"/>
  <c r="AJ252" i="4"/>
  <c r="AF252" i="4"/>
  <c r="AK252" i="4" s="1"/>
  <c r="AJ228" i="4"/>
  <c r="AF228" i="4"/>
  <c r="AK228" i="4" s="1"/>
  <c r="AJ196" i="4"/>
  <c r="AF196" i="4"/>
  <c r="AK196" i="4" s="1"/>
  <c r="AJ180" i="4"/>
  <c r="AF180" i="4"/>
  <c r="AK180" i="4" s="1"/>
  <c r="AJ148" i="4"/>
  <c r="AF148" i="4"/>
  <c r="AK148" i="4" s="1"/>
  <c r="AJ124" i="4"/>
  <c r="AF124" i="4"/>
  <c r="AK124" i="4" s="1"/>
  <c r="AJ60" i="4"/>
  <c r="AF60" i="4"/>
  <c r="AK60" i="4" s="1"/>
  <c r="AJ20" i="4"/>
  <c r="AF20" i="4"/>
  <c r="AK20" i="4" s="1"/>
  <c r="AE931" i="4"/>
  <c r="AD931" i="4"/>
  <c r="AM931" i="4" s="1"/>
  <c r="AD923" i="4"/>
  <c r="AE923" i="4"/>
  <c r="AE915" i="4"/>
  <c r="AD915" i="4"/>
  <c r="AE907" i="4"/>
  <c r="AD907" i="4"/>
  <c r="AE899" i="4"/>
  <c r="AD899" i="4"/>
  <c r="AE891" i="4"/>
  <c r="AD891" i="4"/>
  <c r="AE883" i="4"/>
  <c r="AD883" i="4"/>
  <c r="AE875" i="4"/>
  <c r="AD875" i="4"/>
  <c r="AE867" i="4"/>
  <c r="AD867" i="4"/>
  <c r="AE859" i="4"/>
  <c r="AD859" i="4"/>
  <c r="AE851" i="4"/>
  <c r="AD851" i="4"/>
  <c r="AE843" i="4"/>
  <c r="AD843" i="4"/>
  <c r="AE835" i="4"/>
  <c r="AD835" i="4"/>
  <c r="AE827" i="4"/>
  <c r="AD827" i="4"/>
  <c r="AD819" i="4"/>
  <c r="AE819" i="4"/>
  <c r="AE811" i="4"/>
  <c r="AD811" i="4"/>
  <c r="AE803" i="4"/>
  <c r="AD803" i="4"/>
  <c r="AE795" i="4"/>
  <c r="AD795" i="4"/>
  <c r="AE787" i="4"/>
  <c r="AD787" i="4"/>
  <c r="AE779" i="4"/>
  <c r="AD779" i="4"/>
  <c r="AE771" i="4"/>
  <c r="AD771" i="4"/>
  <c r="AE763" i="4"/>
  <c r="AD763" i="4"/>
  <c r="AE755" i="4"/>
  <c r="AD755" i="4"/>
  <c r="AE747" i="4"/>
  <c r="AD747" i="4"/>
  <c r="AE739" i="4"/>
  <c r="AD739" i="4"/>
  <c r="AE731" i="4"/>
  <c r="AD731" i="4"/>
  <c r="AE723" i="4"/>
  <c r="AD723" i="4"/>
  <c r="AE715" i="4"/>
  <c r="AD715" i="4"/>
  <c r="AE707" i="4"/>
  <c r="AD707" i="4"/>
  <c r="AE699" i="4"/>
  <c r="AD699" i="4"/>
  <c r="AE691" i="4"/>
  <c r="AD691" i="4"/>
  <c r="AE683" i="4"/>
  <c r="AD683" i="4"/>
  <c r="AE675" i="4"/>
  <c r="AD675" i="4"/>
  <c r="AE667" i="4"/>
  <c r="AD667" i="4"/>
  <c r="AE659" i="4"/>
  <c r="AD659" i="4"/>
  <c r="AE651" i="4"/>
  <c r="AD651" i="4"/>
  <c r="AE643" i="4"/>
  <c r="AD643" i="4"/>
  <c r="AE635" i="4"/>
  <c r="AD635" i="4"/>
  <c r="AD627" i="4"/>
  <c r="AE627" i="4"/>
  <c r="AE619" i="4"/>
  <c r="AD619" i="4"/>
  <c r="AE611" i="4"/>
  <c r="AD611" i="4"/>
  <c r="AD603" i="4"/>
  <c r="AE603" i="4"/>
  <c r="AE595" i="4"/>
  <c r="AD595" i="4"/>
  <c r="AE587" i="4"/>
  <c r="AD587" i="4"/>
  <c r="AE579" i="4"/>
  <c r="AD579" i="4"/>
  <c r="AE571" i="4"/>
  <c r="AD571" i="4"/>
  <c r="AE563" i="4"/>
  <c r="AD563" i="4"/>
  <c r="AE555" i="4"/>
  <c r="AD555" i="4"/>
  <c r="AE547" i="4"/>
  <c r="AD547" i="4"/>
  <c r="AE539" i="4"/>
  <c r="AD539" i="4"/>
  <c r="AD531" i="4"/>
  <c r="AE531" i="4"/>
  <c r="AD523" i="4"/>
  <c r="AE523" i="4"/>
  <c r="AD515" i="4"/>
  <c r="AE515" i="4"/>
  <c r="AD507" i="4"/>
  <c r="AE507" i="4"/>
  <c r="AD499" i="4"/>
  <c r="AE499" i="4"/>
  <c r="AD491" i="4"/>
  <c r="AE491" i="4"/>
  <c r="AD483" i="4"/>
  <c r="AM483" i="4" s="1"/>
  <c r="AE483" i="4"/>
  <c r="AD475" i="4"/>
  <c r="AE475" i="4"/>
  <c r="AD467" i="4"/>
  <c r="AE467" i="4"/>
  <c r="AD459" i="4"/>
  <c r="AE459" i="4"/>
  <c r="AD451" i="4"/>
  <c r="AE451" i="4"/>
  <c r="AD443" i="4"/>
  <c r="AE443" i="4"/>
  <c r="AD435" i="4"/>
  <c r="AE435" i="4"/>
  <c r="AD427" i="4"/>
  <c r="AE427" i="4"/>
  <c r="AD419" i="4"/>
  <c r="AE419" i="4"/>
  <c r="AD411" i="4"/>
  <c r="AE411" i="4"/>
  <c r="AD403" i="4"/>
  <c r="AE403" i="4"/>
  <c r="AD395" i="4"/>
  <c r="AE395" i="4"/>
  <c r="AD387" i="4"/>
  <c r="AE387" i="4"/>
  <c r="AD379" i="4"/>
  <c r="AE379" i="4"/>
  <c r="AD371" i="4"/>
  <c r="AE371" i="4"/>
  <c r="AD363" i="4"/>
  <c r="AE363" i="4"/>
  <c r="AD355" i="4"/>
  <c r="AE355" i="4"/>
  <c r="AD347" i="4"/>
  <c r="AE347" i="4"/>
  <c r="AD339" i="4"/>
  <c r="AE339" i="4"/>
  <c r="AD331" i="4"/>
  <c r="AE331" i="4"/>
  <c r="AD323" i="4"/>
  <c r="AE323" i="4"/>
  <c r="AD315" i="4"/>
  <c r="AE315" i="4"/>
  <c r="AD307" i="4"/>
  <c r="AE307" i="4"/>
  <c r="AD299" i="4"/>
  <c r="AE299" i="4"/>
  <c r="AD291" i="4"/>
  <c r="AE291" i="4"/>
  <c r="AD283" i="4"/>
  <c r="AE283" i="4"/>
  <c r="AD275" i="4"/>
  <c r="AE275" i="4"/>
  <c r="AD267" i="4"/>
  <c r="AE267" i="4"/>
  <c r="AD259" i="4"/>
  <c r="AE259" i="4"/>
  <c r="AD251" i="4"/>
  <c r="AE251" i="4"/>
  <c r="AD243" i="4"/>
  <c r="AE243" i="4"/>
  <c r="AD235" i="4"/>
  <c r="AE235" i="4"/>
  <c r="AD227" i="4"/>
  <c r="AE227" i="4"/>
  <c r="AE930" i="4"/>
  <c r="AD930" i="4"/>
  <c r="AM930" i="4" s="1"/>
  <c r="AD922" i="4"/>
  <c r="AM922" i="4" s="1"/>
  <c r="AE922" i="4"/>
  <c r="AE914" i="4"/>
  <c r="AD914" i="4"/>
  <c r="AD906" i="4"/>
  <c r="AM906" i="4" s="1"/>
  <c r="AE906" i="4"/>
  <c r="AE898" i="4"/>
  <c r="AD898" i="4"/>
  <c r="AE890" i="4"/>
  <c r="AD890" i="4"/>
  <c r="AE882" i="4"/>
  <c r="AD882" i="4"/>
  <c r="AE874" i="4"/>
  <c r="AD874" i="4"/>
  <c r="AE866" i="4"/>
  <c r="AD866" i="4"/>
  <c r="AE858" i="4"/>
  <c r="AD858" i="4"/>
  <c r="AM858" i="4" s="1"/>
  <c r="AD850" i="4"/>
  <c r="AE850" i="4"/>
  <c r="AE842" i="4"/>
  <c r="AD842" i="4"/>
  <c r="AE834" i="4"/>
  <c r="AD834" i="4"/>
  <c r="AE826" i="4"/>
  <c r="AD826" i="4"/>
  <c r="AD818" i="4"/>
  <c r="AE818" i="4"/>
  <c r="AE810" i="4"/>
  <c r="AD810" i="4"/>
  <c r="AE802" i="4"/>
  <c r="AD802" i="4"/>
  <c r="AE794" i="4"/>
  <c r="AD794" i="4"/>
  <c r="AE786" i="4"/>
  <c r="AD786" i="4"/>
  <c r="AE778" i="4"/>
  <c r="AD778" i="4"/>
  <c r="AE770" i="4"/>
  <c r="AD770" i="4"/>
  <c r="AE762" i="4"/>
  <c r="AD762" i="4"/>
  <c r="AD754" i="4"/>
  <c r="AE754" i="4"/>
  <c r="AD746" i="4"/>
  <c r="AE746" i="4"/>
  <c r="AE738" i="4"/>
  <c r="AD738" i="4"/>
  <c r="AE730" i="4"/>
  <c r="AD730" i="4"/>
  <c r="AD722" i="4"/>
  <c r="AE722" i="4"/>
  <c r="AE714" i="4"/>
  <c r="AD714" i="4"/>
  <c r="AE706" i="4"/>
  <c r="AD706" i="4"/>
  <c r="AE698" i="4"/>
  <c r="AD698" i="4"/>
  <c r="AE690" i="4"/>
  <c r="AD690" i="4"/>
  <c r="AE682" i="4"/>
  <c r="AD682" i="4"/>
  <c r="AE674" i="4"/>
  <c r="AD674" i="4"/>
  <c r="AE666" i="4"/>
  <c r="AD666" i="4"/>
  <c r="AE658" i="4"/>
  <c r="AD658" i="4"/>
  <c r="AM658" i="4" s="1"/>
  <c r="AE650" i="4"/>
  <c r="AD650" i="4"/>
  <c r="AJ618" i="4"/>
  <c r="AF618" i="4"/>
  <c r="AK618" i="4" s="1"/>
  <c r="AJ594" i="4"/>
  <c r="AF594" i="4"/>
  <c r="AK594" i="4" s="1"/>
  <c r="AJ562" i="4"/>
  <c r="AF562" i="4"/>
  <c r="AK562" i="4" s="1"/>
  <c r="AJ490" i="4"/>
  <c r="AF490" i="4"/>
  <c r="AK490" i="4" s="1"/>
  <c r="AJ466" i="4"/>
  <c r="AF466" i="4"/>
  <c r="AK466" i="4" s="1"/>
  <c r="AJ426" i="4"/>
  <c r="AF426" i="4"/>
  <c r="AK426" i="4" s="1"/>
  <c r="AJ402" i="4"/>
  <c r="AF402" i="4"/>
  <c r="AK402" i="4" s="1"/>
  <c r="AJ370" i="4"/>
  <c r="AF370" i="4"/>
  <c r="AK370" i="4" s="1"/>
  <c r="AJ298" i="4"/>
  <c r="AF298" i="4"/>
  <c r="AK298" i="4" s="1"/>
  <c r="AJ274" i="4"/>
  <c r="AF274" i="4"/>
  <c r="AK274" i="4" s="1"/>
  <c r="AE929" i="4"/>
  <c r="AD929" i="4"/>
  <c r="AM929" i="4" s="1"/>
  <c r="AE921" i="4"/>
  <c r="AD921" i="4"/>
  <c r="AE913" i="4"/>
  <c r="AD913" i="4"/>
  <c r="AD905" i="4"/>
  <c r="AE905" i="4"/>
  <c r="AE897" i="4"/>
  <c r="AD897" i="4"/>
  <c r="AE889" i="4"/>
  <c r="AD889" i="4"/>
  <c r="AE881" i="4"/>
  <c r="AD881" i="4"/>
  <c r="AE873" i="4"/>
  <c r="AD873" i="4"/>
  <c r="AD865" i="4"/>
  <c r="AE865" i="4"/>
  <c r="AE857" i="4"/>
  <c r="AD857" i="4"/>
  <c r="AD849" i="4"/>
  <c r="AE849" i="4"/>
  <c r="AE841" i="4"/>
  <c r="AD841" i="4"/>
  <c r="AD833" i="4"/>
  <c r="AE833" i="4"/>
  <c r="AE825" i="4"/>
  <c r="AD825" i="4"/>
  <c r="AE817" i="4"/>
  <c r="AD817" i="4"/>
  <c r="AE809" i="4"/>
  <c r="AD809" i="4"/>
  <c r="AD801" i="4"/>
  <c r="AE801" i="4"/>
  <c r="AE793" i="4"/>
  <c r="AD793" i="4"/>
  <c r="AE785" i="4"/>
  <c r="AD785" i="4"/>
  <c r="AE777" i="4"/>
  <c r="AD777" i="4"/>
  <c r="AE769" i="4"/>
  <c r="AD769" i="4"/>
  <c r="AE761" i="4"/>
  <c r="AD761" i="4"/>
  <c r="AE753" i="4"/>
  <c r="AD753" i="4"/>
  <c r="AD745" i="4"/>
  <c r="AE745" i="4"/>
  <c r="AE737" i="4"/>
  <c r="AD737" i="4"/>
  <c r="AE729" i="4"/>
  <c r="AD729" i="4"/>
  <c r="AE721" i="4"/>
  <c r="AD721" i="4"/>
  <c r="AE713" i="4"/>
  <c r="AD713" i="4"/>
  <c r="AE705" i="4"/>
  <c r="AD705" i="4"/>
  <c r="AE697" i="4"/>
  <c r="AD697" i="4"/>
  <c r="AE689" i="4"/>
  <c r="AD689" i="4"/>
  <c r="AD681" i="4"/>
  <c r="AM681" i="4" s="1"/>
  <c r="AE681" i="4"/>
  <c r="AD673" i="4"/>
  <c r="AE673" i="4"/>
  <c r="AE665" i="4"/>
  <c r="AD665" i="4"/>
  <c r="AM665" i="4" s="1"/>
  <c r="AE657" i="4"/>
  <c r="AD657" i="4"/>
  <c r="AD649" i="4"/>
  <c r="AE649" i="4"/>
  <c r="AE641" i="4"/>
  <c r="AD641" i="4"/>
  <c r="AE633" i="4"/>
  <c r="AD633" i="4"/>
  <c r="AE625" i="4"/>
  <c r="AD625" i="4"/>
  <c r="AE617" i="4"/>
  <c r="AD617" i="4"/>
  <c r="AE609" i="4"/>
  <c r="AD609" i="4"/>
  <c r="AE601" i="4"/>
  <c r="AD601" i="4"/>
  <c r="AE593" i="4"/>
  <c r="AD593" i="4"/>
  <c r="AE585" i="4"/>
  <c r="AD585" i="4"/>
  <c r="AE577" i="4"/>
  <c r="AD577" i="4"/>
  <c r="AE569" i="4"/>
  <c r="AD569" i="4"/>
  <c r="AE561" i="4"/>
  <c r="AD561" i="4"/>
  <c r="AD553" i="4"/>
  <c r="AE553" i="4"/>
  <c r="AE545" i="4"/>
  <c r="AD545" i="4"/>
  <c r="AE537" i="4"/>
  <c r="AD537" i="4"/>
  <c r="AE529" i="4"/>
  <c r="AD529" i="4"/>
  <c r="AE521" i="4"/>
  <c r="AD521" i="4"/>
  <c r="AE513" i="4"/>
  <c r="AD513" i="4"/>
  <c r="AE505" i="4"/>
  <c r="AD505" i="4"/>
  <c r="AE497" i="4"/>
  <c r="AD497" i="4"/>
  <c r="AE489" i="4"/>
  <c r="AD489" i="4"/>
  <c r="AD481" i="4"/>
  <c r="AE481" i="4"/>
  <c r="AE473" i="4"/>
  <c r="AD473" i="4"/>
  <c r="AE465" i="4"/>
  <c r="AD465" i="4"/>
  <c r="AD457" i="4"/>
  <c r="AE457" i="4"/>
  <c r="AE449" i="4"/>
  <c r="AD449" i="4"/>
  <c r="AE441" i="4"/>
  <c r="AD441" i="4"/>
  <c r="AE433" i="4"/>
  <c r="AD433" i="4"/>
  <c r="AE425" i="4"/>
  <c r="AD425" i="4"/>
  <c r="AM425" i="4" s="1"/>
  <c r="AE417" i="4"/>
  <c r="AD417" i="4"/>
  <c r="AE409" i="4"/>
  <c r="AD409" i="4"/>
  <c r="AE401" i="4"/>
  <c r="AD401" i="4"/>
  <c r="AE393" i="4"/>
  <c r="AD393" i="4"/>
  <c r="AE385" i="4"/>
  <c r="AD385" i="4"/>
  <c r="AE377" i="4"/>
  <c r="AD377" i="4"/>
  <c r="AE369" i="4"/>
  <c r="AD369" i="4"/>
  <c r="AD361" i="4"/>
  <c r="AE361" i="4"/>
  <c r="AE353" i="4"/>
  <c r="AD353" i="4"/>
  <c r="AE345" i="4"/>
  <c r="AD345" i="4"/>
  <c r="AE337" i="4"/>
  <c r="AD337" i="4"/>
  <c r="AE329" i="4"/>
  <c r="AD329" i="4"/>
  <c r="AE321" i="4"/>
  <c r="AD321" i="4"/>
  <c r="AE313" i="4"/>
  <c r="AD313" i="4"/>
  <c r="AE305" i="4"/>
  <c r="AD305" i="4"/>
  <c r="AE297" i="4"/>
  <c r="AD297" i="4"/>
  <c r="AD289" i="4"/>
  <c r="AE289" i="4"/>
  <c r="AE281" i="4"/>
  <c r="AD281" i="4"/>
  <c r="AE273" i="4"/>
  <c r="AD273" i="4"/>
  <c r="AD265" i="4"/>
  <c r="AE265" i="4"/>
  <c r="AE257" i="4"/>
  <c r="AD257" i="4"/>
  <c r="AE249" i="4"/>
  <c r="AD249" i="4"/>
  <c r="AE241" i="4"/>
  <c r="AD241" i="4"/>
  <c r="AD233" i="4"/>
  <c r="AE233" i="4"/>
  <c r="AE225" i="4"/>
  <c r="AD225" i="4"/>
  <c r="AE217" i="4"/>
  <c r="AD217" i="4"/>
  <c r="AE209" i="4"/>
  <c r="AD209" i="4"/>
  <c r="AE201" i="4"/>
  <c r="AD201" i="4"/>
  <c r="AE193" i="4"/>
  <c r="AD193" i="4"/>
  <c r="AD185" i="4"/>
  <c r="AE185" i="4"/>
  <c r="AD177" i="4"/>
  <c r="AE177" i="4"/>
  <c r="AE169" i="4"/>
  <c r="AD169" i="4"/>
  <c r="AE161" i="4"/>
  <c r="AD161" i="4"/>
  <c r="AD153" i="4"/>
  <c r="AE153" i="4"/>
  <c r="AE145" i="4"/>
  <c r="AD145" i="4"/>
  <c r="AE137" i="4"/>
  <c r="AD137" i="4"/>
  <c r="AE129" i="4"/>
  <c r="AD129" i="4"/>
  <c r="AD121" i="4"/>
  <c r="AE121" i="4"/>
  <c r="AD113" i="4"/>
  <c r="AE113" i="4"/>
  <c r="AE105" i="4"/>
  <c r="AD105" i="4"/>
  <c r="AE97" i="4"/>
  <c r="AD97" i="4"/>
  <c r="AD89" i="4"/>
  <c r="AE89" i="4"/>
  <c r="AE81" i="4"/>
  <c r="AD81" i="4"/>
  <c r="AE73" i="4"/>
  <c r="AD73" i="4"/>
  <c r="AE65" i="4"/>
  <c r="AD65" i="4"/>
  <c r="AD57" i="4"/>
  <c r="AE57" i="4"/>
  <c r="AD49" i="4"/>
  <c r="AE49" i="4"/>
  <c r="AE41" i="4"/>
  <c r="AD41" i="4"/>
  <c r="AE33" i="4"/>
  <c r="AD33" i="4"/>
  <c r="AE928" i="4"/>
  <c r="AD928" i="4"/>
  <c r="AM928" i="4" s="1"/>
  <c r="AD920" i="4"/>
  <c r="AE920" i="4"/>
  <c r="AE912" i="4"/>
  <c r="AD912" i="4"/>
  <c r="AD904" i="4"/>
  <c r="AE904" i="4"/>
  <c r="AE896" i="4"/>
  <c r="AD896" i="4"/>
  <c r="AD888" i="4"/>
  <c r="AE888" i="4"/>
  <c r="AE880" i="4"/>
  <c r="AD880" i="4"/>
  <c r="AE872" i="4"/>
  <c r="AD872" i="4"/>
  <c r="AD864" i="4"/>
  <c r="AE864" i="4"/>
  <c r="AE856" i="4"/>
  <c r="AD856" i="4"/>
  <c r="AE848" i="4"/>
  <c r="AD848" i="4"/>
  <c r="AE840" i="4"/>
  <c r="AD840" i="4"/>
  <c r="AD832" i="4"/>
  <c r="AE832" i="4"/>
  <c r="AE824" i="4"/>
  <c r="AD824" i="4"/>
  <c r="AE816" i="4"/>
  <c r="AD816" i="4"/>
  <c r="AE808" i="4"/>
  <c r="AD808" i="4"/>
  <c r="AD800" i="4"/>
  <c r="AE800" i="4"/>
  <c r="AD792" i="4"/>
  <c r="AE792" i="4"/>
  <c r="AE784" i="4"/>
  <c r="AD784" i="4"/>
  <c r="AD776" i="4"/>
  <c r="AE776" i="4"/>
  <c r="AD768" i="4"/>
  <c r="AE768" i="4"/>
  <c r="AE760" i="4"/>
  <c r="AD760" i="4"/>
  <c r="AE752" i="4"/>
  <c r="AD752" i="4"/>
  <c r="AE744" i="4"/>
  <c r="AD744" i="4"/>
  <c r="AE736" i="4"/>
  <c r="AD736" i="4"/>
  <c r="AD728" i="4"/>
  <c r="AE728" i="4"/>
  <c r="AE720" i="4"/>
  <c r="AD720" i="4"/>
  <c r="AE712" i="4"/>
  <c r="AD712" i="4"/>
  <c r="AD704" i="4"/>
  <c r="AE704" i="4"/>
  <c r="AE696" i="4"/>
  <c r="AD696" i="4"/>
  <c r="AE688" i="4"/>
  <c r="AD688" i="4"/>
  <c r="AE680" i="4"/>
  <c r="AD680" i="4"/>
  <c r="AD672" i="4"/>
  <c r="AE672" i="4"/>
  <c r="AE664" i="4"/>
  <c r="AD664" i="4"/>
  <c r="AE656" i="4"/>
  <c r="AD656" i="4"/>
  <c r="AE648" i="4"/>
  <c r="AD648" i="4"/>
  <c r="AE640" i="4"/>
  <c r="AD640" i="4"/>
  <c r="AE632" i="4"/>
  <c r="AD632" i="4"/>
  <c r="AE624" i="4"/>
  <c r="AD624" i="4"/>
  <c r="AE616" i="4"/>
  <c r="AD616" i="4"/>
  <c r="AD608" i="4"/>
  <c r="AE608" i="4"/>
  <c r="AD600" i="4"/>
  <c r="AE600" i="4"/>
  <c r="AE592" i="4"/>
  <c r="AD592" i="4"/>
  <c r="AE584" i="4"/>
  <c r="AD584" i="4"/>
  <c r="AD576" i="4"/>
  <c r="AE576" i="4"/>
  <c r="AE568" i="4"/>
  <c r="AD568" i="4"/>
  <c r="AE560" i="4"/>
  <c r="AD560" i="4"/>
  <c r="AE552" i="4"/>
  <c r="AD552" i="4"/>
  <c r="AE544" i="4"/>
  <c r="AD544" i="4"/>
  <c r="AE536" i="4"/>
  <c r="AD536" i="4"/>
  <c r="AE528" i="4"/>
  <c r="AD528" i="4"/>
  <c r="AE520" i="4"/>
  <c r="AD520" i="4"/>
  <c r="AE512" i="4"/>
  <c r="AD512" i="4"/>
  <c r="AE504" i="4"/>
  <c r="AD504" i="4"/>
  <c r="AE496" i="4"/>
  <c r="AD496" i="4"/>
  <c r="AM496" i="4" s="1"/>
  <c r="AE488" i="4"/>
  <c r="AD488" i="4"/>
  <c r="AD480" i="4"/>
  <c r="AE480" i="4"/>
  <c r="AE472" i="4"/>
  <c r="AD472" i="4"/>
  <c r="AE464" i="4"/>
  <c r="AD464" i="4"/>
  <c r="AE456" i="4"/>
  <c r="AD456" i="4"/>
  <c r="AE448" i="4"/>
  <c r="AD448" i="4"/>
  <c r="AE440" i="4"/>
  <c r="AD440" i="4"/>
  <c r="AE432" i="4"/>
  <c r="AD432" i="4"/>
  <c r="AE424" i="4"/>
  <c r="AD424" i="4"/>
  <c r="AE416" i="4"/>
  <c r="AD416" i="4"/>
  <c r="AD408" i="4"/>
  <c r="AE408" i="4"/>
  <c r="AE400" i="4"/>
  <c r="AD400" i="4"/>
  <c r="AE392" i="4"/>
  <c r="AD392" i="4"/>
  <c r="AD384" i="4"/>
  <c r="AE384" i="4"/>
  <c r="AE376" i="4"/>
  <c r="AD376" i="4"/>
  <c r="AE368" i="4"/>
  <c r="AD368" i="4"/>
  <c r="AJ352" i="4"/>
  <c r="AF352" i="4"/>
  <c r="AK352" i="4" s="1"/>
  <c r="AJ344" i="4"/>
  <c r="AG344" i="4"/>
  <c r="AF344" i="4"/>
  <c r="AK344" i="4" s="1"/>
  <c r="AJ320" i="4"/>
  <c r="AF320" i="4"/>
  <c r="AK320" i="4" s="1"/>
  <c r="AJ280" i="4"/>
  <c r="AF280" i="4"/>
  <c r="AK280" i="4" s="1"/>
  <c r="AJ256" i="4"/>
  <c r="AF256" i="4"/>
  <c r="AK256" i="4" s="1"/>
  <c r="AJ224" i="4"/>
  <c r="AF224" i="4"/>
  <c r="AK224" i="4" s="1"/>
  <c r="AJ136" i="4"/>
  <c r="AF136" i="4"/>
  <c r="AK136" i="4" s="1"/>
  <c r="AJ128" i="4"/>
  <c r="AF128" i="4"/>
  <c r="AK128" i="4" s="1"/>
  <c r="AJ96" i="4"/>
  <c r="AF96" i="4"/>
  <c r="AK96" i="4" s="1"/>
  <c r="AJ72" i="4"/>
  <c r="AF72" i="4"/>
  <c r="AK72" i="4" s="1"/>
  <c r="AJ64" i="4"/>
  <c r="AF64" i="4"/>
  <c r="AK64" i="4" s="1"/>
  <c r="AJ32" i="4"/>
  <c r="AF32" i="4"/>
  <c r="AK32" i="4" s="1"/>
  <c r="AG32" i="4"/>
  <c r="AE927" i="4"/>
  <c r="AD927" i="4"/>
  <c r="AM927" i="4" s="1"/>
  <c r="AE919" i="4"/>
  <c r="AD919" i="4"/>
  <c r="AE911" i="4"/>
  <c r="AD911" i="4"/>
  <c r="AE903" i="4"/>
  <c r="AD903" i="4"/>
  <c r="AE895" i="4"/>
  <c r="AD895" i="4"/>
  <c r="AE887" i="4"/>
  <c r="AD887" i="4"/>
  <c r="AE879" i="4"/>
  <c r="AD879" i="4"/>
  <c r="AE871" i="4"/>
  <c r="AD871" i="4"/>
  <c r="AE863" i="4"/>
  <c r="AD863" i="4"/>
  <c r="AE855" i="4"/>
  <c r="AD855" i="4"/>
  <c r="AE847" i="4"/>
  <c r="AD847" i="4"/>
  <c r="AE839" i="4"/>
  <c r="AD839" i="4"/>
  <c r="AE831" i="4"/>
  <c r="AD831" i="4"/>
  <c r="AE823" i="4"/>
  <c r="AD823" i="4"/>
  <c r="AE815" i="4"/>
  <c r="AD815" i="4"/>
  <c r="AE807" i="4"/>
  <c r="AD807" i="4"/>
  <c r="AE799" i="4"/>
  <c r="AD799" i="4"/>
  <c r="AE791" i="4"/>
  <c r="AD791" i="4"/>
  <c r="AE783" i="4"/>
  <c r="AD783" i="4"/>
  <c r="AE775" i="4"/>
  <c r="AD775" i="4"/>
  <c r="AE767" i="4"/>
  <c r="AD767" i="4"/>
  <c r="AE759" i="4"/>
  <c r="AD759" i="4"/>
  <c r="AE751" i="4"/>
  <c r="AD751" i="4"/>
  <c r="AE743" i="4"/>
  <c r="AD743" i="4"/>
  <c r="AE735" i="4"/>
  <c r="AD735" i="4"/>
  <c r="AE727" i="4"/>
  <c r="AD727" i="4"/>
  <c r="AE719" i="4"/>
  <c r="AD719" i="4"/>
  <c r="AE711" i="4"/>
  <c r="AD711" i="4"/>
  <c r="AE703" i="4"/>
  <c r="AD703" i="4"/>
  <c r="AE695" i="4"/>
  <c r="AD695" i="4"/>
  <c r="AE687" i="4"/>
  <c r="AD687" i="4"/>
  <c r="AE679" i="4"/>
  <c r="AD679" i="4"/>
  <c r="AE671" i="4"/>
  <c r="AD671" i="4"/>
  <c r="AE663" i="4"/>
  <c r="AD663" i="4"/>
  <c r="AE655" i="4"/>
  <c r="AD655" i="4"/>
  <c r="AE647" i="4"/>
  <c r="AD647" i="4"/>
  <c r="AE639" i="4"/>
  <c r="AD639" i="4"/>
  <c r="AE631" i="4"/>
  <c r="AD631" i="4"/>
  <c r="AE623" i="4"/>
  <c r="AD623" i="4"/>
  <c r="AE615" i="4"/>
  <c r="AD615" i="4"/>
  <c r="AE607" i="4"/>
  <c r="AD607" i="4"/>
  <c r="AM607" i="4" s="1"/>
  <c r="AE599" i="4"/>
  <c r="AD599" i="4"/>
  <c r="AE591" i="4"/>
  <c r="AD591" i="4"/>
  <c r="AE583" i="4"/>
  <c r="AD583" i="4"/>
  <c r="AE575" i="4"/>
  <c r="AD575" i="4"/>
  <c r="AE567" i="4"/>
  <c r="AD567" i="4"/>
  <c r="AE559" i="4"/>
  <c r="AD559" i="4"/>
  <c r="AE551" i="4"/>
  <c r="AD551" i="4"/>
  <c r="AE543" i="4"/>
  <c r="AD543" i="4"/>
  <c r="AE535" i="4"/>
  <c r="AD535" i="4"/>
  <c r="AE527" i="4"/>
  <c r="AD527" i="4"/>
  <c r="AE519" i="4"/>
  <c r="AD519" i="4"/>
  <c r="AJ17" i="4"/>
  <c r="AF17" i="4"/>
  <c r="AK17" i="4" s="1"/>
  <c r="AJ9" i="4"/>
  <c r="AD524" i="4"/>
  <c r="AD514" i="4"/>
  <c r="AD487" i="4"/>
  <c r="AD476" i="4"/>
  <c r="AD463" i="4"/>
  <c r="AD452" i="4"/>
  <c r="AD439" i="4"/>
  <c r="AD426" i="4"/>
  <c r="AD415" i="4"/>
  <c r="AD402" i="4"/>
  <c r="AM402" i="4" s="1"/>
  <c r="AD390" i="4"/>
  <c r="AD378" i="4"/>
  <c r="AD366" i="4"/>
  <c r="AD342" i="4"/>
  <c r="AM342" i="4" s="1"/>
  <c r="AD280" i="4"/>
  <c r="AD256" i="4"/>
  <c r="AM256" i="4" s="1"/>
  <c r="AD244" i="4"/>
  <c r="AD232" i="4"/>
  <c r="AD220" i="4"/>
  <c r="AD207" i="4"/>
  <c r="AD196" i="4"/>
  <c r="AD182" i="4"/>
  <c r="AD166" i="4"/>
  <c r="AM166" i="4" s="1"/>
  <c r="AD152" i="4"/>
  <c r="AD124" i="4"/>
  <c r="AM124" i="4" s="1"/>
  <c r="AD79" i="4"/>
  <c r="AD64" i="4"/>
  <c r="AD50" i="4"/>
  <c r="AD36" i="4"/>
  <c r="AD20" i="4"/>
  <c r="AD6" i="4"/>
  <c r="AM6" i="4" s="1"/>
  <c r="AE508" i="4"/>
  <c r="AE484" i="4"/>
  <c r="AE388" i="4"/>
  <c r="AE362" i="4"/>
  <c r="AE338" i="4"/>
  <c r="AE242" i="4"/>
  <c r="AE216" i="4"/>
  <c r="AE192" i="4"/>
  <c r="AE160" i="4"/>
  <c r="AE336" i="4"/>
  <c r="AD336" i="4"/>
  <c r="AJ328" i="4"/>
  <c r="AF328" i="4"/>
  <c r="AK328" i="4" s="1"/>
  <c r="AJ312" i="4"/>
  <c r="AF312" i="4"/>
  <c r="AK312" i="4" s="1"/>
  <c r="AG312" i="4"/>
  <c r="AE304" i="4"/>
  <c r="AD304" i="4"/>
  <c r="AJ296" i="4"/>
  <c r="AF296" i="4"/>
  <c r="AK296" i="4" s="1"/>
  <c r="AE272" i="4"/>
  <c r="AD272" i="4"/>
  <c r="AJ264" i="4"/>
  <c r="AF264" i="4"/>
  <c r="AK264" i="4" s="1"/>
  <c r="AJ248" i="4"/>
  <c r="AF248" i="4"/>
  <c r="AK248" i="4" s="1"/>
  <c r="AE240" i="4"/>
  <c r="AD240" i="4"/>
  <c r="AJ232" i="4"/>
  <c r="AF232" i="4"/>
  <c r="AK232" i="4" s="1"/>
  <c r="AE208" i="4"/>
  <c r="AD208" i="4"/>
  <c r="AJ200" i="4"/>
  <c r="AF200" i="4"/>
  <c r="AK200" i="4" s="1"/>
  <c r="AJ184" i="4"/>
  <c r="AF184" i="4"/>
  <c r="AK184" i="4" s="1"/>
  <c r="AD176" i="4"/>
  <c r="AE176" i="4"/>
  <c r="AE168" i="4"/>
  <c r="AD168" i="4"/>
  <c r="AJ152" i="4"/>
  <c r="AF152" i="4"/>
  <c r="AK152" i="4" s="1"/>
  <c r="AE144" i="4"/>
  <c r="AD144" i="4"/>
  <c r="AM144" i="4" s="1"/>
  <c r="AJ120" i="4"/>
  <c r="AF120" i="4"/>
  <c r="AK120" i="4" s="1"/>
  <c r="AG120" i="4"/>
  <c r="AD112" i="4"/>
  <c r="AE112" i="4"/>
  <c r="AE104" i="4"/>
  <c r="AD104" i="4"/>
  <c r="AJ88" i="4"/>
  <c r="AF88" i="4"/>
  <c r="AK88" i="4" s="1"/>
  <c r="AE80" i="4"/>
  <c r="AD80" i="4"/>
  <c r="AJ56" i="4"/>
  <c r="AF56" i="4"/>
  <c r="AK56" i="4" s="1"/>
  <c r="AD48" i="4"/>
  <c r="AE48" i="4"/>
  <c r="AE40" i="4"/>
  <c r="AD40" i="4"/>
  <c r="AJ24" i="4"/>
  <c r="AF24" i="4"/>
  <c r="AK24" i="4" s="1"/>
  <c r="AE16" i="4"/>
  <c r="AD16" i="4"/>
  <c r="AD596" i="4"/>
  <c r="AD588" i="4"/>
  <c r="AD580" i="4"/>
  <c r="AD572" i="4"/>
  <c r="AD564" i="4"/>
  <c r="AD556" i="4"/>
  <c r="AD548" i="4"/>
  <c r="AD540" i="4"/>
  <c r="AD532" i="4"/>
  <c r="AD522" i="4"/>
  <c r="AD495" i="4"/>
  <c r="AD474" i="4"/>
  <c r="AD352" i="4"/>
  <c r="AD340" i="4"/>
  <c r="AD328" i="4"/>
  <c r="AD316" i="4"/>
  <c r="AM316" i="4" s="1"/>
  <c r="AD303" i="4"/>
  <c r="AD292" i="4"/>
  <c r="AD279" i="4"/>
  <c r="AD266" i="4"/>
  <c r="AD255" i="4"/>
  <c r="AD230" i="4"/>
  <c r="AD218" i="4"/>
  <c r="AD206" i="4"/>
  <c r="AD180" i="4"/>
  <c r="AD151" i="4"/>
  <c r="AD136" i="4"/>
  <c r="AD120" i="4"/>
  <c r="AD106" i="4"/>
  <c r="AD92" i="4"/>
  <c r="AM92" i="4" s="1"/>
  <c r="AD78" i="4"/>
  <c r="AD63" i="4"/>
  <c r="AD47" i="4"/>
  <c r="AD18" i="4"/>
  <c r="AD5" i="4"/>
  <c r="AE554" i="4"/>
  <c r="AE530" i="4"/>
  <c r="AE434" i="4"/>
  <c r="AE334" i="4"/>
  <c r="AE310" i="4"/>
  <c r="AE288" i="4"/>
  <c r="AE214" i="4"/>
  <c r="AE188" i="4"/>
  <c r="AE52" i="4"/>
  <c r="AF9" i="4"/>
  <c r="AK9" i="4" s="1"/>
  <c r="AJ511" i="4"/>
  <c r="AG511" i="4"/>
  <c r="AF511" i="4"/>
  <c r="AK511" i="4" s="1"/>
  <c r="AJ503" i="4"/>
  <c r="AG503" i="4"/>
  <c r="AF503" i="4"/>
  <c r="AK503" i="4" s="1"/>
  <c r="AJ495" i="4"/>
  <c r="AG495" i="4"/>
  <c r="AJ487" i="4"/>
  <c r="AG487" i="4"/>
  <c r="AF487" i="4"/>
  <c r="AK487" i="4" s="1"/>
  <c r="AJ479" i="4"/>
  <c r="AG479" i="4"/>
  <c r="AF479" i="4"/>
  <c r="AK479" i="4" s="1"/>
  <c r="AJ471" i="4"/>
  <c r="AG471" i="4"/>
  <c r="AF471" i="4"/>
  <c r="AK471" i="4" s="1"/>
  <c r="AJ463" i="4"/>
  <c r="AE455" i="4"/>
  <c r="AD455" i="4"/>
  <c r="AJ447" i="4"/>
  <c r="AF447" i="4"/>
  <c r="AK447" i="4" s="1"/>
  <c r="AJ439" i="4"/>
  <c r="AF439" i="4"/>
  <c r="AK439" i="4" s="1"/>
  <c r="AJ431" i="4"/>
  <c r="AF431" i="4"/>
  <c r="AK431" i="4" s="1"/>
  <c r="AE423" i="4"/>
  <c r="AD423" i="4"/>
  <c r="AJ415" i="4"/>
  <c r="AF415" i="4"/>
  <c r="AK415" i="4" s="1"/>
  <c r="AJ407" i="4"/>
  <c r="AF407" i="4"/>
  <c r="AK407" i="4" s="1"/>
  <c r="AJ399" i="4"/>
  <c r="AG399" i="4"/>
  <c r="AF399" i="4"/>
  <c r="AK399" i="4" s="1"/>
  <c r="AE391" i="4"/>
  <c r="AD391" i="4"/>
  <c r="AJ383" i="4"/>
  <c r="AF383" i="4"/>
  <c r="AK383" i="4" s="1"/>
  <c r="AJ375" i="4"/>
  <c r="AG375" i="4"/>
  <c r="AF375" i="4"/>
  <c r="AK375" i="4" s="1"/>
  <c r="AJ367" i="4"/>
  <c r="AF367" i="4"/>
  <c r="AK367" i="4" s="1"/>
  <c r="AE359" i="4"/>
  <c r="AD359" i="4"/>
  <c r="AJ351" i="4"/>
  <c r="AF351" i="4"/>
  <c r="AK351" i="4" s="1"/>
  <c r="AJ343" i="4"/>
  <c r="AJ335" i="4"/>
  <c r="AG335" i="4"/>
  <c r="AF335" i="4"/>
  <c r="AK335" i="4" s="1"/>
  <c r="AE327" i="4"/>
  <c r="AD327" i="4"/>
  <c r="AJ319" i="4"/>
  <c r="AG319" i="4"/>
  <c r="AF319" i="4"/>
  <c r="AK319" i="4" s="1"/>
  <c r="AJ311" i="4"/>
  <c r="AJ303" i="4"/>
  <c r="AG303" i="4"/>
  <c r="AF303" i="4"/>
  <c r="AK303" i="4" s="1"/>
  <c r="AE295" i="4"/>
  <c r="AD295" i="4"/>
  <c r="AJ287" i="4"/>
  <c r="AG287" i="4"/>
  <c r="AF287" i="4"/>
  <c r="AK287" i="4" s="1"/>
  <c r="AJ279" i="4"/>
  <c r="AG279" i="4"/>
  <c r="AF279" i="4"/>
  <c r="AK279" i="4" s="1"/>
  <c r="AJ271" i="4"/>
  <c r="AE263" i="4"/>
  <c r="AD263" i="4"/>
  <c r="AJ255" i="4"/>
  <c r="AF255" i="4"/>
  <c r="AK255" i="4" s="1"/>
  <c r="AJ247" i="4"/>
  <c r="AF247" i="4"/>
  <c r="AK247" i="4" s="1"/>
  <c r="AJ239" i="4"/>
  <c r="AF239" i="4"/>
  <c r="AK239" i="4" s="1"/>
  <c r="AE231" i="4"/>
  <c r="AD231" i="4"/>
  <c r="AJ223" i="4"/>
  <c r="AF223" i="4"/>
  <c r="AK223" i="4" s="1"/>
  <c r="AJ215" i="4"/>
  <c r="AJ207" i="4"/>
  <c r="AF207" i="4"/>
  <c r="AK207" i="4" s="1"/>
  <c r="AE199" i="4"/>
  <c r="AD199" i="4"/>
  <c r="AJ191" i="4"/>
  <c r="AF191" i="4"/>
  <c r="AK191" i="4" s="1"/>
  <c r="AJ183" i="4"/>
  <c r="AF183" i="4"/>
  <c r="AK183" i="4" s="1"/>
  <c r="AJ175" i="4"/>
  <c r="AF175" i="4"/>
  <c r="AK175" i="4" s="1"/>
  <c r="AE167" i="4"/>
  <c r="AD167" i="4"/>
  <c r="AE159" i="4"/>
  <c r="AD159" i="4"/>
  <c r="AJ151" i="4"/>
  <c r="AF151" i="4"/>
  <c r="AK151" i="4" s="1"/>
  <c r="AJ143" i="4"/>
  <c r="AE135" i="4"/>
  <c r="AD135" i="4"/>
  <c r="AJ127" i="4"/>
  <c r="AG127" i="4"/>
  <c r="AF127" i="4"/>
  <c r="AK127" i="4" s="1"/>
  <c r="AJ119" i="4"/>
  <c r="AG119" i="4"/>
  <c r="AJ111" i="4"/>
  <c r="AG111" i="4"/>
  <c r="AF111" i="4"/>
  <c r="AK111" i="4" s="1"/>
  <c r="AE103" i="4"/>
  <c r="AD103" i="4"/>
  <c r="AE95" i="4"/>
  <c r="AD95" i="4"/>
  <c r="AM95" i="4" s="1"/>
  <c r="AJ87" i="4"/>
  <c r="AF87" i="4"/>
  <c r="AK87" i="4" s="1"/>
  <c r="AJ79" i="4"/>
  <c r="AF79" i="4"/>
  <c r="AK79" i="4" s="1"/>
  <c r="AE71" i="4"/>
  <c r="AD71" i="4"/>
  <c r="AJ63" i="4"/>
  <c r="AF63" i="4"/>
  <c r="AK63" i="4" s="1"/>
  <c r="AJ55" i="4"/>
  <c r="AF55" i="4"/>
  <c r="AK55" i="4" s="1"/>
  <c r="AJ47" i="4"/>
  <c r="AF47" i="4"/>
  <c r="AK47" i="4" s="1"/>
  <c r="AE39" i="4"/>
  <c r="AD39" i="4"/>
  <c r="AE31" i="4"/>
  <c r="AD31" i="4"/>
  <c r="AJ23" i="4"/>
  <c r="AF23" i="4"/>
  <c r="AK23" i="4" s="1"/>
  <c r="AJ15" i="4"/>
  <c r="AF15" i="4"/>
  <c r="AK15" i="4" s="1"/>
  <c r="AE7" i="4"/>
  <c r="AD7" i="4"/>
  <c r="AD503" i="4"/>
  <c r="AD436" i="4"/>
  <c r="AD412" i="4"/>
  <c r="AD399" i="4"/>
  <c r="AD375" i="4"/>
  <c r="AD351" i="4"/>
  <c r="AD326" i="4"/>
  <c r="AD314" i="4"/>
  <c r="AD302" i="4"/>
  <c r="AD278" i="4"/>
  <c r="AM278" i="4" s="1"/>
  <c r="AD178" i="4"/>
  <c r="AD164" i="4"/>
  <c r="AD148" i="4"/>
  <c r="AD134" i="4"/>
  <c r="AD119" i="4"/>
  <c r="AM119" i="4" s="1"/>
  <c r="AD90" i="4"/>
  <c r="AD74" i="4"/>
  <c r="AD46" i="4"/>
  <c r="AD32" i="4"/>
  <c r="AD17" i="4"/>
  <c r="AE626" i="4"/>
  <c r="AE406" i="4"/>
  <c r="AE380" i="4"/>
  <c r="AE356" i="4"/>
  <c r="AE260" i="4"/>
  <c r="AE234" i="4"/>
  <c r="AE210" i="4"/>
  <c r="AE116" i="4"/>
  <c r="AE84" i="4"/>
  <c r="AE13" i="4"/>
  <c r="AF343" i="4"/>
  <c r="AK343" i="4" s="1"/>
  <c r="AF271" i="4"/>
  <c r="AK271" i="4" s="1"/>
  <c r="AG248" i="4"/>
  <c r="AJ422" i="4"/>
  <c r="AF422" i="4"/>
  <c r="AK422" i="4" s="1"/>
  <c r="AD414" i="4"/>
  <c r="AE414" i="4"/>
  <c r="AJ390" i="4"/>
  <c r="AF390" i="4"/>
  <c r="AK390" i="4" s="1"/>
  <c r="AD382" i="4"/>
  <c r="AE382" i="4"/>
  <c r="AJ366" i="4"/>
  <c r="AF366" i="4"/>
  <c r="AK366" i="4" s="1"/>
  <c r="AJ358" i="4"/>
  <c r="AF358" i="4"/>
  <c r="AK358" i="4" s="1"/>
  <c r="AD350" i="4"/>
  <c r="AE350" i="4"/>
  <c r="AJ326" i="4"/>
  <c r="AF326" i="4"/>
  <c r="AK326" i="4" s="1"/>
  <c r="AD318" i="4"/>
  <c r="AE318" i="4"/>
  <c r="AJ302" i="4"/>
  <c r="AG302" i="4"/>
  <c r="AF302" i="4"/>
  <c r="AK302" i="4" s="1"/>
  <c r="AJ294" i="4"/>
  <c r="AF294" i="4"/>
  <c r="AK294" i="4" s="1"/>
  <c r="AD286" i="4"/>
  <c r="AE286" i="4"/>
  <c r="AJ262" i="4"/>
  <c r="AF262" i="4"/>
  <c r="AK262" i="4" s="1"/>
  <c r="AD254" i="4"/>
  <c r="AE254" i="4"/>
  <c r="AJ238" i="4"/>
  <c r="AF238" i="4"/>
  <c r="AK238" i="4" s="1"/>
  <c r="AJ230" i="4"/>
  <c r="AF230" i="4"/>
  <c r="AK230" i="4" s="1"/>
  <c r="AD222" i="4"/>
  <c r="AE222" i="4"/>
  <c r="AJ198" i="4"/>
  <c r="AF198" i="4"/>
  <c r="AK198" i="4" s="1"/>
  <c r="AD190" i="4"/>
  <c r="AE190" i="4"/>
  <c r="AJ182" i="4"/>
  <c r="AF182" i="4"/>
  <c r="AK182" i="4" s="1"/>
  <c r="AD158" i="4"/>
  <c r="AE158" i="4"/>
  <c r="AD150" i="4"/>
  <c r="AE150" i="4"/>
  <c r="AJ142" i="4"/>
  <c r="AF142" i="4"/>
  <c r="AK142" i="4" s="1"/>
  <c r="AD126" i="4"/>
  <c r="AM126" i="4" s="1"/>
  <c r="AE126" i="4"/>
  <c r="AJ118" i="4"/>
  <c r="AF118" i="4"/>
  <c r="AK118" i="4" s="1"/>
  <c r="AD94" i="4"/>
  <c r="AE94" i="4"/>
  <c r="AD86" i="4"/>
  <c r="AE86" i="4"/>
  <c r="AJ78" i="4"/>
  <c r="AF78" i="4"/>
  <c r="AK78" i="4" s="1"/>
  <c r="AD62" i="4"/>
  <c r="AE62" i="4"/>
  <c r="AJ54" i="4"/>
  <c r="AF54" i="4"/>
  <c r="AK54" i="4" s="1"/>
  <c r="AD30" i="4"/>
  <c r="AE30" i="4"/>
  <c r="AD22" i="4"/>
  <c r="AE22" i="4"/>
  <c r="AJ14" i="4"/>
  <c r="AF14" i="4"/>
  <c r="AK14" i="4" s="1"/>
  <c r="AD642" i="4"/>
  <c r="AD634" i="4"/>
  <c r="AD618" i="4"/>
  <c r="AD610" i="4"/>
  <c r="AD602" i="4"/>
  <c r="AD594" i="4"/>
  <c r="AM594" i="4" s="1"/>
  <c r="AD586" i="4"/>
  <c r="AD578" i="4"/>
  <c r="AD570" i="4"/>
  <c r="AD562" i="4"/>
  <c r="AD546" i="4"/>
  <c r="AD538" i="4"/>
  <c r="AD511" i="4"/>
  <c r="AM511" i="4" s="1"/>
  <c r="AD471" i="4"/>
  <c r="AD458" i="4"/>
  <c r="AD447" i="4"/>
  <c r="AM447" i="4" s="1"/>
  <c r="AD422" i="4"/>
  <c r="AD410" i="4"/>
  <c r="AD398" i="4"/>
  <c r="AD374" i="4"/>
  <c r="AD312" i="4"/>
  <c r="AM312" i="4" s="1"/>
  <c r="AD276" i="4"/>
  <c r="AD264" i="4"/>
  <c r="AM264" i="4" s="1"/>
  <c r="AD252" i="4"/>
  <c r="AM252" i="4" s="1"/>
  <c r="AD239" i="4"/>
  <c r="AD228" i="4"/>
  <c r="AD215" i="4"/>
  <c r="AD202" i="4"/>
  <c r="AD191" i="4"/>
  <c r="AD175" i="4"/>
  <c r="AD146" i="4"/>
  <c r="AD118" i="4"/>
  <c r="AD102" i="4"/>
  <c r="AM102" i="4" s="1"/>
  <c r="AD88" i="4"/>
  <c r="AD60" i="4"/>
  <c r="AM60" i="4" s="1"/>
  <c r="AD15" i="4"/>
  <c r="AE306" i="4"/>
  <c r="AE110" i="4"/>
  <c r="AE8" i="4"/>
  <c r="AF463" i="4"/>
  <c r="AK463" i="4" s="1"/>
  <c r="AJ5" i="4"/>
  <c r="AG5" i="4"/>
  <c r="AD492" i="4"/>
  <c r="AD372" i="4"/>
  <c r="AD360" i="4"/>
  <c r="AD348" i="4"/>
  <c r="AD335" i="4"/>
  <c r="AD324" i="4"/>
  <c r="AM324" i="4" s="1"/>
  <c r="AD311" i="4"/>
  <c r="AD298" i="4"/>
  <c r="AM298" i="4" s="1"/>
  <c r="AD287" i="4"/>
  <c r="AM287" i="4" s="1"/>
  <c r="AD274" i="4"/>
  <c r="AM274" i="4" s="1"/>
  <c r="AD262" i="4"/>
  <c r="AD250" i="4"/>
  <c r="AD238" i="4"/>
  <c r="AD174" i="4"/>
  <c r="AD87" i="4"/>
  <c r="AD72" i="4"/>
  <c r="AM72" i="4" s="1"/>
  <c r="AD56" i="4"/>
  <c r="AD42" i="4"/>
  <c r="AD28" i="4"/>
  <c r="AD14" i="4"/>
  <c r="AE498" i="4"/>
  <c r="AE38" i="4"/>
  <c r="AF642" i="4"/>
  <c r="AK642" i="4" s="1"/>
  <c r="AJ596" i="4"/>
  <c r="AF596" i="4"/>
  <c r="AK596" i="4" s="1"/>
  <c r="AJ588" i="4"/>
  <c r="AF588" i="4"/>
  <c r="AK588" i="4" s="1"/>
  <c r="AJ564" i="4"/>
  <c r="AF564" i="4"/>
  <c r="AK564" i="4" s="1"/>
  <c r="AJ556" i="4"/>
  <c r="AF556" i="4"/>
  <c r="AK556" i="4" s="1"/>
  <c r="AJ540" i="4"/>
  <c r="AG540" i="4"/>
  <c r="AF540" i="4"/>
  <c r="AK540" i="4" s="1"/>
  <c r="AJ532" i="4"/>
  <c r="AG532" i="4"/>
  <c r="AF532" i="4"/>
  <c r="AK532" i="4" s="1"/>
  <c r="AJ524" i="4"/>
  <c r="AG524" i="4"/>
  <c r="AF524" i="4"/>
  <c r="AK524" i="4" s="1"/>
  <c r="AJ500" i="4"/>
  <c r="AF500" i="4"/>
  <c r="AK500" i="4" s="1"/>
  <c r="AJ492" i="4"/>
  <c r="AF492" i="4"/>
  <c r="AK492" i="4" s="1"/>
  <c r="AJ476" i="4"/>
  <c r="AF476" i="4"/>
  <c r="AK476" i="4" s="1"/>
  <c r="AJ468" i="4"/>
  <c r="AF468" i="4"/>
  <c r="AK468" i="4" s="1"/>
  <c r="AD460" i="4"/>
  <c r="AE460" i="4"/>
  <c r="AJ436" i="4"/>
  <c r="AF436" i="4"/>
  <c r="AK436" i="4" s="1"/>
  <c r="AD428" i="4"/>
  <c r="AE428" i="4"/>
  <c r="AG412" i="4"/>
  <c r="AJ412" i="4"/>
  <c r="AJ404" i="4"/>
  <c r="AF404" i="4"/>
  <c r="AK404" i="4" s="1"/>
  <c r="AD396" i="4"/>
  <c r="AE396" i="4"/>
  <c r="AJ372" i="4"/>
  <c r="AF372" i="4"/>
  <c r="AK372" i="4" s="1"/>
  <c r="AD364" i="4"/>
  <c r="AE364" i="4"/>
  <c r="AG348" i="4"/>
  <c r="AJ348" i="4"/>
  <c r="AF348" i="4"/>
  <c r="AK348" i="4" s="1"/>
  <c r="AJ340" i="4"/>
  <c r="AF340" i="4"/>
  <c r="AK340" i="4" s="1"/>
  <c r="AD332" i="4"/>
  <c r="AE332" i="4"/>
  <c r="AJ308" i="4"/>
  <c r="AG308" i="4"/>
  <c r="AF308" i="4"/>
  <c r="AK308" i="4" s="1"/>
  <c r="AD300" i="4"/>
  <c r="AE300" i="4"/>
  <c r="AJ284" i="4"/>
  <c r="AG284" i="4"/>
  <c r="AF284" i="4"/>
  <c r="AK284" i="4" s="1"/>
  <c r="AJ276" i="4"/>
  <c r="AG276" i="4"/>
  <c r="AF276" i="4"/>
  <c r="AK276" i="4" s="1"/>
  <c r="AD268" i="4"/>
  <c r="AE268" i="4"/>
  <c r="AJ244" i="4"/>
  <c r="AG244" i="4"/>
  <c r="AF244" i="4"/>
  <c r="AK244" i="4" s="1"/>
  <c r="AD236" i="4"/>
  <c r="AE236" i="4"/>
  <c r="AJ220" i="4"/>
  <c r="AF220" i="4"/>
  <c r="AK220" i="4" s="1"/>
  <c r="AJ212" i="4"/>
  <c r="AG212" i="4"/>
  <c r="AF212" i="4"/>
  <c r="AK212" i="4" s="1"/>
  <c r="AD204" i="4"/>
  <c r="AE204" i="4"/>
  <c r="AE172" i="4"/>
  <c r="AD172" i="4"/>
  <c r="AM172" i="4" s="1"/>
  <c r="AJ164" i="4"/>
  <c r="AF164" i="4"/>
  <c r="AK164" i="4" s="1"/>
  <c r="AJ156" i="4"/>
  <c r="AF156" i="4"/>
  <c r="AK156" i="4" s="1"/>
  <c r="AD140" i="4"/>
  <c r="AE140" i="4"/>
  <c r="AE132" i="4"/>
  <c r="AD132" i="4"/>
  <c r="AE108" i="4"/>
  <c r="AD108" i="4"/>
  <c r="AJ100" i="4"/>
  <c r="AG100" i="4"/>
  <c r="AF100" i="4"/>
  <c r="AK100" i="4" s="1"/>
  <c r="AG92" i="4"/>
  <c r="AJ92" i="4"/>
  <c r="AF92" i="4"/>
  <c r="AK92" i="4" s="1"/>
  <c r="AD76" i="4"/>
  <c r="AE76" i="4"/>
  <c r="AE68" i="4"/>
  <c r="AD68" i="4"/>
  <c r="AE44" i="4"/>
  <c r="AD44" i="4"/>
  <c r="AJ36" i="4"/>
  <c r="AF36" i="4"/>
  <c r="AK36" i="4" s="1"/>
  <c r="AJ28" i="4"/>
  <c r="AF28" i="4"/>
  <c r="AK28" i="4" s="1"/>
  <c r="AD12" i="4"/>
  <c r="AE12" i="4"/>
  <c r="AE4" i="4"/>
  <c r="AD4" i="4"/>
  <c r="AD500" i="4"/>
  <c r="AD490" i="4"/>
  <c r="AD468" i="4"/>
  <c r="AM468" i="4" s="1"/>
  <c r="AD444" i="4"/>
  <c r="AD431" i="4"/>
  <c r="AD420" i="4"/>
  <c r="AM420" i="4" s="1"/>
  <c r="AD407" i="4"/>
  <c r="AD394" i="4"/>
  <c r="AD383" i="4"/>
  <c r="AD370" i="4"/>
  <c r="AD358" i="4"/>
  <c r="AM358" i="4" s="1"/>
  <c r="AD346" i="4"/>
  <c r="AD248" i="4"/>
  <c r="AD224" i="4"/>
  <c r="AD212" i="4"/>
  <c r="AD200" i="4"/>
  <c r="AD143" i="4"/>
  <c r="AM143" i="4" s="1"/>
  <c r="AD128" i="4"/>
  <c r="AD114" i="4"/>
  <c r="AD100" i="4"/>
  <c r="AD70" i="4"/>
  <c r="AM70" i="4" s="1"/>
  <c r="AD55" i="4"/>
  <c r="AD26" i="4"/>
  <c r="AD10" i="4"/>
  <c r="AF311" i="4"/>
  <c r="AK311" i="4" s="1"/>
  <c r="AD211" i="4"/>
  <c r="AE211" i="4"/>
  <c r="AD203" i="4"/>
  <c r="AM203" i="4" s="1"/>
  <c r="AE203" i="4"/>
  <c r="AD195" i="4"/>
  <c r="AE195" i="4"/>
  <c r="AE187" i="4"/>
  <c r="AD187" i="4"/>
  <c r="AE179" i="4"/>
  <c r="AD179" i="4"/>
  <c r="AE171" i="4"/>
  <c r="AD171" i="4"/>
  <c r="AE163" i="4"/>
  <c r="AD163" i="4"/>
  <c r="AE155" i="4"/>
  <c r="AD155" i="4"/>
  <c r="AE147" i="4"/>
  <c r="AD147" i="4"/>
  <c r="AE139" i="4"/>
  <c r="AD139" i="4"/>
  <c r="AE131" i="4"/>
  <c r="AD131" i="4"/>
  <c r="AE123" i="4"/>
  <c r="AD123" i="4"/>
  <c r="AE115" i="4"/>
  <c r="AD115" i="4"/>
  <c r="AE107" i="4"/>
  <c r="AD107" i="4"/>
  <c r="AE99" i="4"/>
  <c r="AD99" i="4"/>
  <c r="AE91" i="4"/>
  <c r="AD91" i="4"/>
  <c r="AE83" i="4"/>
  <c r="AD83" i="4"/>
  <c r="AE75" i="4"/>
  <c r="AD75" i="4"/>
  <c r="AE67" i="4"/>
  <c r="AD67" i="4"/>
  <c r="AE59" i="4"/>
  <c r="AD59" i="4"/>
  <c r="AE51" i="4"/>
  <c r="AD51" i="4"/>
  <c r="AE43" i="4"/>
  <c r="AD43" i="4"/>
  <c r="AE35" i="4"/>
  <c r="AD35" i="4"/>
  <c r="AE27" i="4"/>
  <c r="AD27" i="4"/>
  <c r="AE19" i="4"/>
  <c r="AD19" i="4"/>
  <c r="AE11" i="4"/>
  <c r="AD11" i="4"/>
  <c r="AE3" i="4"/>
  <c r="AD3" i="4"/>
  <c r="AD479" i="4"/>
  <c r="AM479" i="4" s="1"/>
  <c r="AD466" i="4"/>
  <c r="AM466" i="4" s="1"/>
  <c r="AD442" i="4"/>
  <c r="AD344" i="4"/>
  <c r="AD320" i="4"/>
  <c r="AD308" i="4"/>
  <c r="AD296" i="4"/>
  <c r="AD284" i="4"/>
  <c r="AM284" i="4" s="1"/>
  <c r="AD271" i="4"/>
  <c r="AD247" i="4"/>
  <c r="AD223" i="4"/>
  <c r="AD198" i="4"/>
  <c r="AD184" i="4"/>
  <c r="AM184" i="4" s="1"/>
  <c r="AD170" i="4"/>
  <c r="AD156" i="4"/>
  <c r="AD142" i="4"/>
  <c r="AD127" i="4"/>
  <c r="AM127" i="4" s="1"/>
  <c r="AD111" i="4"/>
  <c r="AM111" i="4" s="1"/>
  <c r="AD82" i="4"/>
  <c r="AD54" i="4"/>
  <c r="AD24" i="4"/>
  <c r="AD9" i="4"/>
  <c r="AE516" i="4"/>
  <c r="AE270" i="4"/>
  <c r="AE246" i="4"/>
  <c r="AF143" i="4"/>
  <c r="AK143" i="4" s="1"/>
  <c r="AJ634" i="4"/>
  <c r="AG634" i="4"/>
  <c r="AJ610" i="4"/>
  <c r="AG610" i="4"/>
  <c r="AF610" i="4"/>
  <c r="AK610" i="4" s="1"/>
  <c r="AJ602" i="4"/>
  <c r="AG602" i="4"/>
  <c r="AF602" i="4"/>
  <c r="AK602" i="4" s="1"/>
  <c r="AJ586" i="4"/>
  <c r="AF586" i="4"/>
  <c r="AK586" i="4" s="1"/>
  <c r="AJ578" i="4"/>
  <c r="AF578" i="4"/>
  <c r="AK578" i="4" s="1"/>
  <c r="AJ570" i="4"/>
  <c r="AG570" i="4"/>
  <c r="AF570" i="4"/>
  <c r="AK570" i="4" s="1"/>
  <c r="AJ546" i="4"/>
  <c r="AF546" i="4"/>
  <c r="AK546" i="4" s="1"/>
  <c r="AJ538" i="4"/>
  <c r="AF538" i="4"/>
  <c r="AK538" i="4" s="1"/>
  <c r="AJ522" i="4"/>
  <c r="AG522" i="4"/>
  <c r="AF522" i="4"/>
  <c r="AK522" i="4" s="1"/>
  <c r="AJ514" i="4"/>
  <c r="AG514" i="4"/>
  <c r="AJ506" i="4"/>
  <c r="AF506" i="4"/>
  <c r="AK506" i="4" s="1"/>
  <c r="AE482" i="4"/>
  <c r="AD482" i="4"/>
  <c r="AJ474" i="4"/>
  <c r="AF474" i="4"/>
  <c r="AK474" i="4" s="1"/>
  <c r="AJ458" i="4"/>
  <c r="AF458" i="4"/>
  <c r="AK458" i="4" s="1"/>
  <c r="AE450" i="4"/>
  <c r="AD450" i="4"/>
  <c r="AJ442" i="4"/>
  <c r="AG442" i="4"/>
  <c r="AF442" i="4"/>
  <c r="AK442" i="4" s="1"/>
  <c r="AE418" i="4"/>
  <c r="AD418" i="4"/>
  <c r="AJ410" i="4"/>
  <c r="AG410" i="4"/>
  <c r="AJ394" i="4"/>
  <c r="AF394" i="4"/>
  <c r="AK394" i="4" s="1"/>
  <c r="AE386" i="4"/>
  <c r="AD386" i="4"/>
  <c r="AJ378" i="4"/>
  <c r="AG378" i="4"/>
  <c r="AE354" i="4"/>
  <c r="AD354" i="4"/>
  <c r="AJ346" i="4"/>
  <c r="AG346" i="4"/>
  <c r="AF346" i="4"/>
  <c r="AK346" i="4" s="1"/>
  <c r="AJ330" i="4"/>
  <c r="AF330" i="4"/>
  <c r="AK330" i="4" s="1"/>
  <c r="AE322" i="4"/>
  <c r="AD322" i="4"/>
  <c r="AM322" i="4" s="1"/>
  <c r="AJ314" i="4"/>
  <c r="AF314" i="4"/>
  <c r="AK314" i="4" s="1"/>
  <c r="AE290" i="4"/>
  <c r="AD290" i="4"/>
  <c r="AJ282" i="4"/>
  <c r="AF282" i="4"/>
  <c r="AK282" i="4" s="1"/>
  <c r="AJ266" i="4"/>
  <c r="AF266" i="4"/>
  <c r="AK266" i="4" s="1"/>
  <c r="AE258" i="4"/>
  <c r="AD258" i="4"/>
  <c r="AJ250" i="4"/>
  <c r="AF250" i="4"/>
  <c r="AK250" i="4" s="1"/>
  <c r="AE226" i="4"/>
  <c r="AD226" i="4"/>
  <c r="AM226" i="4" s="1"/>
  <c r="AJ218" i="4"/>
  <c r="AG218" i="4"/>
  <c r="AF218" i="4"/>
  <c r="AK218" i="4" s="1"/>
  <c r="AJ202" i="4"/>
  <c r="AF202" i="4"/>
  <c r="AK202" i="4" s="1"/>
  <c r="AE194" i="4"/>
  <c r="AD194" i="4"/>
  <c r="AE186" i="4"/>
  <c r="AD186" i="4"/>
  <c r="AJ178" i="4"/>
  <c r="AF178" i="4"/>
  <c r="AK178" i="4" s="1"/>
  <c r="AJ170" i="4"/>
  <c r="AF170" i="4"/>
  <c r="AK170" i="4" s="1"/>
  <c r="AE162" i="4"/>
  <c r="AD162" i="4"/>
  <c r="AJ154" i="4"/>
  <c r="AF154" i="4"/>
  <c r="AJ146" i="4"/>
  <c r="AG146" i="4"/>
  <c r="AJ138" i="4"/>
  <c r="AF138" i="4"/>
  <c r="AK138" i="4" s="1"/>
  <c r="AE130" i="4"/>
  <c r="AD130" i="4"/>
  <c r="AE122" i="4"/>
  <c r="AD122" i="4"/>
  <c r="AJ114" i="4"/>
  <c r="AF114" i="4"/>
  <c r="AK114" i="4" s="1"/>
  <c r="AJ106" i="4"/>
  <c r="AF106" i="4"/>
  <c r="AK106" i="4" s="1"/>
  <c r="AE98" i="4"/>
  <c r="AD98" i="4"/>
  <c r="AJ90" i="4"/>
  <c r="AG90" i="4"/>
  <c r="AF90" i="4"/>
  <c r="AK90" i="4" s="1"/>
  <c r="AJ82" i="4"/>
  <c r="AF82" i="4"/>
  <c r="AK82" i="4" s="1"/>
  <c r="AJ74" i="4"/>
  <c r="AG74" i="4"/>
  <c r="AE66" i="4"/>
  <c r="AD66" i="4"/>
  <c r="AE58" i="4"/>
  <c r="AD58" i="4"/>
  <c r="AJ50" i="4"/>
  <c r="AF50" i="4"/>
  <c r="AK50" i="4" s="1"/>
  <c r="AJ42" i="4"/>
  <c r="AF42" i="4"/>
  <c r="AK42" i="4" s="1"/>
  <c r="AE34" i="4"/>
  <c r="AD34" i="4"/>
  <c r="AJ26" i="4"/>
  <c r="AF26" i="4"/>
  <c r="AJ18" i="4"/>
  <c r="AF18" i="4"/>
  <c r="AK18" i="4" s="1"/>
  <c r="AJ10" i="4"/>
  <c r="AG10" i="4"/>
  <c r="AF10" i="4"/>
  <c r="AK10" i="4" s="1"/>
  <c r="AD506" i="4"/>
  <c r="AD404" i="4"/>
  <c r="AD367" i="4"/>
  <c r="AD343" i="4"/>
  <c r="AD330" i="4"/>
  <c r="AD319" i="4"/>
  <c r="AM319" i="4" s="1"/>
  <c r="AD294" i="4"/>
  <c r="AD282" i="4"/>
  <c r="AD183" i="4"/>
  <c r="AD154" i="4"/>
  <c r="AD138" i="4"/>
  <c r="AD96" i="4"/>
  <c r="AM96" i="4" s="1"/>
  <c r="AD23" i="4"/>
  <c r="AM23" i="4" s="1"/>
  <c r="AE219" i="4"/>
  <c r="AE25" i="4"/>
  <c r="AF360" i="4"/>
  <c r="AK360" i="4" s="1"/>
  <c r="AF215" i="4"/>
  <c r="AK215" i="4" s="1"/>
  <c r="AG50" i="4" l="1"/>
  <c r="AG266" i="4"/>
  <c r="AG314" i="4"/>
  <c r="AM156" i="4"/>
  <c r="AG404" i="4"/>
  <c r="AG564" i="4"/>
  <c r="AG14" i="4"/>
  <c r="AM134" i="4"/>
  <c r="AG415" i="4"/>
  <c r="AG439" i="4"/>
  <c r="AM337" i="4"/>
  <c r="AG426" i="4"/>
  <c r="AG20" i="4"/>
  <c r="AG46" i="4"/>
  <c r="AM343" i="4"/>
  <c r="AM170" i="4"/>
  <c r="AM308" i="4"/>
  <c r="AM14" i="4"/>
  <c r="AM250" i="4"/>
  <c r="AM348" i="4"/>
  <c r="AM175" i="4"/>
  <c r="AM276" i="4"/>
  <c r="AM471" i="4"/>
  <c r="AM148" i="4"/>
  <c r="AM375" i="4"/>
  <c r="AM106" i="4"/>
  <c r="AM352" i="4"/>
  <c r="AM564" i="4"/>
  <c r="AM20" i="4"/>
  <c r="AM221" i="4"/>
  <c r="AG166" i="4"/>
  <c r="AM320" i="4"/>
  <c r="AM248" i="4"/>
  <c r="AM196" i="4"/>
  <c r="AM367" i="4"/>
  <c r="AM572" i="4"/>
  <c r="AM404" i="4"/>
  <c r="AG114" i="4"/>
  <c r="AG178" i="4"/>
  <c r="AG202" i="4"/>
  <c r="AG250" i="4"/>
  <c r="AG282" i="4"/>
  <c r="AG546" i="4"/>
  <c r="AG586" i="4"/>
  <c r="AM54" i="4"/>
  <c r="AM344" i="4"/>
  <c r="AM100" i="4"/>
  <c r="AM444" i="4"/>
  <c r="AG340" i="4"/>
  <c r="AG372" i="4"/>
  <c r="AG468" i="4"/>
  <c r="AG182" i="4"/>
  <c r="AM32" i="4"/>
  <c r="AG23" i="4"/>
  <c r="AG239" i="4"/>
  <c r="AG271" i="4"/>
  <c r="AG351" i="4"/>
  <c r="AG447" i="4"/>
  <c r="AM136" i="4"/>
  <c r="AM580" i="4"/>
  <c r="AM50" i="4"/>
  <c r="AM378" i="4"/>
  <c r="AM476" i="4"/>
  <c r="AG196" i="4"/>
  <c r="AG292" i="4"/>
  <c r="AG548" i="4"/>
  <c r="AM546" i="4"/>
  <c r="AM923" i="4"/>
  <c r="AM223" i="4"/>
  <c r="AM56" i="4"/>
  <c r="AM215" i="4"/>
  <c r="AM618" i="4"/>
  <c r="AG474" i="4"/>
  <c r="AM247" i="4"/>
  <c r="AG88" i="4"/>
  <c r="AM490" i="4"/>
  <c r="AG556" i="4"/>
  <c r="AM88" i="4"/>
  <c r="AM228" i="4"/>
  <c r="AM562" i="4"/>
  <c r="AM302" i="4"/>
  <c r="AM503" i="4"/>
  <c r="AG151" i="4"/>
  <c r="AG383" i="4"/>
  <c r="AG407" i="4"/>
  <c r="AG431" i="4"/>
  <c r="AG152" i="4"/>
  <c r="AG64" i="4"/>
  <c r="AG402" i="4"/>
  <c r="AG174" i="4"/>
  <c r="AM398" i="4"/>
  <c r="AM294" i="4"/>
  <c r="AM271" i="4"/>
  <c r="AM383" i="4"/>
  <c r="AM500" i="4"/>
  <c r="AM239" i="4"/>
  <c r="AM422" i="4"/>
  <c r="AG54" i="4"/>
  <c r="AM206" i="4"/>
  <c r="AG136" i="4"/>
  <c r="AG228" i="4"/>
  <c r="AG316" i="4"/>
  <c r="AG572" i="4"/>
  <c r="AG134" i="4"/>
  <c r="AJ98" i="4"/>
  <c r="AG98" i="4"/>
  <c r="AF98" i="4"/>
  <c r="AK98" i="4" s="1"/>
  <c r="AJ482" i="4"/>
  <c r="AF482" i="4"/>
  <c r="AK482" i="4" s="1"/>
  <c r="AJ450" i="4"/>
  <c r="AF450" i="4"/>
  <c r="AK26" i="4"/>
  <c r="AG26" i="4"/>
  <c r="AJ354" i="4"/>
  <c r="AF354" i="4"/>
  <c r="AK354" i="4" s="1"/>
  <c r="AJ322" i="4"/>
  <c r="AF322" i="4"/>
  <c r="AK322" i="4" s="1"/>
  <c r="AJ122" i="4"/>
  <c r="AM122" i="4" s="1"/>
  <c r="AF122" i="4"/>
  <c r="AK122" i="4" s="1"/>
  <c r="AK154" i="4"/>
  <c r="AM154" i="4" s="1"/>
  <c r="AG154" i="4"/>
  <c r="AJ27" i="4"/>
  <c r="AF27" i="4"/>
  <c r="AK27" i="4" s="1"/>
  <c r="AJ246" i="4"/>
  <c r="AF246" i="4"/>
  <c r="AK246" i="4" s="1"/>
  <c r="AJ155" i="4"/>
  <c r="AM155" i="4" s="1"/>
  <c r="AF155" i="4"/>
  <c r="AK155" i="4" s="1"/>
  <c r="AG155" i="4"/>
  <c r="AJ767" i="4"/>
  <c r="AF767" i="4"/>
  <c r="AK767" i="4" s="1"/>
  <c r="AJ818" i="4"/>
  <c r="AF818" i="4"/>
  <c r="AK818" i="4" s="1"/>
  <c r="AJ700" i="4"/>
  <c r="AF700" i="4"/>
  <c r="AK700" i="4" s="1"/>
  <c r="AJ517" i="4"/>
  <c r="AF517" i="4"/>
  <c r="AK517" i="4" s="1"/>
  <c r="AG517" i="4"/>
  <c r="AJ622" i="4"/>
  <c r="AF622" i="4"/>
  <c r="AK622" i="4" s="1"/>
  <c r="AG622" i="4"/>
  <c r="AM506" i="4"/>
  <c r="AJ270" i="4"/>
  <c r="AM270" i="4" s="1"/>
  <c r="AF270" i="4"/>
  <c r="AK270" i="4" s="1"/>
  <c r="AG270" i="4"/>
  <c r="AM142" i="4"/>
  <c r="AJ195" i="4"/>
  <c r="AF195" i="4"/>
  <c r="AK195" i="4" s="1"/>
  <c r="AG195" i="4"/>
  <c r="AM10" i="4"/>
  <c r="AM200" i="4"/>
  <c r="AM394" i="4"/>
  <c r="AG36" i="4"/>
  <c r="AG164" i="4"/>
  <c r="AG492" i="4"/>
  <c r="AG596" i="4"/>
  <c r="AM28" i="4"/>
  <c r="AM262" i="4"/>
  <c r="AM360" i="4"/>
  <c r="AJ306" i="4"/>
  <c r="AF306" i="4"/>
  <c r="AK306" i="4" s="1"/>
  <c r="AM191" i="4"/>
  <c r="AM602" i="4"/>
  <c r="AJ22" i="4"/>
  <c r="AM22" i="4" s="1"/>
  <c r="AF22" i="4"/>
  <c r="AK22" i="4" s="1"/>
  <c r="AG118" i="4"/>
  <c r="AJ150" i="4"/>
  <c r="AF150" i="4"/>
  <c r="AK150" i="4" s="1"/>
  <c r="AG390" i="4"/>
  <c r="AJ356" i="4"/>
  <c r="AF356" i="4"/>
  <c r="AK356" i="4" s="1"/>
  <c r="AM90" i="4"/>
  <c r="AM314" i="4"/>
  <c r="AG55" i="4"/>
  <c r="AG79" i="4"/>
  <c r="AJ103" i="4"/>
  <c r="AF103" i="4"/>
  <c r="AK103" i="4" s="1"/>
  <c r="AM103" i="4" s="1"/>
  <c r="AG183" i="4"/>
  <c r="AG207" i="4"/>
  <c r="AJ231" i="4"/>
  <c r="AF231" i="4"/>
  <c r="AK231" i="4" s="1"/>
  <c r="AG255" i="4"/>
  <c r="AJ52" i="4"/>
  <c r="AF52" i="4"/>
  <c r="AK52" i="4" s="1"/>
  <c r="AJ554" i="4"/>
  <c r="AF554" i="4"/>
  <c r="AK554" i="4" s="1"/>
  <c r="AM120" i="4"/>
  <c r="AM266" i="4"/>
  <c r="AM474" i="4"/>
  <c r="AJ80" i="4"/>
  <c r="AF80" i="4"/>
  <c r="AK80" i="4" s="1"/>
  <c r="AJ168" i="4"/>
  <c r="AF168" i="4"/>
  <c r="AG296" i="4"/>
  <c r="AJ362" i="4"/>
  <c r="AG362" i="4"/>
  <c r="AF362" i="4"/>
  <c r="AK362" i="4" s="1"/>
  <c r="AM64" i="4"/>
  <c r="AM220" i="4"/>
  <c r="AM390" i="4"/>
  <c r="AM487" i="4"/>
  <c r="AG72" i="4"/>
  <c r="AG224" i="4"/>
  <c r="AG352" i="4"/>
  <c r="AJ776" i="4"/>
  <c r="AF776" i="4"/>
  <c r="AK776" i="4" s="1"/>
  <c r="AJ904" i="4"/>
  <c r="AG904" i="4"/>
  <c r="AF904" i="4"/>
  <c r="AK904" i="4" s="1"/>
  <c r="AJ217" i="4"/>
  <c r="AM217" i="4" s="1"/>
  <c r="AG217" i="4"/>
  <c r="AF217" i="4"/>
  <c r="AK217" i="4" s="1"/>
  <c r="AJ249" i="4"/>
  <c r="AF249" i="4"/>
  <c r="AJ281" i="4"/>
  <c r="AM281" i="4" s="1"/>
  <c r="AF281" i="4"/>
  <c r="AK281" i="4" s="1"/>
  <c r="AG281" i="4"/>
  <c r="AJ313" i="4"/>
  <c r="AF313" i="4"/>
  <c r="AK313" i="4" s="1"/>
  <c r="AJ345" i="4"/>
  <c r="AF345" i="4"/>
  <c r="AJ377" i="4"/>
  <c r="AF377" i="4"/>
  <c r="AK377" i="4" s="1"/>
  <c r="AJ409" i="4"/>
  <c r="AF409" i="4"/>
  <c r="AK409" i="4" s="1"/>
  <c r="AJ441" i="4"/>
  <c r="AF441" i="4"/>
  <c r="AK441" i="4" s="1"/>
  <c r="AJ473" i="4"/>
  <c r="AF473" i="4"/>
  <c r="AK473" i="4" s="1"/>
  <c r="AJ505" i="4"/>
  <c r="AF505" i="4"/>
  <c r="AK505" i="4" s="1"/>
  <c r="AJ537" i="4"/>
  <c r="AF537" i="4"/>
  <c r="AK537" i="4" s="1"/>
  <c r="AG537" i="4"/>
  <c r="AJ569" i="4"/>
  <c r="AF569" i="4"/>
  <c r="AK569" i="4" s="1"/>
  <c r="AJ601" i="4"/>
  <c r="AF601" i="4"/>
  <c r="AK601" i="4" s="1"/>
  <c r="AJ633" i="4"/>
  <c r="AF633" i="4"/>
  <c r="AK633" i="4" s="1"/>
  <c r="AJ665" i="4"/>
  <c r="AF665" i="4"/>
  <c r="AK665" i="4" s="1"/>
  <c r="AG665" i="4"/>
  <c r="AJ697" i="4"/>
  <c r="AF697" i="4"/>
  <c r="AK697" i="4" s="1"/>
  <c r="AJ729" i="4"/>
  <c r="AM729" i="4" s="1"/>
  <c r="AF729" i="4"/>
  <c r="AK729" i="4" s="1"/>
  <c r="AJ761" i="4"/>
  <c r="AF761" i="4"/>
  <c r="AK761" i="4" s="1"/>
  <c r="AM761" i="4" s="1"/>
  <c r="AJ793" i="4"/>
  <c r="AF793" i="4"/>
  <c r="AK793" i="4" s="1"/>
  <c r="AM793" i="4" s="1"/>
  <c r="AJ825" i="4"/>
  <c r="AM825" i="4" s="1"/>
  <c r="AG825" i="4"/>
  <c r="AF825" i="4"/>
  <c r="AK825" i="4" s="1"/>
  <c r="AJ857" i="4"/>
  <c r="AF857" i="4"/>
  <c r="AK857" i="4" s="1"/>
  <c r="AG857" i="4"/>
  <c r="AJ889" i="4"/>
  <c r="AG889" i="4"/>
  <c r="AF889" i="4"/>
  <c r="AK889" i="4" s="1"/>
  <c r="AJ921" i="4"/>
  <c r="AF921" i="4"/>
  <c r="AK921" i="4" s="1"/>
  <c r="AG370" i="4"/>
  <c r="AJ658" i="4"/>
  <c r="AF658" i="4"/>
  <c r="AK658" i="4" s="1"/>
  <c r="AJ690" i="4"/>
  <c r="AM690" i="4" s="1"/>
  <c r="AF690" i="4"/>
  <c r="AK690" i="4" s="1"/>
  <c r="AJ786" i="4"/>
  <c r="AF786" i="4"/>
  <c r="AK786" i="4" s="1"/>
  <c r="AM818" i="4"/>
  <c r="AJ882" i="4"/>
  <c r="AM882" i="4" s="1"/>
  <c r="AF882" i="4"/>
  <c r="AK882" i="4" s="1"/>
  <c r="AJ914" i="4"/>
  <c r="AF914" i="4"/>
  <c r="AK914" i="4" s="1"/>
  <c r="AJ235" i="4"/>
  <c r="AF235" i="4"/>
  <c r="AK235" i="4" s="1"/>
  <c r="AJ267" i="4"/>
  <c r="AF267" i="4"/>
  <c r="AK267" i="4" s="1"/>
  <c r="AG267" i="4"/>
  <c r="AJ299" i="4"/>
  <c r="AF299" i="4"/>
  <c r="AK299" i="4" s="1"/>
  <c r="AM299" i="4" s="1"/>
  <c r="AJ331" i="4"/>
  <c r="AF331" i="4"/>
  <c r="AK331" i="4" s="1"/>
  <c r="AJ363" i="4"/>
  <c r="AF363" i="4"/>
  <c r="AK363" i="4" s="1"/>
  <c r="AJ395" i="4"/>
  <c r="AM395" i="4" s="1"/>
  <c r="AF395" i="4"/>
  <c r="AK395" i="4" s="1"/>
  <c r="AJ427" i="4"/>
  <c r="AF427" i="4"/>
  <c r="AK427" i="4" s="1"/>
  <c r="AG427" i="4"/>
  <c r="AJ459" i="4"/>
  <c r="AF459" i="4"/>
  <c r="AK459" i="4" s="1"/>
  <c r="AJ491" i="4"/>
  <c r="AG491" i="4"/>
  <c r="AF491" i="4"/>
  <c r="AK491" i="4" s="1"/>
  <c r="AJ523" i="4"/>
  <c r="AF523" i="4"/>
  <c r="AK523" i="4" s="1"/>
  <c r="AG523" i="4"/>
  <c r="AG180" i="4"/>
  <c r="AG452" i="4"/>
  <c r="AJ836" i="4"/>
  <c r="AM836" i="4" s="1"/>
  <c r="AF836" i="4"/>
  <c r="AK836" i="4" s="1"/>
  <c r="AJ37" i="4"/>
  <c r="AG37" i="4"/>
  <c r="AF37" i="4"/>
  <c r="AK37" i="4" s="1"/>
  <c r="AJ69" i="4"/>
  <c r="AF69" i="4"/>
  <c r="AK69" i="4" s="1"/>
  <c r="AJ101" i="4"/>
  <c r="AM101" i="4" s="1"/>
  <c r="AF101" i="4"/>
  <c r="AK101" i="4" s="1"/>
  <c r="AJ133" i="4"/>
  <c r="AF133" i="4"/>
  <c r="AK133" i="4" s="1"/>
  <c r="AJ165" i="4"/>
  <c r="AF165" i="4"/>
  <c r="AK165" i="4" s="1"/>
  <c r="AJ229" i="4"/>
  <c r="AM229" i="4" s="1"/>
  <c r="AF229" i="4"/>
  <c r="AK229" i="4" s="1"/>
  <c r="AJ293" i="4"/>
  <c r="AF293" i="4"/>
  <c r="AK293" i="4" s="1"/>
  <c r="AJ325" i="4"/>
  <c r="AM325" i="4" s="1"/>
  <c r="AF325" i="4"/>
  <c r="AK325" i="4" s="1"/>
  <c r="AJ357" i="4"/>
  <c r="AF357" i="4"/>
  <c r="AK357" i="4" s="1"/>
  <c r="AG357" i="4"/>
  <c r="AJ389" i="4"/>
  <c r="AF389" i="4"/>
  <c r="AK389" i="4" s="1"/>
  <c r="AJ421" i="4"/>
  <c r="AF421" i="4"/>
  <c r="AK421" i="4" s="1"/>
  <c r="AJ485" i="4"/>
  <c r="AF485" i="4"/>
  <c r="AK485" i="4" s="1"/>
  <c r="AM485" i="4" s="1"/>
  <c r="AJ549" i="4"/>
  <c r="AM549" i="4" s="1"/>
  <c r="AF549" i="4"/>
  <c r="AK549" i="4" s="1"/>
  <c r="AJ581" i="4"/>
  <c r="AM581" i="4" s="1"/>
  <c r="AF581" i="4"/>
  <c r="AK581" i="4" s="1"/>
  <c r="AG581" i="4"/>
  <c r="AJ613" i="4"/>
  <c r="AM613" i="4" s="1"/>
  <c r="AF613" i="4"/>
  <c r="AK613" i="4" s="1"/>
  <c r="AG613" i="4"/>
  <c r="AJ645" i="4"/>
  <c r="AM645" i="4" s="1"/>
  <c r="AF645" i="4"/>
  <c r="AK645" i="4" s="1"/>
  <c r="AJ677" i="4"/>
  <c r="AM677" i="4" s="1"/>
  <c r="AF677" i="4"/>
  <c r="AK677" i="4" s="1"/>
  <c r="AG677" i="4"/>
  <c r="AJ709" i="4"/>
  <c r="AM709" i="4" s="1"/>
  <c r="AF709" i="4"/>
  <c r="AK709" i="4" s="1"/>
  <c r="AJ741" i="4"/>
  <c r="AF741" i="4"/>
  <c r="AK741" i="4" s="1"/>
  <c r="AM741" i="4" s="1"/>
  <c r="AJ773" i="4"/>
  <c r="AG773" i="4"/>
  <c r="AF773" i="4"/>
  <c r="AK773" i="4" s="1"/>
  <c r="AJ805" i="4"/>
  <c r="AM805" i="4" s="1"/>
  <c r="AG805" i="4"/>
  <c r="AF805" i="4"/>
  <c r="AK805" i="4" s="1"/>
  <c r="AJ837" i="4"/>
  <c r="AF837" i="4"/>
  <c r="AK837" i="4" s="1"/>
  <c r="AJ869" i="4"/>
  <c r="AF869" i="4"/>
  <c r="AK869" i="4" s="1"/>
  <c r="AM869" i="4" s="1"/>
  <c r="AJ901" i="4"/>
  <c r="AM901" i="4" s="1"/>
  <c r="AG901" i="4"/>
  <c r="AF901" i="4"/>
  <c r="AK901" i="4" s="1"/>
  <c r="AJ933" i="4"/>
  <c r="AF933" i="4"/>
  <c r="AK933" i="4" s="1"/>
  <c r="AG70" i="4"/>
  <c r="AG206" i="4"/>
  <c r="AG374" i="4"/>
  <c r="AJ502" i="4"/>
  <c r="AF502" i="4"/>
  <c r="AK502" i="4" s="1"/>
  <c r="AJ534" i="4"/>
  <c r="AF534" i="4"/>
  <c r="AK534" i="4" s="1"/>
  <c r="AJ566" i="4"/>
  <c r="AM566" i="4" s="1"/>
  <c r="AF566" i="4"/>
  <c r="AK566" i="4" s="1"/>
  <c r="AG566" i="4"/>
  <c r="AJ598" i="4"/>
  <c r="AF598" i="4"/>
  <c r="AK598" i="4" s="1"/>
  <c r="AJ630" i="4"/>
  <c r="AM630" i="4" s="1"/>
  <c r="AF630" i="4"/>
  <c r="AK630" i="4" s="1"/>
  <c r="AJ662" i="4"/>
  <c r="AF662" i="4"/>
  <c r="AK662" i="4" s="1"/>
  <c r="AM662" i="4" s="1"/>
  <c r="AJ694" i="4"/>
  <c r="AF694" i="4"/>
  <c r="AK694" i="4" s="1"/>
  <c r="AJ726" i="4"/>
  <c r="AF726" i="4"/>
  <c r="AK726" i="4" s="1"/>
  <c r="AJ758" i="4"/>
  <c r="AF758" i="4"/>
  <c r="AK758" i="4" s="1"/>
  <c r="AG758" i="4"/>
  <c r="AJ790" i="4"/>
  <c r="AF790" i="4"/>
  <c r="AK790" i="4" s="1"/>
  <c r="AJ854" i="4"/>
  <c r="AF854" i="4"/>
  <c r="AK854" i="4" s="1"/>
  <c r="AJ886" i="4"/>
  <c r="AF886" i="4"/>
  <c r="AK886" i="4" s="1"/>
  <c r="AG886" i="4"/>
  <c r="AJ918" i="4"/>
  <c r="AF918" i="4"/>
  <c r="AK918" i="4" s="1"/>
  <c r="AJ108" i="4"/>
  <c r="AF108" i="4"/>
  <c r="AK108" i="4" s="1"/>
  <c r="AM255" i="4"/>
  <c r="AM207" i="4"/>
  <c r="AJ575" i="4"/>
  <c r="AG575" i="4"/>
  <c r="AF575" i="4"/>
  <c r="AK575" i="4" s="1"/>
  <c r="AJ703" i="4"/>
  <c r="AF703" i="4"/>
  <c r="AK703" i="4" s="1"/>
  <c r="AJ863" i="4"/>
  <c r="AG863" i="4"/>
  <c r="AF863" i="4"/>
  <c r="AK863" i="4" s="1"/>
  <c r="AJ448" i="4"/>
  <c r="AF448" i="4"/>
  <c r="AK448" i="4" s="1"/>
  <c r="AJ512" i="4"/>
  <c r="AG512" i="4"/>
  <c r="AF512" i="4"/>
  <c r="AK512" i="4" s="1"/>
  <c r="AJ640" i="4"/>
  <c r="AG640" i="4"/>
  <c r="AF640" i="4"/>
  <c r="AK640" i="4" s="1"/>
  <c r="AJ736" i="4"/>
  <c r="AF736" i="4"/>
  <c r="AK736" i="4" s="1"/>
  <c r="AM736" i="4" s="1"/>
  <c r="AM697" i="4"/>
  <c r="AM889" i="4"/>
  <c r="AJ722" i="4"/>
  <c r="AF722" i="4"/>
  <c r="AK722" i="4" s="1"/>
  <c r="AJ547" i="4"/>
  <c r="AF547" i="4"/>
  <c r="AJ675" i="4"/>
  <c r="AF675" i="4"/>
  <c r="AK675" i="4" s="1"/>
  <c r="AJ803" i="4"/>
  <c r="AG803" i="4"/>
  <c r="AF803" i="4"/>
  <c r="AK803" i="4" s="1"/>
  <c r="AJ931" i="4"/>
  <c r="AF931" i="4"/>
  <c r="AJ796" i="4"/>
  <c r="AF796" i="4"/>
  <c r="AK796" i="4" s="1"/>
  <c r="AM389" i="4"/>
  <c r="AJ430" i="4"/>
  <c r="AG430" i="4"/>
  <c r="AF430" i="4"/>
  <c r="AK430" i="4" s="1"/>
  <c r="AJ462" i="4"/>
  <c r="AF462" i="4"/>
  <c r="AK462" i="4" s="1"/>
  <c r="AJ494" i="4"/>
  <c r="AF494" i="4"/>
  <c r="AK494" i="4" s="1"/>
  <c r="AJ558" i="4"/>
  <c r="AF558" i="4"/>
  <c r="AK558" i="4" s="1"/>
  <c r="AJ910" i="4"/>
  <c r="AF910" i="4"/>
  <c r="AK910" i="4" s="1"/>
  <c r="AM183" i="4"/>
  <c r="AM282" i="4"/>
  <c r="AG82" i="4"/>
  <c r="AG106" i="4"/>
  <c r="AJ130" i="4"/>
  <c r="AF130" i="4"/>
  <c r="AK130" i="4" s="1"/>
  <c r="AG330" i="4"/>
  <c r="AG458" i="4"/>
  <c r="AG506" i="4"/>
  <c r="AG538" i="4"/>
  <c r="AJ516" i="4"/>
  <c r="AF516" i="4"/>
  <c r="AK516" i="4" s="1"/>
  <c r="AM296" i="4"/>
  <c r="AJ3" i="4"/>
  <c r="AF3" i="4"/>
  <c r="AK3" i="4" s="1"/>
  <c r="AJ35" i="4"/>
  <c r="AF35" i="4"/>
  <c r="AK35" i="4" s="1"/>
  <c r="AJ67" i="4"/>
  <c r="AM67" i="4" s="1"/>
  <c r="AF67" i="4"/>
  <c r="AK67" i="4" s="1"/>
  <c r="AJ99" i="4"/>
  <c r="AM99" i="4" s="1"/>
  <c r="AF99" i="4"/>
  <c r="AK99" i="4" s="1"/>
  <c r="AG99" i="4"/>
  <c r="AJ131" i="4"/>
  <c r="AM131" i="4" s="1"/>
  <c r="AF131" i="4"/>
  <c r="AK131" i="4" s="1"/>
  <c r="AG131" i="4"/>
  <c r="AJ163" i="4"/>
  <c r="AM163" i="4" s="1"/>
  <c r="AF163" i="4"/>
  <c r="AK163" i="4" s="1"/>
  <c r="AM195" i="4"/>
  <c r="AM26" i="4"/>
  <c r="AM212" i="4"/>
  <c r="AM407" i="4"/>
  <c r="AJ4" i="4"/>
  <c r="AF4" i="4"/>
  <c r="AJ132" i="4"/>
  <c r="AF132" i="4"/>
  <c r="AK132" i="4" s="1"/>
  <c r="AJ268" i="4"/>
  <c r="AF268" i="4"/>
  <c r="AK268" i="4" s="1"/>
  <c r="AM268" i="4" s="1"/>
  <c r="AJ300" i="4"/>
  <c r="AF300" i="4"/>
  <c r="AK300" i="4" s="1"/>
  <c r="AM42" i="4"/>
  <c r="AM372" i="4"/>
  <c r="AM15" i="4"/>
  <c r="AM202" i="4"/>
  <c r="AM374" i="4"/>
  <c r="AM538" i="4"/>
  <c r="AM610" i="4"/>
  <c r="AG78" i="4"/>
  <c r="AM150" i="4"/>
  <c r="AG198" i="4"/>
  <c r="AG238" i="4"/>
  <c r="AJ286" i="4"/>
  <c r="AG286" i="4"/>
  <c r="AF286" i="4"/>
  <c r="AK286" i="4" s="1"/>
  <c r="AJ318" i="4"/>
  <c r="AF318" i="4"/>
  <c r="AK318" i="4" s="1"/>
  <c r="AM318" i="4" s="1"/>
  <c r="AJ380" i="4"/>
  <c r="AF380" i="4"/>
  <c r="AK380" i="4" s="1"/>
  <c r="AM326" i="4"/>
  <c r="AJ7" i="4"/>
  <c r="AM7" i="4" s="1"/>
  <c r="AF7" i="4"/>
  <c r="AK7" i="4" s="1"/>
  <c r="AJ31" i="4"/>
  <c r="AF31" i="4"/>
  <c r="AJ159" i="4"/>
  <c r="AG159" i="4"/>
  <c r="AF159" i="4"/>
  <c r="AK159" i="4" s="1"/>
  <c r="AG311" i="4"/>
  <c r="AJ359" i="4"/>
  <c r="AF359" i="4"/>
  <c r="AK359" i="4" s="1"/>
  <c r="AM455" i="4"/>
  <c r="AJ188" i="4"/>
  <c r="AM188" i="4" s="1"/>
  <c r="AG188" i="4"/>
  <c r="AF188" i="4"/>
  <c r="AK188" i="4" s="1"/>
  <c r="AM5" i="4"/>
  <c r="AM279" i="4"/>
  <c r="AM495" i="4"/>
  <c r="AJ176" i="4"/>
  <c r="AF176" i="4"/>
  <c r="AK176" i="4" s="1"/>
  <c r="AJ388" i="4"/>
  <c r="AM388" i="4" s="1"/>
  <c r="AG388" i="4"/>
  <c r="AF388" i="4"/>
  <c r="AK388" i="4" s="1"/>
  <c r="AM79" i="4"/>
  <c r="AM232" i="4"/>
  <c r="AM514" i="4"/>
  <c r="AJ519" i="4"/>
  <c r="AF519" i="4"/>
  <c r="AK519" i="4" s="1"/>
  <c r="AJ551" i="4"/>
  <c r="AF551" i="4"/>
  <c r="AK551" i="4" s="1"/>
  <c r="AJ583" i="4"/>
  <c r="AM583" i="4" s="1"/>
  <c r="AG583" i="4"/>
  <c r="AF583" i="4"/>
  <c r="AK583" i="4" s="1"/>
  <c r="AJ615" i="4"/>
  <c r="AF615" i="4"/>
  <c r="AK615" i="4" s="1"/>
  <c r="AJ647" i="4"/>
  <c r="AM647" i="4" s="1"/>
  <c r="AF647" i="4"/>
  <c r="AK647" i="4" s="1"/>
  <c r="AJ679" i="4"/>
  <c r="AF679" i="4"/>
  <c r="AK679" i="4" s="1"/>
  <c r="AJ711" i="4"/>
  <c r="AF711" i="4"/>
  <c r="AK711" i="4" s="1"/>
  <c r="AJ743" i="4"/>
  <c r="AM743" i="4" s="1"/>
  <c r="AF743" i="4"/>
  <c r="AK743" i="4" s="1"/>
  <c r="AJ775" i="4"/>
  <c r="AF775" i="4"/>
  <c r="AK775" i="4" s="1"/>
  <c r="AJ807" i="4"/>
  <c r="AM807" i="4" s="1"/>
  <c r="AF807" i="4"/>
  <c r="AK807" i="4" s="1"/>
  <c r="AJ839" i="4"/>
  <c r="AM839" i="4" s="1"/>
  <c r="AG839" i="4"/>
  <c r="AF839" i="4"/>
  <c r="AK839" i="4" s="1"/>
  <c r="AJ871" i="4"/>
  <c r="AM871" i="4" s="1"/>
  <c r="AF871" i="4"/>
  <c r="AK871" i="4" s="1"/>
  <c r="AJ903" i="4"/>
  <c r="AM903" i="4" s="1"/>
  <c r="AG903" i="4"/>
  <c r="AF903" i="4"/>
  <c r="AK903" i="4" s="1"/>
  <c r="AJ392" i="4"/>
  <c r="AF392" i="4"/>
  <c r="AK392" i="4" s="1"/>
  <c r="AJ424" i="4"/>
  <c r="AM424" i="4" s="1"/>
  <c r="AG424" i="4"/>
  <c r="AF424" i="4"/>
  <c r="AK424" i="4" s="1"/>
  <c r="AJ456" i="4"/>
  <c r="AM456" i="4" s="1"/>
  <c r="AG456" i="4"/>
  <c r="AF456" i="4"/>
  <c r="AK456" i="4" s="1"/>
  <c r="AJ488" i="4"/>
  <c r="AF488" i="4"/>
  <c r="AJ520" i="4"/>
  <c r="AM520" i="4" s="1"/>
  <c r="AF520" i="4"/>
  <c r="AK520" i="4" s="1"/>
  <c r="AG520" i="4"/>
  <c r="AJ552" i="4"/>
  <c r="AF552" i="4"/>
  <c r="AK552" i="4" s="1"/>
  <c r="AJ584" i="4"/>
  <c r="AM584" i="4" s="1"/>
  <c r="AF584" i="4"/>
  <c r="AK584" i="4" s="1"/>
  <c r="AJ616" i="4"/>
  <c r="AM616" i="4" s="1"/>
  <c r="AF616" i="4"/>
  <c r="AK616" i="4" s="1"/>
  <c r="AJ648" i="4"/>
  <c r="AM648" i="4" s="1"/>
  <c r="AF648" i="4"/>
  <c r="AK648" i="4" s="1"/>
  <c r="AJ680" i="4"/>
  <c r="AM680" i="4" s="1"/>
  <c r="AG680" i="4"/>
  <c r="AF680" i="4"/>
  <c r="AK680" i="4" s="1"/>
  <c r="AJ712" i="4"/>
  <c r="AM712" i="4" s="1"/>
  <c r="AF712" i="4"/>
  <c r="AK712" i="4" s="1"/>
  <c r="AJ744" i="4"/>
  <c r="AM744" i="4" s="1"/>
  <c r="AF744" i="4"/>
  <c r="AK744" i="4" s="1"/>
  <c r="AG744" i="4"/>
  <c r="AM776" i="4"/>
  <c r="AJ808" i="4"/>
  <c r="AF808" i="4"/>
  <c r="AK808" i="4" s="1"/>
  <c r="AJ840" i="4"/>
  <c r="AF840" i="4"/>
  <c r="AK840" i="4" s="1"/>
  <c r="AJ872" i="4"/>
  <c r="AM872" i="4" s="1"/>
  <c r="AF872" i="4"/>
  <c r="AK872" i="4" s="1"/>
  <c r="AM904" i="4"/>
  <c r="AJ289" i="4"/>
  <c r="AM289" i="4" s="1"/>
  <c r="AF289" i="4"/>
  <c r="AK289" i="4" s="1"/>
  <c r="AJ481" i="4"/>
  <c r="AF481" i="4"/>
  <c r="AK481" i="4" s="1"/>
  <c r="AJ673" i="4"/>
  <c r="AM673" i="4" s="1"/>
  <c r="AF673" i="4"/>
  <c r="AK673" i="4" s="1"/>
  <c r="AJ801" i="4"/>
  <c r="AF801" i="4"/>
  <c r="AK801" i="4" s="1"/>
  <c r="AM801" i="4" s="1"/>
  <c r="AJ833" i="4"/>
  <c r="AF833" i="4"/>
  <c r="AK833" i="4" s="1"/>
  <c r="AJ865" i="4"/>
  <c r="AG865" i="4"/>
  <c r="AF865" i="4"/>
  <c r="AK865" i="4" s="1"/>
  <c r="AJ922" i="4"/>
  <c r="AG922" i="4"/>
  <c r="AF922" i="4"/>
  <c r="AK922" i="4" s="1"/>
  <c r="AM235" i="4"/>
  <c r="AM267" i="4"/>
  <c r="AM331" i="4"/>
  <c r="AM363" i="4"/>
  <c r="AM427" i="4"/>
  <c r="AM491" i="4"/>
  <c r="AM523" i="4"/>
  <c r="AJ555" i="4"/>
  <c r="AM555" i="4" s="1"/>
  <c r="AF555" i="4"/>
  <c r="AK555" i="4" s="1"/>
  <c r="AJ587" i="4"/>
  <c r="AM587" i="4" s="1"/>
  <c r="AF587" i="4"/>
  <c r="AK587" i="4" s="1"/>
  <c r="AJ619" i="4"/>
  <c r="AF619" i="4"/>
  <c r="AJ651" i="4"/>
  <c r="AF651" i="4"/>
  <c r="AK651" i="4" s="1"/>
  <c r="AJ683" i="4"/>
  <c r="AM683" i="4" s="1"/>
  <c r="AF683" i="4"/>
  <c r="AK683" i="4" s="1"/>
  <c r="AJ715" i="4"/>
  <c r="AF715" i="4"/>
  <c r="AK715" i="4" s="1"/>
  <c r="AG715" i="4"/>
  <c r="AJ747" i="4"/>
  <c r="AM747" i="4" s="1"/>
  <c r="AG747" i="4"/>
  <c r="AF747" i="4"/>
  <c r="AK747" i="4" s="1"/>
  <c r="AJ779" i="4"/>
  <c r="AM779" i="4" s="1"/>
  <c r="AF779" i="4"/>
  <c r="AK779" i="4" s="1"/>
  <c r="AJ811" i="4"/>
  <c r="AM811" i="4" s="1"/>
  <c r="AG811" i="4"/>
  <c r="AF811" i="4"/>
  <c r="AK811" i="4" s="1"/>
  <c r="AJ843" i="4"/>
  <c r="AM843" i="4" s="1"/>
  <c r="AF843" i="4"/>
  <c r="AK843" i="4" s="1"/>
  <c r="AJ875" i="4"/>
  <c r="AM875" i="4" s="1"/>
  <c r="AG875" i="4"/>
  <c r="AF875" i="4"/>
  <c r="AK875" i="4" s="1"/>
  <c r="AJ907" i="4"/>
  <c r="AF907" i="4"/>
  <c r="AJ612" i="4"/>
  <c r="AM612" i="4" s="1"/>
  <c r="AF612" i="4"/>
  <c r="AK612" i="4" s="1"/>
  <c r="AJ644" i="4"/>
  <c r="AM644" i="4" s="1"/>
  <c r="AF644" i="4"/>
  <c r="AK644" i="4" s="1"/>
  <c r="AJ676" i="4"/>
  <c r="AM676" i="4" s="1"/>
  <c r="AG676" i="4"/>
  <c r="AF676" i="4"/>
  <c r="AK676" i="4" s="1"/>
  <c r="AJ708" i="4"/>
  <c r="AM708" i="4" s="1"/>
  <c r="AF708" i="4"/>
  <c r="AK708" i="4" s="1"/>
  <c r="AJ740" i="4"/>
  <c r="AM740" i="4" s="1"/>
  <c r="AG740" i="4"/>
  <c r="AF740" i="4"/>
  <c r="AK740" i="4" s="1"/>
  <c r="AJ772" i="4"/>
  <c r="AM772" i="4" s="1"/>
  <c r="AG772" i="4"/>
  <c r="AF772" i="4"/>
  <c r="AK772" i="4" s="1"/>
  <c r="AJ804" i="4"/>
  <c r="AM804" i="4" s="1"/>
  <c r="AF804" i="4"/>
  <c r="AK804" i="4" s="1"/>
  <c r="AJ868" i="4"/>
  <c r="AF868" i="4"/>
  <c r="AJ900" i="4"/>
  <c r="AM900" i="4" s="1"/>
  <c r="AF900" i="4"/>
  <c r="AK900" i="4" s="1"/>
  <c r="AJ932" i="4"/>
  <c r="AG932" i="4"/>
  <c r="AF932" i="4"/>
  <c r="AK932" i="4" s="1"/>
  <c r="AJ77" i="4"/>
  <c r="AM77" i="4" s="1"/>
  <c r="AG77" i="4"/>
  <c r="AF77" i="4"/>
  <c r="AK77" i="4" s="1"/>
  <c r="AJ141" i="4"/>
  <c r="AF141" i="4"/>
  <c r="AK141" i="4" s="1"/>
  <c r="AJ237" i="4"/>
  <c r="AF237" i="4"/>
  <c r="AK237" i="4" s="1"/>
  <c r="AG237" i="4"/>
  <c r="AJ333" i="4"/>
  <c r="AF333" i="4"/>
  <c r="AK333" i="4" s="1"/>
  <c r="AJ429" i="4"/>
  <c r="AF429" i="4"/>
  <c r="AK429" i="4" s="1"/>
  <c r="AG429" i="4"/>
  <c r="AJ461" i="4"/>
  <c r="AF461" i="4"/>
  <c r="AK461" i="4" s="1"/>
  <c r="AJ525" i="4"/>
  <c r="AF525" i="4"/>
  <c r="AG6" i="4"/>
  <c r="AJ438" i="4"/>
  <c r="AM438" i="4" s="1"/>
  <c r="AF438" i="4"/>
  <c r="AK438" i="4" s="1"/>
  <c r="AG438" i="4"/>
  <c r="AJ470" i="4"/>
  <c r="AM470" i="4" s="1"/>
  <c r="AF470" i="4"/>
  <c r="AK470" i="4" s="1"/>
  <c r="AM534" i="4"/>
  <c r="AM598" i="4"/>
  <c r="AM694" i="4"/>
  <c r="AM726" i="4"/>
  <c r="AM758" i="4"/>
  <c r="AM790" i="4"/>
  <c r="AJ822" i="4"/>
  <c r="AM822" i="4" s="1"/>
  <c r="AF822" i="4"/>
  <c r="AK822" i="4" s="1"/>
  <c r="AM854" i="4"/>
  <c r="AM886" i="4"/>
  <c r="AM918" i="4"/>
  <c r="AJ460" i="4"/>
  <c r="AM460" i="4" s="1"/>
  <c r="AG460" i="4"/>
  <c r="AF460" i="4"/>
  <c r="AK460" i="4" s="1"/>
  <c r="AJ260" i="4"/>
  <c r="AF260" i="4"/>
  <c r="AK260" i="4" s="1"/>
  <c r="AJ799" i="4"/>
  <c r="AG799" i="4"/>
  <c r="AF799" i="4"/>
  <c r="AK799" i="4" s="1"/>
  <c r="AJ544" i="4"/>
  <c r="AG544" i="4"/>
  <c r="AF544" i="4"/>
  <c r="AK544" i="4" s="1"/>
  <c r="AJ928" i="4"/>
  <c r="AF928" i="4"/>
  <c r="AK928" i="4" s="1"/>
  <c r="AJ185" i="4"/>
  <c r="AM185" i="4" s="1"/>
  <c r="AF185" i="4"/>
  <c r="AK185" i="4" s="1"/>
  <c r="AM409" i="4"/>
  <c r="AM601" i="4"/>
  <c r="AJ579" i="4"/>
  <c r="AF579" i="4"/>
  <c r="AK579" i="4" s="1"/>
  <c r="AG579" i="4"/>
  <c r="AJ835" i="4"/>
  <c r="AF835" i="4"/>
  <c r="AK835" i="4" s="1"/>
  <c r="AM37" i="4"/>
  <c r="AJ686" i="4"/>
  <c r="AF686" i="4"/>
  <c r="AK686" i="4" s="1"/>
  <c r="AG686" i="4"/>
  <c r="AJ258" i="4"/>
  <c r="AF258" i="4"/>
  <c r="AK258" i="4" s="1"/>
  <c r="AJ418" i="4"/>
  <c r="AF418" i="4"/>
  <c r="AK418" i="4" s="1"/>
  <c r="AM55" i="4"/>
  <c r="AJ12" i="4"/>
  <c r="AF12" i="4"/>
  <c r="AK12" i="4" s="1"/>
  <c r="AM12" i="4" s="1"/>
  <c r="AG328" i="4"/>
  <c r="AM492" i="4"/>
  <c r="AJ158" i="4"/>
  <c r="AF158" i="4"/>
  <c r="AK158" i="4" s="1"/>
  <c r="AJ414" i="4"/>
  <c r="AM414" i="4" s="1"/>
  <c r="AF414" i="4"/>
  <c r="AK414" i="4" s="1"/>
  <c r="AG215" i="4"/>
  <c r="AJ455" i="4"/>
  <c r="AG455" i="4"/>
  <c r="AF455" i="4"/>
  <c r="AK455" i="4" s="1"/>
  <c r="AJ214" i="4"/>
  <c r="AF214" i="4"/>
  <c r="AM18" i="4"/>
  <c r="AM151" i="4"/>
  <c r="AM292" i="4"/>
  <c r="AM522" i="4"/>
  <c r="AM588" i="4"/>
  <c r="AJ40" i="4"/>
  <c r="AF40" i="4"/>
  <c r="AJ208" i="4"/>
  <c r="AM208" i="4" s="1"/>
  <c r="AF208" i="4"/>
  <c r="AK208" i="4" s="1"/>
  <c r="AG208" i="4"/>
  <c r="AJ336" i="4"/>
  <c r="AM336" i="4" s="1"/>
  <c r="AF336" i="4"/>
  <c r="AK336" i="4" s="1"/>
  <c r="AJ484" i="4"/>
  <c r="AM484" i="4" s="1"/>
  <c r="AG484" i="4"/>
  <c r="AF484" i="4"/>
  <c r="AK484" i="4" s="1"/>
  <c r="AM244" i="4"/>
  <c r="AM415" i="4"/>
  <c r="AM524" i="4"/>
  <c r="AG320" i="4"/>
  <c r="AM368" i="4"/>
  <c r="AJ33" i="4"/>
  <c r="AF33" i="4"/>
  <c r="AK33" i="4" s="1"/>
  <c r="AJ65" i="4"/>
  <c r="AF65" i="4"/>
  <c r="AK65" i="4" s="1"/>
  <c r="AJ97" i="4"/>
  <c r="AM97" i="4" s="1"/>
  <c r="AF97" i="4"/>
  <c r="AK97" i="4" s="1"/>
  <c r="AJ129" i="4"/>
  <c r="AM129" i="4" s="1"/>
  <c r="AF129" i="4"/>
  <c r="AK129" i="4" s="1"/>
  <c r="AG129" i="4"/>
  <c r="AJ161" i="4"/>
  <c r="AM161" i="4" s="1"/>
  <c r="AF161" i="4"/>
  <c r="AK161" i="4" s="1"/>
  <c r="AG161" i="4"/>
  <c r="AJ193" i="4"/>
  <c r="AM193" i="4" s="1"/>
  <c r="AF193" i="4"/>
  <c r="AK193" i="4" s="1"/>
  <c r="AJ225" i="4"/>
  <c r="AM225" i="4" s="1"/>
  <c r="AF225" i="4"/>
  <c r="AK225" i="4" s="1"/>
  <c r="AG225" i="4"/>
  <c r="AJ257" i="4"/>
  <c r="AF257" i="4"/>
  <c r="AK257" i="4" s="1"/>
  <c r="AJ321" i="4"/>
  <c r="AF321" i="4"/>
  <c r="AJ353" i="4"/>
  <c r="AM353" i="4" s="1"/>
  <c r="AF353" i="4"/>
  <c r="AK353" i="4" s="1"/>
  <c r="AG353" i="4"/>
  <c r="AJ385" i="4"/>
  <c r="AM385" i="4" s="1"/>
  <c r="AF385" i="4"/>
  <c r="AK385" i="4" s="1"/>
  <c r="AJ417" i="4"/>
  <c r="AF417" i="4"/>
  <c r="AJ449" i="4"/>
  <c r="AF449" i="4"/>
  <c r="AK449" i="4" s="1"/>
  <c r="AJ513" i="4"/>
  <c r="AM513" i="4" s="1"/>
  <c r="AF513" i="4"/>
  <c r="AK513" i="4" s="1"/>
  <c r="AJ545" i="4"/>
  <c r="AF545" i="4"/>
  <c r="AJ577" i="4"/>
  <c r="AM577" i="4" s="1"/>
  <c r="AF577" i="4"/>
  <c r="AK577" i="4" s="1"/>
  <c r="AJ609" i="4"/>
  <c r="AM609" i="4" s="1"/>
  <c r="AF609" i="4"/>
  <c r="AK609" i="4" s="1"/>
  <c r="AJ641" i="4"/>
  <c r="AF641" i="4"/>
  <c r="AK641" i="4" s="1"/>
  <c r="AM641" i="4" s="1"/>
  <c r="AJ705" i="4"/>
  <c r="AF705" i="4"/>
  <c r="AK705" i="4" s="1"/>
  <c r="AJ737" i="4"/>
  <c r="AM737" i="4" s="1"/>
  <c r="AF737" i="4"/>
  <c r="AK737" i="4" s="1"/>
  <c r="AJ769" i="4"/>
  <c r="AM769" i="4" s="1"/>
  <c r="AG769" i="4"/>
  <c r="AF769" i="4"/>
  <c r="AK769" i="4" s="1"/>
  <c r="AM833" i="4"/>
  <c r="AM865" i="4"/>
  <c r="AJ897" i="4"/>
  <c r="AM897" i="4" s="1"/>
  <c r="AG897" i="4"/>
  <c r="AF897" i="4"/>
  <c r="AK897" i="4" s="1"/>
  <c r="AJ929" i="4"/>
  <c r="AF929" i="4"/>
  <c r="AK929" i="4" s="1"/>
  <c r="AG298" i="4"/>
  <c r="AG466" i="4"/>
  <c r="AG562" i="4"/>
  <c r="AG618" i="4"/>
  <c r="AJ666" i="4"/>
  <c r="AF666" i="4"/>
  <c r="AK666" i="4" s="1"/>
  <c r="AJ698" i="4"/>
  <c r="AM698" i="4" s="1"/>
  <c r="AF698" i="4"/>
  <c r="AK698" i="4" s="1"/>
  <c r="AJ730" i="4"/>
  <c r="AM730" i="4" s="1"/>
  <c r="AF730" i="4"/>
  <c r="AK730" i="4" s="1"/>
  <c r="AJ762" i="4"/>
  <c r="AM762" i="4" s="1"/>
  <c r="AF762" i="4"/>
  <c r="AK762" i="4" s="1"/>
  <c r="AJ794" i="4"/>
  <c r="AM794" i="4" s="1"/>
  <c r="AG794" i="4"/>
  <c r="AF794" i="4"/>
  <c r="AK794" i="4" s="1"/>
  <c r="AJ826" i="4"/>
  <c r="AM826" i="4" s="1"/>
  <c r="AF826" i="4"/>
  <c r="AK826" i="4" s="1"/>
  <c r="AJ858" i="4"/>
  <c r="AF858" i="4"/>
  <c r="AK858" i="4" s="1"/>
  <c r="AJ890" i="4"/>
  <c r="AF890" i="4"/>
  <c r="AK890" i="4" s="1"/>
  <c r="AJ243" i="4"/>
  <c r="AF243" i="4"/>
  <c r="AK243" i="4" s="1"/>
  <c r="AJ275" i="4"/>
  <c r="AF275" i="4"/>
  <c r="AK275" i="4" s="1"/>
  <c r="AJ307" i="4"/>
  <c r="AF307" i="4"/>
  <c r="AJ339" i="4"/>
  <c r="AF339" i="4"/>
  <c r="AK339" i="4" s="1"/>
  <c r="AJ371" i="4"/>
  <c r="AG371" i="4"/>
  <c r="AF371" i="4"/>
  <c r="AK371" i="4" s="1"/>
  <c r="AJ403" i="4"/>
  <c r="AF403" i="4"/>
  <c r="AJ435" i="4"/>
  <c r="AF435" i="4"/>
  <c r="AK435" i="4" s="1"/>
  <c r="AJ467" i="4"/>
  <c r="AF467" i="4"/>
  <c r="AK467" i="4" s="1"/>
  <c r="AM467" i="4" s="1"/>
  <c r="AJ499" i="4"/>
  <c r="AF499" i="4"/>
  <c r="AK499" i="4" s="1"/>
  <c r="AJ531" i="4"/>
  <c r="AM531" i="4" s="1"/>
  <c r="AF531" i="4"/>
  <c r="AK531" i="4" s="1"/>
  <c r="AJ627" i="4"/>
  <c r="AF627" i="4"/>
  <c r="AK627" i="4" s="1"/>
  <c r="AJ819" i="4"/>
  <c r="AF819" i="4"/>
  <c r="AK819" i="4" s="1"/>
  <c r="AG124" i="4"/>
  <c r="AG252" i="4"/>
  <c r="AG420" i="4"/>
  <c r="AJ45" i="4"/>
  <c r="AM45" i="4" s="1"/>
  <c r="AF45" i="4"/>
  <c r="AK45" i="4" s="1"/>
  <c r="AJ109" i="4"/>
  <c r="AM109" i="4" s="1"/>
  <c r="AG109" i="4"/>
  <c r="AF109" i="4"/>
  <c r="AK109" i="4" s="1"/>
  <c r="AJ173" i="4"/>
  <c r="AM173" i="4" s="1"/>
  <c r="AF173" i="4"/>
  <c r="AK173" i="4" s="1"/>
  <c r="AJ205" i="4"/>
  <c r="AF205" i="4"/>
  <c r="AK205" i="4" s="1"/>
  <c r="AM237" i="4"/>
  <c r="AJ269" i="4"/>
  <c r="AF269" i="4"/>
  <c r="AK269" i="4" s="1"/>
  <c r="AJ301" i="4"/>
  <c r="AF301" i="4"/>
  <c r="AK301" i="4" s="1"/>
  <c r="AJ365" i="4"/>
  <c r="AM365" i="4" s="1"/>
  <c r="AF365" i="4"/>
  <c r="AK365" i="4" s="1"/>
  <c r="AJ397" i="4"/>
  <c r="AF397" i="4"/>
  <c r="AK397" i="4" s="1"/>
  <c r="AG397" i="4"/>
  <c r="AM429" i="4"/>
  <c r="AM461" i="4"/>
  <c r="AJ493" i="4"/>
  <c r="AF493" i="4"/>
  <c r="AK493" i="4" s="1"/>
  <c r="AJ557" i="4"/>
  <c r="AF557" i="4"/>
  <c r="AK557" i="4" s="1"/>
  <c r="AJ589" i="4"/>
  <c r="AM589" i="4" s="1"/>
  <c r="AF589" i="4"/>
  <c r="AK589" i="4" s="1"/>
  <c r="AJ621" i="4"/>
  <c r="AM621" i="4" s="1"/>
  <c r="AF621" i="4"/>
  <c r="AK621" i="4" s="1"/>
  <c r="AG621" i="4"/>
  <c r="AJ653" i="4"/>
  <c r="AM653" i="4" s="1"/>
  <c r="AF653" i="4"/>
  <c r="AK653" i="4" s="1"/>
  <c r="AG653" i="4"/>
  <c r="AJ685" i="4"/>
  <c r="AM685" i="4" s="1"/>
  <c r="AF685" i="4"/>
  <c r="AK685" i="4" s="1"/>
  <c r="AJ717" i="4"/>
  <c r="AM717" i="4" s="1"/>
  <c r="AF717" i="4"/>
  <c r="AK717" i="4" s="1"/>
  <c r="AG717" i="4"/>
  <c r="AJ749" i="4"/>
  <c r="AF749" i="4"/>
  <c r="AK749" i="4" s="1"/>
  <c r="AJ781" i="4"/>
  <c r="AM781" i="4" s="1"/>
  <c r="AF781" i="4"/>
  <c r="AK781" i="4" s="1"/>
  <c r="AG781" i="4"/>
  <c r="AJ813" i="4"/>
  <c r="AF813" i="4"/>
  <c r="AK813" i="4" s="1"/>
  <c r="AJ845" i="4"/>
  <c r="AF845" i="4"/>
  <c r="AK845" i="4" s="1"/>
  <c r="AJ877" i="4"/>
  <c r="AM877" i="4" s="1"/>
  <c r="AF877" i="4"/>
  <c r="AK877" i="4" s="1"/>
  <c r="AJ909" i="4"/>
  <c r="AF909" i="4"/>
  <c r="AK909" i="4" s="1"/>
  <c r="AJ446" i="4"/>
  <c r="AM446" i="4" s="1"/>
  <c r="AG446" i="4"/>
  <c r="AF446" i="4"/>
  <c r="AK446" i="4" s="1"/>
  <c r="AJ478" i="4"/>
  <c r="AF478" i="4"/>
  <c r="AK478" i="4" s="1"/>
  <c r="AM478" i="4" s="1"/>
  <c r="AJ830" i="4"/>
  <c r="AG830" i="4"/>
  <c r="AF830" i="4"/>
  <c r="AK830" i="4" s="1"/>
  <c r="AJ894" i="4"/>
  <c r="AF894" i="4"/>
  <c r="AK894" i="4" s="1"/>
  <c r="AJ123" i="4"/>
  <c r="AF123" i="4"/>
  <c r="AK123" i="4" s="1"/>
  <c r="AJ190" i="4"/>
  <c r="AM190" i="4" s="1"/>
  <c r="AF190" i="4"/>
  <c r="AK190" i="4" s="1"/>
  <c r="AM74" i="4"/>
  <c r="AM231" i="4"/>
  <c r="AJ530" i="4"/>
  <c r="AF530" i="4"/>
  <c r="AJ735" i="4"/>
  <c r="AF735" i="4"/>
  <c r="AK735" i="4" s="1"/>
  <c r="AJ927" i="4"/>
  <c r="AF927" i="4"/>
  <c r="AK927" i="4" s="1"/>
  <c r="AJ896" i="4"/>
  <c r="AM896" i="4" s="1"/>
  <c r="AF896" i="4"/>
  <c r="AK896" i="4" s="1"/>
  <c r="AJ121" i="4"/>
  <c r="AF121" i="4"/>
  <c r="AK121" i="4" s="1"/>
  <c r="AM313" i="4"/>
  <c r="AM537" i="4"/>
  <c r="AJ850" i="4"/>
  <c r="AM850" i="4" s="1"/>
  <c r="AG850" i="4"/>
  <c r="AF850" i="4"/>
  <c r="AK850" i="4" s="1"/>
  <c r="AJ739" i="4"/>
  <c r="AF739" i="4"/>
  <c r="AK739" i="4" s="1"/>
  <c r="AJ604" i="4"/>
  <c r="AG604" i="4"/>
  <c r="AF604" i="4"/>
  <c r="AK604" i="4" s="1"/>
  <c r="AJ828" i="4"/>
  <c r="AM828" i="4" s="1"/>
  <c r="AG828" i="4"/>
  <c r="AF828" i="4"/>
  <c r="AK828" i="4" s="1"/>
  <c r="AJ290" i="4"/>
  <c r="AM290" i="4" s="1"/>
  <c r="AG290" i="4"/>
  <c r="AF290" i="4"/>
  <c r="AK290" i="4" s="1"/>
  <c r="AM9" i="4"/>
  <c r="AJ203" i="4"/>
  <c r="AF203" i="4"/>
  <c r="AK203" i="4" s="1"/>
  <c r="AM300" i="4"/>
  <c r="AJ428" i="4"/>
  <c r="AF428" i="4"/>
  <c r="AK428" i="4" s="1"/>
  <c r="AJ30" i="4"/>
  <c r="AF30" i="4"/>
  <c r="AK30" i="4" s="1"/>
  <c r="AM286" i="4"/>
  <c r="AJ13" i="4"/>
  <c r="AM13" i="4" s="1"/>
  <c r="AG13" i="4"/>
  <c r="AF13" i="4"/>
  <c r="AK13" i="4" s="1"/>
  <c r="AJ406" i="4"/>
  <c r="AF406" i="4"/>
  <c r="AK406" i="4" s="1"/>
  <c r="AM351" i="4"/>
  <c r="AJ135" i="4"/>
  <c r="AM135" i="4" s="1"/>
  <c r="AG135" i="4"/>
  <c r="AF135" i="4"/>
  <c r="AK135" i="4" s="1"/>
  <c r="AJ219" i="4"/>
  <c r="AF219" i="4"/>
  <c r="AK219" i="4" s="1"/>
  <c r="AG219" i="4"/>
  <c r="AJ34" i="4"/>
  <c r="AM34" i="4" s="1"/>
  <c r="AF34" i="4"/>
  <c r="AK34" i="4" s="1"/>
  <c r="AG34" i="4"/>
  <c r="AJ58" i="4"/>
  <c r="AM58" i="4" s="1"/>
  <c r="AF58" i="4"/>
  <c r="AK58" i="4" s="1"/>
  <c r="AG138" i="4"/>
  <c r="AJ162" i="4"/>
  <c r="AG162" i="4"/>
  <c r="AF162" i="4"/>
  <c r="AK162" i="4" s="1"/>
  <c r="AJ186" i="4"/>
  <c r="AM186" i="4" s="1"/>
  <c r="AG186" i="4"/>
  <c r="AF186" i="4"/>
  <c r="AK186" i="4" s="1"/>
  <c r="AJ386" i="4"/>
  <c r="AF386" i="4"/>
  <c r="AK386" i="4" s="1"/>
  <c r="AG386" i="4"/>
  <c r="AM24" i="4"/>
  <c r="AJ11" i="4"/>
  <c r="AF11" i="4"/>
  <c r="AK11" i="4" s="1"/>
  <c r="AM11" i="4" s="1"/>
  <c r="AJ43" i="4"/>
  <c r="AM43" i="4" s="1"/>
  <c r="AF43" i="4"/>
  <c r="AK43" i="4" s="1"/>
  <c r="AG43" i="4"/>
  <c r="AJ75" i="4"/>
  <c r="AF75" i="4"/>
  <c r="AK75" i="4" s="1"/>
  <c r="AJ107" i="4"/>
  <c r="AM107" i="4" s="1"/>
  <c r="AF107" i="4"/>
  <c r="AK107" i="4" s="1"/>
  <c r="AJ139" i="4"/>
  <c r="AF139" i="4"/>
  <c r="AJ171" i="4"/>
  <c r="AM171" i="4" s="1"/>
  <c r="AF171" i="4"/>
  <c r="AK171" i="4" s="1"/>
  <c r="AG171" i="4"/>
  <c r="AM431" i="4"/>
  <c r="AJ44" i="4"/>
  <c r="AF44" i="4"/>
  <c r="AJ172" i="4"/>
  <c r="AG172" i="4"/>
  <c r="AF172" i="4"/>
  <c r="AK172" i="4" s="1"/>
  <c r="AG220" i="4"/>
  <c r="AJ396" i="4"/>
  <c r="AF396" i="4"/>
  <c r="AK396" i="4" s="1"/>
  <c r="AM428" i="4"/>
  <c r="AG500" i="4"/>
  <c r="AG642" i="4"/>
  <c r="AM410" i="4"/>
  <c r="AM634" i="4"/>
  <c r="AJ126" i="4"/>
  <c r="AF126" i="4"/>
  <c r="AK126" i="4" s="1"/>
  <c r="AM158" i="4"/>
  <c r="AG294" i="4"/>
  <c r="AG326" i="4"/>
  <c r="AG366" i="4"/>
  <c r="AJ84" i="4"/>
  <c r="AF84" i="4"/>
  <c r="AK84" i="4" s="1"/>
  <c r="AJ626" i="4"/>
  <c r="AG626" i="4"/>
  <c r="AF626" i="4"/>
  <c r="AK626" i="4" s="1"/>
  <c r="AG15" i="4"/>
  <c r="AJ39" i="4"/>
  <c r="AM39" i="4" s="1"/>
  <c r="AF39" i="4"/>
  <c r="AK39" i="4" s="1"/>
  <c r="AG63" i="4"/>
  <c r="AG87" i="4"/>
  <c r="AG143" i="4"/>
  <c r="AJ167" i="4"/>
  <c r="AF167" i="4"/>
  <c r="AG191" i="4"/>
  <c r="AG263" i="4"/>
  <c r="AJ263" i="4"/>
  <c r="AF263" i="4"/>
  <c r="AK263" i="4" s="1"/>
  <c r="AG343" i="4"/>
  <c r="AG367" i="4"/>
  <c r="AG463" i="4"/>
  <c r="AJ288" i="4"/>
  <c r="AF288" i="4"/>
  <c r="AK288" i="4" s="1"/>
  <c r="AM47" i="4"/>
  <c r="AM180" i="4"/>
  <c r="AM303" i="4"/>
  <c r="AM532" i="4"/>
  <c r="AM596" i="4"/>
  <c r="AJ48" i="4"/>
  <c r="AF48" i="4"/>
  <c r="AJ144" i="4"/>
  <c r="AF144" i="4"/>
  <c r="AK144" i="4" s="1"/>
  <c r="AG184" i="4"/>
  <c r="AG232" i="4"/>
  <c r="AG264" i="4"/>
  <c r="AJ304" i="4"/>
  <c r="AF304" i="4"/>
  <c r="AK304" i="4" s="1"/>
  <c r="AM304" i="4" s="1"/>
  <c r="AJ160" i="4"/>
  <c r="AF160" i="4"/>
  <c r="AK160" i="4" s="1"/>
  <c r="AJ508" i="4"/>
  <c r="AF508" i="4"/>
  <c r="AK508" i="4" s="1"/>
  <c r="AM152" i="4"/>
  <c r="AM426" i="4"/>
  <c r="AG9" i="4"/>
  <c r="AJ527" i="4"/>
  <c r="AM527" i="4" s="1"/>
  <c r="AF527" i="4"/>
  <c r="AK527" i="4" s="1"/>
  <c r="AJ559" i="4"/>
  <c r="AM559" i="4" s="1"/>
  <c r="AF559" i="4"/>
  <c r="AK559" i="4" s="1"/>
  <c r="AJ591" i="4"/>
  <c r="AF591" i="4"/>
  <c r="AK591" i="4" s="1"/>
  <c r="AJ623" i="4"/>
  <c r="AM623" i="4" s="1"/>
  <c r="AF623" i="4"/>
  <c r="AK623" i="4" s="1"/>
  <c r="AJ655" i="4"/>
  <c r="AF655" i="4"/>
  <c r="AK655" i="4" s="1"/>
  <c r="AJ687" i="4"/>
  <c r="AM687" i="4" s="1"/>
  <c r="AF687" i="4"/>
  <c r="AK687" i="4" s="1"/>
  <c r="AJ719" i="4"/>
  <c r="AM719" i="4" s="1"/>
  <c r="AF719" i="4"/>
  <c r="AK719" i="4" s="1"/>
  <c r="AJ751" i="4"/>
  <c r="AM751" i="4" s="1"/>
  <c r="AF751" i="4"/>
  <c r="AK751" i="4" s="1"/>
  <c r="AJ783" i="4"/>
  <c r="AM783" i="4" s="1"/>
  <c r="AF783" i="4"/>
  <c r="AK783" i="4" s="1"/>
  <c r="AJ815" i="4"/>
  <c r="AM815" i="4" s="1"/>
  <c r="AG815" i="4"/>
  <c r="AF815" i="4"/>
  <c r="AK815" i="4" s="1"/>
  <c r="AJ847" i="4"/>
  <c r="AM847" i="4" s="1"/>
  <c r="AF847" i="4"/>
  <c r="AK847" i="4" s="1"/>
  <c r="AJ879" i="4"/>
  <c r="AF879" i="4"/>
  <c r="AK879" i="4" s="1"/>
  <c r="AJ911" i="4"/>
  <c r="AM911" i="4" s="1"/>
  <c r="AF911" i="4"/>
  <c r="AK911" i="4" s="1"/>
  <c r="AG96" i="4"/>
  <c r="AG256" i="4"/>
  <c r="AJ368" i="4"/>
  <c r="AG368" i="4"/>
  <c r="AF368" i="4"/>
  <c r="AK368" i="4" s="1"/>
  <c r="AJ400" i="4"/>
  <c r="AF400" i="4"/>
  <c r="AK400" i="4" s="1"/>
  <c r="AJ432" i="4"/>
  <c r="AG432" i="4"/>
  <c r="AF432" i="4"/>
  <c r="AK432" i="4" s="1"/>
  <c r="AJ464" i="4"/>
  <c r="AF464" i="4"/>
  <c r="AK464" i="4" s="1"/>
  <c r="AJ496" i="4"/>
  <c r="AF496" i="4"/>
  <c r="AJ528" i="4"/>
  <c r="AF528" i="4"/>
  <c r="AK528" i="4" s="1"/>
  <c r="AJ560" i="4"/>
  <c r="AF560" i="4"/>
  <c r="AK560" i="4" s="1"/>
  <c r="AJ592" i="4"/>
  <c r="AF592" i="4"/>
  <c r="AJ624" i="4"/>
  <c r="AM624" i="4" s="1"/>
  <c r="AG624" i="4"/>
  <c r="AF624" i="4"/>
  <c r="AK624" i="4" s="1"/>
  <c r="AJ656" i="4"/>
  <c r="AF656" i="4"/>
  <c r="AK656" i="4" s="1"/>
  <c r="AM656" i="4" s="1"/>
  <c r="AJ688" i="4"/>
  <c r="AF688" i="4"/>
  <c r="AJ720" i="4"/>
  <c r="AF720" i="4"/>
  <c r="AK720" i="4" s="1"/>
  <c r="AJ752" i="4"/>
  <c r="AF752" i="4"/>
  <c r="AK752" i="4" s="1"/>
  <c r="AJ784" i="4"/>
  <c r="AF784" i="4"/>
  <c r="AK784" i="4" s="1"/>
  <c r="AJ816" i="4"/>
  <c r="AM816" i="4" s="1"/>
  <c r="AF816" i="4"/>
  <c r="AK816" i="4" s="1"/>
  <c r="AJ848" i="4"/>
  <c r="AF848" i="4"/>
  <c r="AK848" i="4" s="1"/>
  <c r="AJ880" i="4"/>
  <c r="AF880" i="4"/>
  <c r="AJ912" i="4"/>
  <c r="AF912" i="4"/>
  <c r="AK912" i="4" s="1"/>
  <c r="AM912" i="4" s="1"/>
  <c r="AJ233" i="4"/>
  <c r="AG233" i="4"/>
  <c r="AF233" i="4"/>
  <c r="AK233" i="4" s="1"/>
  <c r="AJ265" i="4"/>
  <c r="AF265" i="4"/>
  <c r="AK265" i="4" s="1"/>
  <c r="AM265" i="4" s="1"/>
  <c r="AJ361" i="4"/>
  <c r="AG361" i="4"/>
  <c r="AF361" i="4"/>
  <c r="AK361" i="4" s="1"/>
  <c r="AM361" i="4" s="1"/>
  <c r="AJ457" i="4"/>
  <c r="AG457" i="4"/>
  <c r="AF457" i="4"/>
  <c r="AK457" i="4" s="1"/>
  <c r="AJ553" i="4"/>
  <c r="AM553" i="4" s="1"/>
  <c r="AG553" i="4"/>
  <c r="AF553" i="4"/>
  <c r="AK553" i="4" s="1"/>
  <c r="AJ649" i="4"/>
  <c r="AF649" i="4"/>
  <c r="AK649" i="4" s="1"/>
  <c r="AJ681" i="4"/>
  <c r="AF681" i="4"/>
  <c r="AK681" i="4" s="1"/>
  <c r="AJ745" i="4"/>
  <c r="AF745" i="4"/>
  <c r="AK745" i="4" s="1"/>
  <c r="AM809" i="4"/>
  <c r="AJ905" i="4"/>
  <c r="AF905" i="4"/>
  <c r="AK905" i="4" s="1"/>
  <c r="AM275" i="4"/>
  <c r="AM339" i="4"/>
  <c r="AM371" i="4"/>
  <c r="AM435" i="4"/>
  <c r="AJ563" i="4"/>
  <c r="AM563" i="4" s="1"/>
  <c r="AG563" i="4"/>
  <c r="AF563" i="4"/>
  <c r="AK563" i="4" s="1"/>
  <c r="AJ595" i="4"/>
  <c r="AF595" i="4"/>
  <c r="AK595" i="4" s="1"/>
  <c r="AJ659" i="4"/>
  <c r="AG659" i="4"/>
  <c r="AF659" i="4"/>
  <c r="AK659" i="4" s="1"/>
  <c r="AJ691" i="4"/>
  <c r="AF691" i="4"/>
  <c r="AK691" i="4" s="1"/>
  <c r="AJ723" i="4"/>
  <c r="AF723" i="4"/>
  <c r="AJ755" i="4"/>
  <c r="AF755" i="4"/>
  <c r="AK755" i="4" s="1"/>
  <c r="AJ787" i="4"/>
  <c r="AM787" i="4" s="1"/>
  <c r="AF787" i="4"/>
  <c r="AK787" i="4" s="1"/>
  <c r="AJ851" i="4"/>
  <c r="AF851" i="4"/>
  <c r="AK851" i="4" s="1"/>
  <c r="AJ883" i="4"/>
  <c r="AM883" i="4" s="1"/>
  <c r="AF883" i="4"/>
  <c r="AK883" i="4" s="1"/>
  <c r="AG883" i="4"/>
  <c r="AJ915" i="4"/>
  <c r="AF915" i="4"/>
  <c r="AK915" i="4" s="1"/>
  <c r="AJ620" i="4"/>
  <c r="AF620" i="4"/>
  <c r="AJ652" i="4"/>
  <c r="AM652" i="4" s="1"/>
  <c r="AG652" i="4"/>
  <c r="AF652" i="4"/>
  <c r="AK652" i="4" s="1"/>
  <c r="AJ684" i="4"/>
  <c r="AM684" i="4" s="1"/>
  <c r="AF684" i="4"/>
  <c r="AK684" i="4" s="1"/>
  <c r="AJ716" i="4"/>
  <c r="AF716" i="4"/>
  <c r="AJ748" i="4"/>
  <c r="AF748" i="4"/>
  <c r="AK748" i="4" s="1"/>
  <c r="AJ780" i="4"/>
  <c r="AG780" i="4"/>
  <c r="AF780" i="4"/>
  <c r="AK780" i="4" s="1"/>
  <c r="AJ812" i="4"/>
  <c r="AM812" i="4" s="1"/>
  <c r="AF812" i="4"/>
  <c r="AK812" i="4" s="1"/>
  <c r="AJ844" i="4"/>
  <c r="AM844" i="4" s="1"/>
  <c r="AF844" i="4"/>
  <c r="AK844" i="4" s="1"/>
  <c r="AJ876" i="4"/>
  <c r="AG876" i="4"/>
  <c r="AF876" i="4"/>
  <c r="AK876" i="4" s="1"/>
  <c r="AJ908" i="4"/>
  <c r="AF908" i="4"/>
  <c r="AJ21" i="4"/>
  <c r="AF21" i="4"/>
  <c r="AK21" i="4" s="1"/>
  <c r="AJ85" i="4"/>
  <c r="AF85" i="4"/>
  <c r="AK85" i="4" s="1"/>
  <c r="AJ149" i="4"/>
  <c r="AF149" i="4"/>
  <c r="AK149" i="4" s="1"/>
  <c r="AM149" i="4" s="1"/>
  <c r="AJ213" i="4"/>
  <c r="AF213" i="4"/>
  <c r="AK213" i="4" s="1"/>
  <c r="AJ245" i="4"/>
  <c r="AG245" i="4"/>
  <c r="AF245" i="4"/>
  <c r="AK245" i="4" s="1"/>
  <c r="AJ277" i="4"/>
  <c r="AF277" i="4"/>
  <c r="AJ309" i="4"/>
  <c r="AG309" i="4"/>
  <c r="AF309" i="4"/>
  <c r="AK309" i="4" s="1"/>
  <c r="AJ341" i="4"/>
  <c r="AF341" i="4"/>
  <c r="AK341" i="4" s="1"/>
  <c r="AM341" i="4" s="1"/>
  <c r="AJ373" i="4"/>
  <c r="AF373" i="4"/>
  <c r="AJ405" i="4"/>
  <c r="AF405" i="4"/>
  <c r="AK405" i="4" s="1"/>
  <c r="AJ437" i="4"/>
  <c r="AF437" i="4"/>
  <c r="AK437" i="4" s="1"/>
  <c r="AM437" i="4" s="1"/>
  <c r="AJ469" i="4"/>
  <c r="AF469" i="4"/>
  <c r="AK469" i="4" s="1"/>
  <c r="AM629" i="4"/>
  <c r="AG102" i="4"/>
  <c r="AG342" i="4"/>
  <c r="AG398" i="4"/>
  <c r="AJ510" i="4"/>
  <c r="AF510" i="4"/>
  <c r="AJ542" i="4"/>
  <c r="AM542" i="4" s="1"/>
  <c r="AF542" i="4"/>
  <c r="AK542" i="4" s="1"/>
  <c r="AJ574" i="4"/>
  <c r="AF574" i="4"/>
  <c r="AK574" i="4" s="1"/>
  <c r="AM574" i="4" s="1"/>
  <c r="AJ606" i="4"/>
  <c r="AM606" i="4" s="1"/>
  <c r="AF606" i="4"/>
  <c r="AK606" i="4" s="1"/>
  <c r="AJ638" i="4"/>
  <c r="AM638" i="4" s="1"/>
  <c r="AF638" i="4"/>
  <c r="AK638" i="4" s="1"/>
  <c r="AJ670" i="4"/>
  <c r="AM670" i="4" s="1"/>
  <c r="AF670" i="4"/>
  <c r="AK670" i="4" s="1"/>
  <c r="AJ702" i="4"/>
  <c r="AM702" i="4" s="1"/>
  <c r="AF702" i="4"/>
  <c r="AK702" i="4" s="1"/>
  <c r="AJ734" i="4"/>
  <c r="AF734" i="4"/>
  <c r="AK734" i="4" s="1"/>
  <c r="AJ766" i="4"/>
  <c r="AF766" i="4"/>
  <c r="AK766" i="4" s="1"/>
  <c r="AJ798" i="4"/>
  <c r="AM798" i="4" s="1"/>
  <c r="AF798" i="4"/>
  <c r="AK798" i="4" s="1"/>
  <c r="AG798" i="4"/>
  <c r="AJ862" i="4"/>
  <c r="AF862" i="4"/>
  <c r="AK862" i="4" s="1"/>
  <c r="AM894" i="4"/>
  <c r="AJ926" i="4"/>
  <c r="AF926" i="4"/>
  <c r="AK926" i="4" s="1"/>
  <c r="AJ91" i="4"/>
  <c r="AF91" i="4"/>
  <c r="AK91" i="4" s="1"/>
  <c r="AG91" i="4"/>
  <c r="AJ187" i="4"/>
  <c r="AF187" i="4"/>
  <c r="AK187" i="4" s="1"/>
  <c r="AJ62" i="4"/>
  <c r="AM62" i="4" s="1"/>
  <c r="AF62" i="4"/>
  <c r="AK62" i="4" s="1"/>
  <c r="AJ423" i="4"/>
  <c r="AF423" i="4"/>
  <c r="AK423" i="4" s="1"/>
  <c r="AM80" i="4"/>
  <c r="AJ240" i="4"/>
  <c r="AF240" i="4"/>
  <c r="AJ338" i="4"/>
  <c r="AF338" i="4"/>
  <c r="AK338" i="4" s="1"/>
  <c r="AJ639" i="4"/>
  <c r="AF639" i="4"/>
  <c r="AK639" i="4" s="1"/>
  <c r="AJ89" i="4"/>
  <c r="AF89" i="4"/>
  <c r="AK89" i="4" s="1"/>
  <c r="AG89" i="4"/>
  <c r="AM569" i="4"/>
  <c r="AJ707" i="4"/>
  <c r="AF707" i="4"/>
  <c r="AK707" i="4" s="1"/>
  <c r="AJ732" i="4"/>
  <c r="AF732" i="4"/>
  <c r="AM69" i="4"/>
  <c r="AJ261" i="4"/>
  <c r="AM261" i="4" s="1"/>
  <c r="AF261" i="4"/>
  <c r="AK261" i="4" s="1"/>
  <c r="AM386" i="4"/>
  <c r="AM224" i="4"/>
  <c r="AM198" i="4"/>
  <c r="AJ211" i="4"/>
  <c r="AM211" i="4" s="1"/>
  <c r="AF211" i="4"/>
  <c r="AK211" i="4" s="1"/>
  <c r="AG211" i="4"/>
  <c r="AM346" i="4"/>
  <c r="AJ204" i="4"/>
  <c r="AF204" i="4"/>
  <c r="AK204" i="4" s="1"/>
  <c r="AJ236" i="4"/>
  <c r="AM236" i="4" s="1"/>
  <c r="AF236" i="4"/>
  <c r="AK236" i="4" s="1"/>
  <c r="AM396" i="4"/>
  <c r="AM87" i="4"/>
  <c r="AM311" i="4"/>
  <c r="AM570" i="4"/>
  <c r="AM642" i="4"/>
  <c r="AJ86" i="4"/>
  <c r="AF86" i="4"/>
  <c r="AJ222" i="4"/>
  <c r="AF222" i="4"/>
  <c r="AK222" i="4" s="1"/>
  <c r="AJ254" i="4"/>
  <c r="AF254" i="4"/>
  <c r="AK254" i="4" s="1"/>
  <c r="AJ116" i="4"/>
  <c r="AG116" i="4"/>
  <c r="AF116" i="4"/>
  <c r="AK116" i="4" s="1"/>
  <c r="AM17" i="4"/>
  <c r="AM164" i="4"/>
  <c r="AM399" i="4"/>
  <c r="AJ391" i="4"/>
  <c r="AM391" i="4" s="1"/>
  <c r="AF391" i="4"/>
  <c r="AK391" i="4" s="1"/>
  <c r="AJ310" i="4"/>
  <c r="AF310" i="4"/>
  <c r="AK310" i="4" s="1"/>
  <c r="AM63" i="4"/>
  <c r="AM540" i="4"/>
  <c r="AJ104" i="4"/>
  <c r="AF104" i="4"/>
  <c r="AK104" i="4" s="1"/>
  <c r="AJ192" i="4"/>
  <c r="AF192" i="4"/>
  <c r="AK192" i="4" s="1"/>
  <c r="AM280" i="4"/>
  <c r="AM439" i="4"/>
  <c r="AG56" i="4"/>
  <c r="AJ408" i="4"/>
  <c r="AF408" i="4"/>
  <c r="AJ600" i="4"/>
  <c r="AF600" i="4"/>
  <c r="AK600" i="4" s="1"/>
  <c r="AJ728" i="4"/>
  <c r="AF728" i="4"/>
  <c r="AK728" i="4" s="1"/>
  <c r="AJ792" i="4"/>
  <c r="AF792" i="4"/>
  <c r="AK792" i="4" s="1"/>
  <c r="AJ888" i="4"/>
  <c r="AF888" i="4"/>
  <c r="AK888" i="4" s="1"/>
  <c r="AJ920" i="4"/>
  <c r="AF920" i="4"/>
  <c r="AK920" i="4" s="1"/>
  <c r="AJ41" i="4"/>
  <c r="AM41" i="4" s="1"/>
  <c r="AF41" i="4"/>
  <c r="AK41" i="4" s="1"/>
  <c r="AJ73" i="4"/>
  <c r="AM73" i="4" s="1"/>
  <c r="AF73" i="4"/>
  <c r="AK73" i="4" s="1"/>
  <c r="AJ105" i="4"/>
  <c r="AM105" i="4" s="1"/>
  <c r="AF105" i="4"/>
  <c r="AK105" i="4" s="1"/>
  <c r="AJ137" i="4"/>
  <c r="AM137" i="4" s="1"/>
  <c r="AF137" i="4"/>
  <c r="AK137" i="4" s="1"/>
  <c r="AJ169" i="4"/>
  <c r="AF169" i="4"/>
  <c r="AK169" i="4" s="1"/>
  <c r="AJ201" i="4"/>
  <c r="AM201" i="4" s="1"/>
  <c r="AF201" i="4"/>
  <c r="AK201" i="4" s="1"/>
  <c r="AJ297" i="4"/>
  <c r="AF297" i="4"/>
  <c r="AK297" i="4" s="1"/>
  <c r="AJ329" i="4"/>
  <c r="AF329" i="4"/>
  <c r="AK329" i="4" s="1"/>
  <c r="AJ393" i="4"/>
  <c r="AF393" i="4"/>
  <c r="AJ425" i="4"/>
  <c r="AG425" i="4"/>
  <c r="AF425" i="4"/>
  <c r="AK425" i="4" s="1"/>
  <c r="AM457" i="4"/>
  <c r="AJ489" i="4"/>
  <c r="AM489" i="4" s="1"/>
  <c r="AF489" i="4"/>
  <c r="AK489" i="4" s="1"/>
  <c r="AJ521" i="4"/>
  <c r="AM521" i="4" s="1"/>
  <c r="AG521" i="4"/>
  <c r="AF521" i="4"/>
  <c r="AK521" i="4" s="1"/>
  <c r="AJ585" i="4"/>
  <c r="AM585" i="4" s="1"/>
  <c r="AF585" i="4"/>
  <c r="AK585" i="4" s="1"/>
  <c r="AJ617" i="4"/>
  <c r="AF617" i="4"/>
  <c r="AK617" i="4" s="1"/>
  <c r="AM649" i="4"/>
  <c r="AJ713" i="4"/>
  <c r="AM713" i="4" s="1"/>
  <c r="AF713" i="4"/>
  <c r="AK713" i="4" s="1"/>
  <c r="AG713" i="4"/>
  <c r="AM745" i="4"/>
  <c r="AJ777" i="4"/>
  <c r="AF777" i="4"/>
  <c r="AK777" i="4" s="1"/>
  <c r="AJ809" i="4"/>
  <c r="AF809" i="4"/>
  <c r="AK809" i="4" s="1"/>
  <c r="AJ841" i="4"/>
  <c r="AM841" i="4" s="1"/>
  <c r="AF841" i="4"/>
  <c r="AK841" i="4" s="1"/>
  <c r="AJ873" i="4"/>
  <c r="AM873" i="4" s="1"/>
  <c r="AF873" i="4"/>
  <c r="AK873" i="4" s="1"/>
  <c r="AM905" i="4"/>
  <c r="AJ674" i="4"/>
  <c r="AF674" i="4"/>
  <c r="AJ706" i="4"/>
  <c r="AF706" i="4"/>
  <c r="AK706" i="4" s="1"/>
  <c r="AJ738" i="4"/>
  <c r="AM738" i="4" s="1"/>
  <c r="AF738" i="4"/>
  <c r="AK738" i="4" s="1"/>
  <c r="AJ770" i="4"/>
  <c r="AM770" i="4" s="1"/>
  <c r="AF770" i="4"/>
  <c r="AK770" i="4" s="1"/>
  <c r="AJ802" i="4"/>
  <c r="AM802" i="4" s="1"/>
  <c r="AF802" i="4"/>
  <c r="AK802" i="4" s="1"/>
  <c r="AJ834" i="4"/>
  <c r="AF834" i="4"/>
  <c r="AK834" i="4" s="1"/>
  <c r="AG834" i="4"/>
  <c r="AJ866" i="4"/>
  <c r="AF866" i="4"/>
  <c r="AJ898" i="4"/>
  <c r="AF898" i="4"/>
  <c r="AK898" i="4" s="1"/>
  <c r="AJ930" i="4"/>
  <c r="AF930" i="4"/>
  <c r="AK930" i="4" s="1"/>
  <c r="AJ251" i="4"/>
  <c r="AF251" i="4"/>
  <c r="AK251" i="4" s="1"/>
  <c r="AG251" i="4"/>
  <c r="AJ283" i="4"/>
  <c r="AF283" i="4"/>
  <c r="AK283" i="4" s="1"/>
  <c r="AJ315" i="4"/>
  <c r="AF315" i="4"/>
  <c r="AK315" i="4" s="1"/>
  <c r="AG315" i="4"/>
  <c r="AJ347" i="4"/>
  <c r="AF347" i="4"/>
  <c r="AJ379" i="4"/>
  <c r="AF379" i="4"/>
  <c r="AK379" i="4" s="1"/>
  <c r="AJ411" i="4"/>
  <c r="AF411" i="4"/>
  <c r="AK411" i="4" s="1"/>
  <c r="AJ443" i="4"/>
  <c r="AF443" i="4"/>
  <c r="AK443" i="4" s="1"/>
  <c r="AJ475" i="4"/>
  <c r="AM475" i="4" s="1"/>
  <c r="AF475" i="4"/>
  <c r="AK475" i="4" s="1"/>
  <c r="AJ507" i="4"/>
  <c r="AF507" i="4"/>
  <c r="AK507" i="4" s="1"/>
  <c r="AJ603" i="4"/>
  <c r="AF603" i="4"/>
  <c r="AK603" i="4" s="1"/>
  <c r="AJ923" i="4"/>
  <c r="AF923" i="4"/>
  <c r="AK923" i="4" s="1"/>
  <c r="AJ53" i="4"/>
  <c r="AM53" i="4" s="1"/>
  <c r="AF53" i="4"/>
  <c r="AK53" i="4" s="1"/>
  <c r="AM85" i="4"/>
  <c r="AJ117" i="4"/>
  <c r="AM117" i="4" s="1"/>
  <c r="AG117" i="4"/>
  <c r="AF117" i="4"/>
  <c r="AK117" i="4" s="1"/>
  <c r="AJ181" i="4"/>
  <c r="AF181" i="4"/>
  <c r="AK181" i="4" s="1"/>
  <c r="AM181" i="4" s="1"/>
  <c r="AM213" i="4"/>
  <c r="AM245" i="4"/>
  <c r="AM309" i="4"/>
  <c r="AM405" i="4"/>
  <c r="AM469" i="4"/>
  <c r="AJ501" i="4"/>
  <c r="AM501" i="4" s="1"/>
  <c r="AG501" i="4"/>
  <c r="AF501" i="4"/>
  <c r="AK501" i="4" s="1"/>
  <c r="AJ533" i="4"/>
  <c r="AM533" i="4" s="1"/>
  <c r="AF533" i="4"/>
  <c r="AK533" i="4" s="1"/>
  <c r="AJ565" i="4"/>
  <c r="AM565" i="4" s="1"/>
  <c r="AF565" i="4"/>
  <c r="AK565" i="4" s="1"/>
  <c r="AJ597" i="4"/>
  <c r="AM597" i="4" s="1"/>
  <c r="AF597" i="4"/>
  <c r="AK597" i="4" s="1"/>
  <c r="AJ629" i="4"/>
  <c r="AF629" i="4"/>
  <c r="AK629" i="4" s="1"/>
  <c r="AJ661" i="4"/>
  <c r="AM661" i="4" s="1"/>
  <c r="AF661" i="4"/>
  <c r="AK661" i="4" s="1"/>
  <c r="AJ693" i="4"/>
  <c r="AM693" i="4" s="1"/>
  <c r="AG693" i="4"/>
  <c r="AF693" i="4"/>
  <c r="AK693" i="4" s="1"/>
  <c r="AJ725" i="4"/>
  <c r="AM725" i="4" s="1"/>
  <c r="AF725" i="4"/>
  <c r="AK725" i="4" s="1"/>
  <c r="AJ757" i="4"/>
  <c r="AM757" i="4" s="1"/>
  <c r="AG757" i="4"/>
  <c r="AF757" i="4"/>
  <c r="AK757" i="4" s="1"/>
  <c r="AJ789" i="4"/>
  <c r="AM789" i="4" s="1"/>
  <c r="AG789" i="4"/>
  <c r="AF789" i="4"/>
  <c r="AK789" i="4" s="1"/>
  <c r="AJ821" i="4"/>
  <c r="AM821" i="4" s="1"/>
  <c r="AF821" i="4"/>
  <c r="AK821" i="4" s="1"/>
  <c r="AJ853" i="4"/>
  <c r="AM853" i="4" s="1"/>
  <c r="AF853" i="4"/>
  <c r="AK853" i="4" s="1"/>
  <c r="AJ885" i="4"/>
  <c r="AM885" i="4" s="1"/>
  <c r="AF885" i="4"/>
  <c r="AK885" i="4" s="1"/>
  <c r="AJ917" i="4"/>
  <c r="AM917" i="4" s="1"/>
  <c r="AF917" i="4"/>
  <c r="AK917" i="4" s="1"/>
  <c r="AJ59" i="4"/>
  <c r="AF59" i="4"/>
  <c r="AK59" i="4" s="1"/>
  <c r="AJ110" i="4"/>
  <c r="AF110" i="4"/>
  <c r="AK110" i="4" s="1"/>
  <c r="AJ543" i="4"/>
  <c r="AF543" i="4"/>
  <c r="AK543" i="4" s="1"/>
  <c r="AJ671" i="4"/>
  <c r="AF671" i="4"/>
  <c r="AK671" i="4" s="1"/>
  <c r="AJ831" i="4"/>
  <c r="AF831" i="4"/>
  <c r="AK831" i="4" s="1"/>
  <c r="AJ416" i="4"/>
  <c r="AF416" i="4"/>
  <c r="AK416" i="4" s="1"/>
  <c r="AM441" i="4"/>
  <c r="AM633" i="4"/>
  <c r="AM921" i="4"/>
  <c r="AJ754" i="4"/>
  <c r="AF754" i="4"/>
  <c r="AK754" i="4" s="1"/>
  <c r="AJ643" i="4"/>
  <c r="AF643" i="4"/>
  <c r="AK643" i="4" s="1"/>
  <c r="AJ771" i="4"/>
  <c r="AF771" i="4"/>
  <c r="AJ899" i="4"/>
  <c r="AF899" i="4"/>
  <c r="AK899" i="4" s="1"/>
  <c r="AG899" i="4"/>
  <c r="AJ668" i="4"/>
  <c r="AF668" i="4"/>
  <c r="AK668" i="4" s="1"/>
  <c r="AJ892" i="4"/>
  <c r="AF892" i="4"/>
  <c r="AK892" i="4" s="1"/>
  <c r="AM165" i="4"/>
  <c r="AM357" i="4"/>
  <c r="AM421" i="4"/>
  <c r="AJ453" i="4"/>
  <c r="AF453" i="4"/>
  <c r="AK453" i="4" s="1"/>
  <c r="AG453" i="4"/>
  <c r="AJ750" i="4"/>
  <c r="AF750" i="4"/>
  <c r="AK750" i="4" s="1"/>
  <c r="AJ140" i="4"/>
  <c r="AF140" i="4"/>
  <c r="AK140" i="4" s="1"/>
  <c r="AM330" i="4"/>
  <c r="AG18" i="4"/>
  <c r="AG42" i="4"/>
  <c r="AJ66" i="4"/>
  <c r="AM66" i="4" s="1"/>
  <c r="AF66" i="4"/>
  <c r="AK66" i="4" s="1"/>
  <c r="AG170" i="4"/>
  <c r="AJ194" i="4"/>
  <c r="AM194" i="4" s="1"/>
  <c r="AF194" i="4"/>
  <c r="AK194" i="4" s="1"/>
  <c r="AJ226" i="4"/>
  <c r="AF226" i="4"/>
  <c r="AK226" i="4" s="1"/>
  <c r="AG226" i="4"/>
  <c r="AG394" i="4"/>
  <c r="AM82" i="4"/>
  <c r="AM442" i="4"/>
  <c r="AJ19" i="4"/>
  <c r="AF19" i="4"/>
  <c r="AK19" i="4" s="1"/>
  <c r="AJ51" i="4"/>
  <c r="AF51" i="4"/>
  <c r="AK51" i="4" s="1"/>
  <c r="AG51" i="4"/>
  <c r="AJ83" i="4"/>
  <c r="AF83" i="4"/>
  <c r="AK83" i="4" s="1"/>
  <c r="AM83" i="4" s="1"/>
  <c r="AG83" i="4"/>
  <c r="AJ115" i="4"/>
  <c r="AF115" i="4"/>
  <c r="AK115" i="4" s="1"/>
  <c r="AJ147" i="4"/>
  <c r="AF147" i="4"/>
  <c r="AK147" i="4" s="1"/>
  <c r="AJ179" i="4"/>
  <c r="AF179" i="4"/>
  <c r="AK179" i="4" s="1"/>
  <c r="AM114" i="4"/>
  <c r="AJ68" i="4"/>
  <c r="AM68" i="4" s="1"/>
  <c r="AG68" i="4"/>
  <c r="AF68" i="4"/>
  <c r="AK68" i="4" s="1"/>
  <c r="AG156" i="4"/>
  <c r="AM204" i="4"/>
  <c r="AG436" i="4"/>
  <c r="AG476" i="4"/>
  <c r="AG588" i="4"/>
  <c r="AJ38" i="4"/>
  <c r="AM38" i="4" s="1"/>
  <c r="AF38" i="4"/>
  <c r="AK38" i="4" s="1"/>
  <c r="AG38" i="4"/>
  <c r="AM174" i="4"/>
  <c r="AM118" i="4"/>
  <c r="AM578" i="4"/>
  <c r="AG142" i="4"/>
  <c r="AM254" i="4"/>
  <c r="AJ382" i="4"/>
  <c r="AF382" i="4"/>
  <c r="AK382" i="4" s="1"/>
  <c r="AG422" i="4"/>
  <c r="AJ210" i="4"/>
  <c r="AF210" i="4"/>
  <c r="AK210" i="4" s="1"/>
  <c r="AM178" i="4"/>
  <c r="AM412" i="4"/>
  <c r="AG47" i="4"/>
  <c r="AG175" i="4"/>
  <c r="AG223" i="4"/>
  <c r="AG247" i="4"/>
  <c r="AJ295" i="4"/>
  <c r="AF295" i="4"/>
  <c r="AK295" i="4" s="1"/>
  <c r="AJ334" i="4"/>
  <c r="AM334" i="4" s="1"/>
  <c r="AG334" i="4"/>
  <c r="AF334" i="4"/>
  <c r="AK334" i="4" s="1"/>
  <c r="AM78" i="4"/>
  <c r="AM218" i="4"/>
  <c r="AM328" i="4"/>
  <c r="AM548" i="4"/>
  <c r="AJ16" i="4"/>
  <c r="AM16" i="4" s="1"/>
  <c r="AF16" i="4"/>
  <c r="AK16" i="4" s="1"/>
  <c r="AJ112" i="4"/>
  <c r="AF112" i="4"/>
  <c r="AK112" i="4" s="1"/>
  <c r="AG112" i="4"/>
  <c r="AJ216" i="4"/>
  <c r="AF216" i="4"/>
  <c r="AK216" i="4" s="1"/>
  <c r="AM182" i="4"/>
  <c r="AM452" i="4"/>
  <c r="AG17" i="4"/>
  <c r="AJ535" i="4"/>
  <c r="AM535" i="4" s="1"/>
  <c r="AF535" i="4"/>
  <c r="AK535" i="4" s="1"/>
  <c r="AJ567" i="4"/>
  <c r="AF567" i="4"/>
  <c r="AK567" i="4" s="1"/>
  <c r="AJ599" i="4"/>
  <c r="AF599" i="4"/>
  <c r="AK599" i="4" s="1"/>
  <c r="AJ631" i="4"/>
  <c r="AF631" i="4"/>
  <c r="AK631" i="4" s="1"/>
  <c r="AM631" i="4" s="1"/>
  <c r="AJ663" i="4"/>
  <c r="AF663" i="4"/>
  <c r="AK663" i="4" s="1"/>
  <c r="AJ695" i="4"/>
  <c r="AF695" i="4"/>
  <c r="AJ727" i="4"/>
  <c r="AG727" i="4"/>
  <c r="AF727" i="4"/>
  <c r="AK727" i="4" s="1"/>
  <c r="AJ759" i="4"/>
  <c r="AF759" i="4"/>
  <c r="AK759" i="4" s="1"/>
  <c r="AJ791" i="4"/>
  <c r="AF791" i="4"/>
  <c r="AK791" i="4" s="1"/>
  <c r="AJ823" i="4"/>
  <c r="AM823" i="4" s="1"/>
  <c r="AG823" i="4"/>
  <c r="AF823" i="4"/>
  <c r="AK823" i="4" s="1"/>
  <c r="AJ855" i="4"/>
  <c r="AM855" i="4" s="1"/>
  <c r="AF855" i="4"/>
  <c r="AK855" i="4" s="1"/>
  <c r="AJ887" i="4"/>
  <c r="AF887" i="4"/>
  <c r="AK887" i="4" s="1"/>
  <c r="AM887" i="4" s="1"/>
  <c r="AJ919" i="4"/>
  <c r="AM919" i="4" s="1"/>
  <c r="AF919" i="4"/>
  <c r="AK919" i="4" s="1"/>
  <c r="AJ376" i="4"/>
  <c r="AF376" i="4"/>
  <c r="AK376" i="4" s="1"/>
  <c r="AJ440" i="4"/>
  <c r="AM440" i="4" s="1"/>
  <c r="AG440" i="4"/>
  <c r="AF440" i="4"/>
  <c r="AK440" i="4" s="1"/>
  <c r="AJ472" i="4"/>
  <c r="AM472" i="4" s="1"/>
  <c r="AF472" i="4"/>
  <c r="AK472" i="4" s="1"/>
  <c r="AG472" i="4"/>
  <c r="AJ504" i="4"/>
  <c r="AF504" i="4"/>
  <c r="AK504" i="4" s="1"/>
  <c r="AJ536" i="4"/>
  <c r="AM536" i="4" s="1"/>
  <c r="AG536" i="4"/>
  <c r="AF536" i="4"/>
  <c r="AK536" i="4" s="1"/>
  <c r="AJ568" i="4"/>
  <c r="AM568" i="4" s="1"/>
  <c r="AF568" i="4"/>
  <c r="AK568" i="4" s="1"/>
  <c r="AM600" i="4"/>
  <c r="AJ632" i="4"/>
  <c r="AF632" i="4"/>
  <c r="AJ664" i="4"/>
  <c r="AM664" i="4" s="1"/>
  <c r="AF664" i="4"/>
  <c r="AK664" i="4" s="1"/>
  <c r="AJ696" i="4"/>
  <c r="AF696" i="4"/>
  <c r="AK696" i="4" s="1"/>
  <c r="AG696" i="4"/>
  <c r="AM728" i="4"/>
  <c r="AJ760" i="4"/>
  <c r="AM760" i="4" s="1"/>
  <c r="AG760" i="4"/>
  <c r="AF760" i="4"/>
  <c r="AK760" i="4" s="1"/>
  <c r="AJ824" i="4"/>
  <c r="AM824" i="4" s="1"/>
  <c r="AF824" i="4"/>
  <c r="AK824" i="4" s="1"/>
  <c r="AG824" i="4"/>
  <c r="AJ856" i="4"/>
  <c r="AF856" i="4"/>
  <c r="AK856" i="4" s="1"/>
  <c r="AM888" i="4"/>
  <c r="AJ49" i="4"/>
  <c r="AF49" i="4"/>
  <c r="AK49" i="4" s="1"/>
  <c r="AJ113" i="4"/>
  <c r="AF113" i="4"/>
  <c r="AK113" i="4" s="1"/>
  <c r="AJ177" i="4"/>
  <c r="AF177" i="4"/>
  <c r="AK177" i="4" s="1"/>
  <c r="AG177" i="4"/>
  <c r="AJ849" i="4"/>
  <c r="AF849" i="4"/>
  <c r="AK849" i="4" s="1"/>
  <c r="AG490" i="4"/>
  <c r="AG578" i="4"/>
  <c r="AJ746" i="4"/>
  <c r="AF746" i="4"/>
  <c r="AK746" i="4" s="1"/>
  <c r="AJ906" i="4"/>
  <c r="AF906" i="4"/>
  <c r="AK906" i="4" s="1"/>
  <c r="AM251" i="4"/>
  <c r="AM283" i="4"/>
  <c r="AM315" i="4"/>
  <c r="AM379" i="4"/>
  <c r="AM411" i="4"/>
  <c r="AM507" i="4"/>
  <c r="AJ539" i="4"/>
  <c r="AF539" i="4"/>
  <c r="AK539" i="4" s="1"/>
  <c r="AJ571" i="4"/>
  <c r="AF571" i="4"/>
  <c r="AK571" i="4" s="1"/>
  <c r="AM603" i="4"/>
  <c r="AJ635" i="4"/>
  <c r="AM635" i="4" s="1"/>
  <c r="AF635" i="4"/>
  <c r="AK635" i="4" s="1"/>
  <c r="AJ667" i="4"/>
  <c r="AF667" i="4"/>
  <c r="AK667" i="4" s="1"/>
  <c r="AG667" i="4"/>
  <c r="AJ699" i="4"/>
  <c r="AF699" i="4"/>
  <c r="AJ731" i="4"/>
  <c r="AM731" i="4" s="1"/>
  <c r="AF731" i="4"/>
  <c r="AK731" i="4" s="1"/>
  <c r="AJ763" i="4"/>
  <c r="AF763" i="4"/>
  <c r="AK763" i="4" s="1"/>
  <c r="AJ795" i="4"/>
  <c r="AF795" i="4"/>
  <c r="AK795" i="4" s="1"/>
  <c r="AJ827" i="4"/>
  <c r="AF827" i="4"/>
  <c r="AK827" i="4" s="1"/>
  <c r="AJ859" i="4"/>
  <c r="AF859" i="4"/>
  <c r="AK859" i="4" s="1"/>
  <c r="AJ891" i="4"/>
  <c r="AF891" i="4"/>
  <c r="AK891" i="4" s="1"/>
  <c r="AG60" i="4"/>
  <c r="AG148" i="4"/>
  <c r="AG444" i="4"/>
  <c r="AJ628" i="4"/>
  <c r="AF628" i="4"/>
  <c r="AK628" i="4" s="1"/>
  <c r="AJ660" i="4"/>
  <c r="AF660" i="4"/>
  <c r="AJ692" i="4"/>
  <c r="AM692" i="4" s="1"/>
  <c r="AF692" i="4"/>
  <c r="AK692" i="4" s="1"/>
  <c r="AJ724" i="4"/>
  <c r="AF724" i="4"/>
  <c r="AK724" i="4" s="1"/>
  <c r="AJ756" i="4"/>
  <c r="AG756" i="4"/>
  <c r="AF756" i="4"/>
  <c r="AK756" i="4" s="1"/>
  <c r="AJ788" i="4"/>
  <c r="AF788" i="4"/>
  <c r="AK788" i="4" s="1"/>
  <c r="AJ820" i="4"/>
  <c r="AF820" i="4"/>
  <c r="AK820" i="4" s="1"/>
  <c r="AJ852" i="4"/>
  <c r="AF852" i="4"/>
  <c r="AK852" i="4" s="1"/>
  <c r="AM852" i="4" s="1"/>
  <c r="AJ884" i="4"/>
  <c r="AF884" i="4"/>
  <c r="AK884" i="4" s="1"/>
  <c r="AJ916" i="4"/>
  <c r="AM916" i="4" s="1"/>
  <c r="AF916" i="4"/>
  <c r="AK916" i="4" s="1"/>
  <c r="AM477" i="4"/>
  <c r="AJ454" i="4"/>
  <c r="AF454" i="4"/>
  <c r="AK454" i="4" s="1"/>
  <c r="AG454" i="4"/>
  <c r="AJ486" i="4"/>
  <c r="AF486" i="4"/>
  <c r="AK486" i="4" s="1"/>
  <c r="AJ518" i="4"/>
  <c r="AM518" i="4" s="1"/>
  <c r="AG518" i="4"/>
  <c r="AF518" i="4"/>
  <c r="AK518" i="4" s="1"/>
  <c r="AJ550" i="4"/>
  <c r="AM550" i="4" s="1"/>
  <c r="AF550" i="4"/>
  <c r="AK550" i="4" s="1"/>
  <c r="AJ582" i="4"/>
  <c r="AF582" i="4"/>
  <c r="AK582" i="4" s="1"/>
  <c r="AG582" i="4"/>
  <c r="AJ614" i="4"/>
  <c r="AF614" i="4"/>
  <c r="AJ646" i="4"/>
  <c r="AM646" i="4" s="1"/>
  <c r="AF646" i="4"/>
  <c r="AK646" i="4" s="1"/>
  <c r="AJ678" i="4"/>
  <c r="AM678" i="4" s="1"/>
  <c r="AF678" i="4"/>
  <c r="AK678" i="4" s="1"/>
  <c r="AG678" i="4"/>
  <c r="AJ710" i="4"/>
  <c r="AF710" i="4"/>
  <c r="AK710" i="4" s="1"/>
  <c r="AG710" i="4"/>
  <c r="AJ742" i="4"/>
  <c r="AF742" i="4"/>
  <c r="AK742" i="4" s="1"/>
  <c r="AJ774" i="4"/>
  <c r="AF774" i="4"/>
  <c r="AJ806" i="4"/>
  <c r="AM806" i="4" s="1"/>
  <c r="AF806" i="4"/>
  <c r="AK806" i="4" s="1"/>
  <c r="AJ838" i="4"/>
  <c r="AM838" i="4" s="1"/>
  <c r="AF838" i="4"/>
  <c r="AK838" i="4" s="1"/>
  <c r="AJ870" i="4"/>
  <c r="AF870" i="4"/>
  <c r="AK870" i="4" s="1"/>
  <c r="AG870" i="4"/>
  <c r="AJ902" i="4"/>
  <c r="AM902" i="4" s="1"/>
  <c r="AG902" i="4"/>
  <c r="AF902" i="4"/>
  <c r="AK902" i="4" s="1"/>
  <c r="AJ2" i="4"/>
  <c r="AM2" i="4" s="1"/>
  <c r="AF2" i="4"/>
  <c r="AK2" i="4" s="1"/>
  <c r="AG2" i="4"/>
  <c r="AJ327" i="4"/>
  <c r="AF327" i="4"/>
  <c r="AJ607" i="4"/>
  <c r="AF607" i="4"/>
  <c r="AK607" i="4" s="1"/>
  <c r="AJ895" i="4"/>
  <c r="AF895" i="4"/>
  <c r="AK895" i="4" s="1"/>
  <c r="AJ57" i="4"/>
  <c r="AF57" i="4"/>
  <c r="AK57" i="4" s="1"/>
  <c r="AJ153" i="4"/>
  <c r="AM153" i="4" s="1"/>
  <c r="AF153" i="4"/>
  <c r="AK153" i="4" s="1"/>
  <c r="AM377" i="4"/>
  <c r="AM857" i="4"/>
  <c r="AM914" i="4"/>
  <c r="AJ611" i="4"/>
  <c r="AG611" i="4"/>
  <c r="AF611" i="4"/>
  <c r="AK611" i="4" s="1"/>
  <c r="AJ867" i="4"/>
  <c r="AF867" i="4"/>
  <c r="AJ636" i="4"/>
  <c r="AF636" i="4"/>
  <c r="AK636" i="4" s="1"/>
  <c r="AJ764" i="4"/>
  <c r="AF764" i="4"/>
  <c r="AK764" i="4" s="1"/>
  <c r="AM764" i="4" s="1"/>
  <c r="AJ860" i="4"/>
  <c r="AM860" i="4" s="1"/>
  <c r="AG860" i="4"/>
  <c r="AF860" i="4"/>
  <c r="AK860" i="4" s="1"/>
  <c r="AJ924" i="4"/>
  <c r="AF924" i="4"/>
  <c r="AK924" i="4" s="1"/>
  <c r="AJ197" i="4"/>
  <c r="AF197" i="4"/>
  <c r="AK197" i="4" s="1"/>
  <c r="AJ25" i="4"/>
  <c r="AF25" i="4"/>
  <c r="AK25" i="4" s="1"/>
  <c r="AM162" i="4"/>
  <c r="AM138" i="4"/>
  <c r="AM98" i="4"/>
  <c r="AM354" i="4"/>
  <c r="AM482" i="4"/>
  <c r="AM27" i="4"/>
  <c r="AM59" i="4"/>
  <c r="AM91" i="4"/>
  <c r="AM123" i="4"/>
  <c r="AM187" i="4"/>
  <c r="AM128" i="4"/>
  <c r="AM370" i="4"/>
  <c r="AG28" i="4"/>
  <c r="AJ76" i="4"/>
  <c r="AM76" i="4" s="1"/>
  <c r="AF76" i="4"/>
  <c r="AK76" i="4" s="1"/>
  <c r="AM108" i="4"/>
  <c r="AJ332" i="4"/>
  <c r="AF332" i="4"/>
  <c r="AK332" i="4" s="1"/>
  <c r="AJ364" i="4"/>
  <c r="AM364" i="4" s="1"/>
  <c r="AG364" i="4"/>
  <c r="AF364" i="4"/>
  <c r="AK364" i="4" s="1"/>
  <c r="AJ498" i="4"/>
  <c r="AG498" i="4"/>
  <c r="AF498" i="4"/>
  <c r="AK498" i="4" s="1"/>
  <c r="AM238" i="4"/>
  <c r="AM335" i="4"/>
  <c r="AJ8" i="4"/>
  <c r="AF8" i="4"/>
  <c r="AK8" i="4" s="1"/>
  <c r="AM146" i="4"/>
  <c r="AM458" i="4"/>
  <c r="AM586" i="4"/>
  <c r="AJ94" i="4"/>
  <c r="AF94" i="4"/>
  <c r="AK94" i="4" s="1"/>
  <c r="AG230" i="4"/>
  <c r="AG262" i="4"/>
  <c r="AJ350" i="4"/>
  <c r="AF350" i="4"/>
  <c r="AJ234" i="4"/>
  <c r="AF234" i="4"/>
  <c r="AK234" i="4" s="1"/>
  <c r="AM46" i="4"/>
  <c r="AM436" i="4"/>
  <c r="AG71" i="4"/>
  <c r="AJ71" i="4"/>
  <c r="AM71" i="4" s="1"/>
  <c r="AF71" i="4"/>
  <c r="AK71" i="4" s="1"/>
  <c r="AJ95" i="4"/>
  <c r="AF95" i="4"/>
  <c r="AK95" i="4" s="1"/>
  <c r="AJ199" i="4"/>
  <c r="AF199" i="4"/>
  <c r="AK199" i="4" s="1"/>
  <c r="AM423" i="4"/>
  <c r="AG360" i="4"/>
  <c r="AJ434" i="4"/>
  <c r="AF434" i="4"/>
  <c r="AM230" i="4"/>
  <c r="AM340" i="4"/>
  <c r="AM556" i="4"/>
  <c r="AG24" i="4"/>
  <c r="AM112" i="4"/>
  <c r="AG200" i="4"/>
  <c r="AJ272" i="4"/>
  <c r="AM272" i="4" s="1"/>
  <c r="AF272" i="4"/>
  <c r="AK272" i="4" s="1"/>
  <c r="AJ242" i="4"/>
  <c r="AF242" i="4"/>
  <c r="AK242" i="4" s="1"/>
  <c r="AM36" i="4"/>
  <c r="AM366" i="4"/>
  <c r="AM463" i="4"/>
  <c r="AM543" i="4"/>
  <c r="AM575" i="4"/>
  <c r="AM639" i="4"/>
  <c r="AM703" i="4"/>
  <c r="AM735" i="4"/>
  <c r="AM767" i="4"/>
  <c r="AM799" i="4"/>
  <c r="AM831" i="4"/>
  <c r="AM863" i="4"/>
  <c r="AG128" i="4"/>
  <c r="AG280" i="4"/>
  <c r="AJ384" i="4"/>
  <c r="AG384" i="4"/>
  <c r="AF384" i="4"/>
  <c r="AK384" i="4" s="1"/>
  <c r="AM416" i="4"/>
  <c r="AM448" i="4"/>
  <c r="AJ480" i="4"/>
  <c r="AM480" i="4" s="1"/>
  <c r="AG480" i="4"/>
  <c r="AF480" i="4"/>
  <c r="AK480" i="4" s="1"/>
  <c r="AM512" i="4"/>
  <c r="AM544" i="4"/>
  <c r="AJ576" i="4"/>
  <c r="AF576" i="4"/>
  <c r="AK576" i="4" s="1"/>
  <c r="AM576" i="4" s="1"/>
  <c r="AJ608" i="4"/>
  <c r="AF608" i="4"/>
  <c r="AM640" i="4"/>
  <c r="AJ672" i="4"/>
  <c r="AF672" i="4"/>
  <c r="AK672" i="4" s="1"/>
  <c r="AJ704" i="4"/>
  <c r="AF704" i="4"/>
  <c r="AK704" i="4" s="1"/>
  <c r="AJ768" i="4"/>
  <c r="AM768" i="4" s="1"/>
  <c r="AF768" i="4"/>
  <c r="AK768" i="4" s="1"/>
  <c r="AJ800" i="4"/>
  <c r="AM800" i="4" s="1"/>
  <c r="AG800" i="4"/>
  <c r="AF800" i="4"/>
  <c r="AK800" i="4" s="1"/>
  <c r="AJ832" i="4"/>
  <c r="AM832" i="4" s="1"/>
  <c r="AF832" i="4"/>
  <c r="AK832" i="4" s="1"/>
  <c r="AJ864" i="4"/>
  <c r="AM864" i="4" s="1"/>
  <c r="AF864" i="4"/>
  <c r="AK864" i="4" s="1"/>
  <c r="AM49" i="4"/>
  <c r="AJ81" i="4"/>
  <c r="AM81" i="4" s="1"/>
  <c r="AF81" i="4"/>
  <c r="AK81" i="4" s="1"/>
  <c r="AM113" i="4"/>
  <c r="AJ145" i="4"/>
  <c r="AM145" i="4" s="1"/>
  <c r="AF145" i="4"/>
  <c r="AK145" i="4" s="1"/>
  <c r="AG145" i="4"/>
  <c r="AM177" i="4"/>
  <c r="AJ209" i="4"/>
  <c r="AM209" i="4" s="1"/>
  <c r="AF209" i="4"/>
  <c r="AK209" i="4" s="1"/>
  <c r="AJ241" i="4"/>
  <c r="AF241" i="4"/>
  <c r="AK241" i="4" s="1"/>
  <c r="AJ273" i="4"/>
  <c r="AF273" i="4"/>
  <c r="AK273" i="4" s="1"/>
  <c r="AJ305" i="4"/>
  <c r="AM305" i="4" s="1"/>
  <c r="AF305" i="4"/>
  <c r="AK305" i="4" s="1"/>
  <c r="AJ337" i="4"/>
  <c r="AF337" i="4"/>
  <c r="AK337" i="4" s="1"/>
  <c r="AG337" i="4"/>
  <c r="AJ369" i="4"/>
  <c r="AF369" i="4"/>
  <c r="AK369" i="4" s="1"/>
  <c r="AJ401" i="4"/>
  <c r="AM401" i="4" s="1"/>
  <c r="AF401" i="4"/>
  <c r="AK401" i="4" s="1"/>
  <c r="AJ433" i="4"/>
  <c r="AM433" i="4" s="1"/>
  <c r="AF433" i="4"/>
  <c r="AK433" i="4" s="1"/>
  <c r="AJ465" i="4"/>
  <c r="AF465" i="4"/>
  <c r="AJ497" i="4"/>
  <c r="AM497" i="4" s="1"/>
  <c r="AF497" i="4"/>
  <c r="AK497" i="4" s="1"/>
  <c r="AG497" i="4"/>
  <c r="AJ529" i="4"/>
  <c r="AM529" i="4" s="1"/>
  <c r="AF529" i="4"/>
  <c r="AK529" i="4" s="1"/>
  <c r="AJ561" i="4"/>
  <c r="AF561" i="4"/>
  <c r="AJ593" i="4"/>
  <c r="AF593" i="4"/>
  <c r="AK593" i="4" s="1"/>
  <c r="AJ625" i="4"/>
  <c r="AM625" i="4" s="1"/>
  <c r="AF625" i="4"/>
  <c r="AK625" i="4" s="1"/>
  <c r="AJ657" i="4"/>
  <c r="AF657" i="4"/>
  <c r="AK657" i="4" s="1"/>
  <c r="AJ689" i="4"/>
  <c r="AF689" i="4"/>
  <c r="AK689" i="4" s="1"/>
  <c r="AJ721" i="4"/>
  <c r="AM721" i="4" s="1"/>
  <c r="AF721" i="4"/>
  <c r="AK721" i="4" s="1"/>
  <c r="AG721" i="4"/>
  <c r="AJ753" i="4"/>
  <c r="AF753" i="4"/>
  <c r="AK753" i="4" s="1"/>
  <c r="AJ785" i="4"/>
  <c r="AF785" i="4"/>
  <c r="AJ817" i="4"/>
  <c r="AF817" i="4"/>
  <c r="AK817" i="4" s="1"/>
  <c r="AM849" i="4"/>
  <c r="AJ881" i="4"/>
  <c r="AF881" i="4"/>
  <c r="AJ913" i="4"/>
  <c r="AF913" i="4"/>
  <c r="AK913" i="4" s="1"/>
  <c r="AM913" i="4" s="1"/>
  <c r="AG274" i="4"/>
  <c r="AG594" i="4"/>
  <c r="AJ650" i="4"/>
  <c r="AF650" i="4"/>
  <c r="AJ682" i="4"/>
  <c r="AF682" i="4"/>
  <c r="AK682" i="4" s="1"/>
  <c r="AJ714" i="4"/>
  <c r="AF714" i="4"/>
  <c r="AK714" i="4" s="1"/>
  <c r="AM746" i="4"/>
  <c r="AJ778" i="4"/>
  <c r="AF778" i="4"/>
  <c r="AJ810" i="4"/>
  <c r="AG810" i="4"/>
  <c r="AF810" i="4"/>
  <c r="AK810" i="4" s="1"/>
  <c r="AJ842" i="4"/>
  <c r="AG842" i="4"/>
  <c r="AF842" i="4"/>
  <c r="AK842" i="4" s="1"/>
  <c r="AJ874" i="4"/>
  <c r="AF874" i="4"/>
  <c r="AK874" i="4" s="1"/>
  <c r="AJ227" i="4"/>
  <c r="AF227" i="4"/>
  <c r="AK227" i="4" s="1"/>
  <c r="AJ259" i="4"/>
  <c r="AF259" i="4"/>
  <c r="AK259" i="4" s="1"/>
  <c r="AJ291" i="4"/>
  <c r="AM291" i="4" s="1"/>
  <c r="AF291" i="4"/>
  <c r="AK291" i="4" s="1"/>
  <c r="AG291" i="4"/>
  <c r="AJ323" i="4"/>
  <c r="AF323" i="4"/>
  <c r="AK323" i="4" s="1"/>
  <c r="AJ355" i="4"/>
  <c r="AF355" i="4"/>
  <c r="AK355" i="4" s="1"/>
  <c r="AJ387" i="4"/>
  <c r="AF387" i="4"/>
  <c r="AJ419" i="4"/>
  <c r="AG419" i="4"/>
  <c r="AF419" i="4"/>
  <c r="AK419" i="4" s="1"/>
  <c r="AJ451" i="4"/>
  <c r="AM451" i="4" s="1"/>
  <c r="AF451" i="4"/>
  <c r="AK451" i="4" s="1"/>
  <c r="AG451" i="4"/>
  <c r="AJ483" i="4"/>
  <c r="AF483" i="4"/>
  <c r="AK483" i="4" s="1"/>
  <c r="AJ515" i="4"/>
  <c r="AG515" i="4"/>
  <c r="AF515" i="4"/>
  <c r="AK515" i="4" s="1"/>
  <c r="AM579" i="4"/>
  <c r="AM611" i="4"/>
  <c r="AM675" i="4"/>
  <c r="AM707" i="4"/>
  <c r="AM739" i="4"/>
  <c r="AM803" i="4"/>
  <c r="AM835" i="4"/>
  <c r="AM604" i="4"/>
  <c r="AM636" i="4"/>
  <c r="AM668" i="4"/>
  <c r="AM700" i="4"/>
  <c r="AM796" i="4"/>
  <c r="AM892" i="4"/>
  <c r="AJ29" i="4"/>
  <c r="AM29" i="4" s="1"/>
  <c r="AG29" i="4"/>
  <c r="AF29" i="4"/>
  <c r="AK29" i="4" s="1"/>
  <c r="AJ61" i="4"/>
  <c r="AG61" i="4"/>
  <c r="AF61" i="4"/>
  <c r="AK61" i="4" s="1"/>
  <c r="AJ93" i="4"/>
  <c r="AF93" i="4"/>
  <c r="AK93" i="4" s="1"/>
  <c r="AJ125" i="4"/>
  <c r="AM125" i="4" s="1"/>
  <c r="AG125" i="4"/>
  <c r="AF125" i="4"/>
  <c r="AK125" i="4" s="1"/>
  <c r="AJ157" i="4"/>
  <c r="AM157" i="4" s="1"/>
  <c r="AF157" i="4"/>
  <c r="AK157" i="4" s="1"/>
  <c r="AG157" i="4"/>
  <c r="AJ189" i="4"/>
  <c r="AG189" i="4"/>
  <c r="AF189" i="4"/>
  <c r="AK189" i="4" s="1"/>
  <c r="AJ221" i="4"/>
  <c r="AF221" i="4"/>
  <c r="AJ253" i="4"/>
  <c r="AF253" i="4"/>
  <c r="AK253" i="4" s="1"/>
  <c r="AJ285" i="4"/>
  <c r="AM285" i="4" s="1"/>
  <c r="AF285" i="4"/>
  <c r="AK285" i="4" s="1"/>
  <c r="AJ317" i="4"/>
  <c r="AM317" i="4" s="1"/>
  <c r="AF317" i="4"/>
  <c r="AK317" i="4" s="1"/>
  <c r="AJ349" i="4"/>
  <c r="AF349" i="4"/>
  <c r="AK349" i="4" s="1"/>
  <c r="AJ381" i="4"/>
  <c r="AF381" i="4"/>
  <c r="AK381" i="4" s="1"/>
  <c r="AJ413" i="4"/>
  <c r="AM413" i="4" s="1"/>
  <c r="AF413" i="4"/>
  <c r="AK413" i="4" s="1"/>
  <c r="AJ445" i="4"/>
  <c r="AM445" i="4" s="1"/>
  <c r="AF445" i="4"/>
  <c r="AK445" i="4" s="1"/>
  <c r="AJ477" i="4"/>
  <c r="AF477" i="4"/>
  <c r="AK477" i="4" s="1"/>
  <c r="AG477" i="4"/>
  <c r="AJ509" i="4"/>
  <c r="AF509" i="4"/>
  <c r="AK509" i="4" s="1"/>
  <c r="AJ541" i="4"/>
  <c r="AM541" i="4" s="1"/>
  <c r="AF541" i="4"/>
  <c r="AK541" i="4" s="1"/>
  <c r="AJ573" i="4"/>
  <c r="AF573" i="4"/>
  <c r="AK573" i="4" s="1"/>
  <c r="AJ605" i="4"/>
  <c r="AM605" i="4" s="1"/>
  <c r="AF605" i="4"/>
  <c r="AK605" i="4" s="1"/>
  <c r="AJ637" i="4"/>
  <c r="AM637" i="4" s="1"/>
  <c r="AF637" i="4"/>
  <c r="AK637" i="4" s="1"/>
  <c r="AJ669" i="4"/>
  <c r="AM669" i="4" s="1"/>
  <c r="AF669" i="4"/>
  <c r="AK669" i="4" s="1"/>
  <c r="AG669" i="4"/>
  <c r="AJ701" i="4"/>
  <c r="AF701" i="4"/>
  <c r="AK701" i="4" s="1"/>
  <c r="AJ733" i="4"/>
  <c r="AF733" i="4"/>
  <c r="AK733" i="4" s="1"/>
  <c r="AJ765" i="4"/>
  <c r="AF765" i="4"/>
  <c r="AK765" i="4" s="1"/>
  <c r="AJ797" i="4"/>
  <c r="AG797" i="4"/>
  <c r="AF797" i="4"/>
  <c r="AK797" i="4" s="1"/>
  <c r="AJ829" i="4"/>
  <c r="AM829" i="4" s="1"/>
  <c r="AF829" i="4"/>
  <c r="AK829" i="4" s="1"/>
  <c r="AJ861" i="4"/>
  <c r="AM861" i="4" s="1"/>
  <c r="AG861" i="4"/>
  <c r="AF861" i="4"/>
  <c r="AK861" i="4" s="1"/>
  <c r="AJ893" i="4"/>
  <c r="AF893" i="4"/>
  <c r="AK893" i="4" s="1"/>
  <c r="AJ925" i="4"/>
  <c r="AF925" i="4"/>
  <c r="AK925" i="4" s="1"/>
  <c r="AG278" i="4"/>
  <c r="AG358" i="4"/>
  <c r="AM430" i="4"/>
  <c r="AM462" i="4"/>
  <c r="AM494" i="4"/>
  <c r="AJ526" i="4"/>
  <c r="AM526" i="4" s="1"/>
  <c r="AF526" i="4"/>
  <c r="AK526" i="4" s="1"/>
  <c r="AM558" i="4"/>
  <c r="AJ590" i="4"/>
  <c r="AM590" i="4" s="1"/>
  <c r="AG590" i="4"/>
  <c r="AF590" i="4"/>
  <c r="AK590" i="4" s="1"/>
  <c r="AM622" i="4"/>
  <c r="AJ654" i="4"/>
  <c r="AF654" i="4"/>
  <c r="AK654" i="4" s="1"/>
  <c r="AM686" i="4"/>
  <c r="AJ718" i="4"/>
  <c r="AM718" i="4" s="1"/>
  <c r="AG718" i="4"/>
  <c r="AF718" i="4"/>
  <c r="AK718" i="4" s="1"/>
  <c r="AJ782" i="4"/>
  <c r="AF782" i="4"/>
  <c r="AK782" i="4" s="1"/>
  <c r="AJ814" i="4"/>
  <c r="AM814" i="4" s="1"/>
  <c r="AF814" i="4"/>
  <c r="AK814" i="4" s="1"/>
  <c r="AJ846" i="4"/>
  <c r="AM846" i="4" s="1"/>
  <c r="AF846" i="4"/>
  <c r="AK846" i="4" s="1"/>
  <c r="AJ878" i="4"/>
  <c r="AF878" i="4"/>
  <c r="AK878" i="4" s="1"/>
  <c r="AM910" i="4"/>
  <c r="AK695" i="4" l="1"/>
  <c r="AM695" i="4" s="1"/>
  <c r="AG695" i="4"/>
  <c r="AK732" i="4"/>
  <c r="AM732" i="4" s="1"/>
  <c r="AG732" i="4"/>
  <c r="AK530" i="4"/>
  <c r="AG530" i="4"/>
  <c r="AK417" i="4"/>
  <c r="AM417" i="4" s="1"/>
  <c r="AG417" i="4"/>
  <c r="AK214" i="4"/>
  <c r="AG214" i="4"/>
  <c r="AG878" i="4"/>
  <c r="AG782" i="4"/>
  <c r="AM654" i="4"/>
  <c r="AG893" i="4"/>
  <c r="AM701" i="4"/>
  <c r="AM381" i="4"/>
  <c r="AM253" i="4"/>
  <c r="AM387" i="4"/>
  <c r="AM817" i="4"/>
  <c r="AM593" i="4"/>
  <c r="AK465" i="4"/>
  <c r="AG465" i="4"/>
  <c r="AG704" i="4"/>
  <c r="AM25" i="4"/>
  <c r="AK614" i="4"/>
  <c r="AM614" i="4" s="1"/>
  <c r="AG614" i="4"/>
  <c r="AM795" i="4"/>
  <c r="AK771" i="4"/>
  <c r="AM771" i="4" s="1"/>
  <c r="AG771" i="4"/>
  <c r="AK908" i="4"/>
  <c r="AG908" i="4"/>
  <c r="AK40" i="4"/>
  <c r="AG40" i="4"/>
  <c r="AK31" i="4"/>
  <c r="AG31" i="4"/>
  <c r="AM837" i="4"/>
  <c r="AK450" i="4"/>
  <c r="AM450" i="4" s="1"/>
  <c r="AG450" i="4"/>
  <c r="AK510" i="4"/>
  <c r="AM510" i="4" s="1"/>
  <c r="AG510" i="4"/>
  <c r="AK561" i="4"/>
  <c r="AG561" i="4"/>
  <c r="AM704" i="4"/>
  <c r="AK408" i="4"/>
  <c r="AM408" i="4" s="1"/>
  <c r="AG408" i="4"/>
  <c r="AK44" i="4"/>
  <c r="AM44" i="4" s="1"/>
  <c r="AG44" i="4"/>
  <c r="AK545" i="4"/>
  <c r="AG545" i="4"/>
  <c r="AK674" i="4"/>
  <c r="AM674" i="4" s="1"/>
  <c r="AG674" i="4"/>
  <c r="AK688" i="4"/>
  <c r="AG688" i="4"/>
  <c r="AK139" i="4"/>
  <c r="AM139" i="4" s="1"/>
  <c r="AG139" i="4"/>
  <c r="AK168" i="4"/>
  <c r="AM168" i="4" s="1"/>
  <c r="AG168" i="4"/>
  <c r="AM893" i="4"/>
  <c r="AK785" i="4"/>
  <c r="AG785" i="4"/>
  <c r="AM465" i="4"/>
  <c r="AM878" i="4"/>
  <c r="AM782" i="4"/>
  <c r="AM797" i="4"/>
  <c r="AM349" i="4"/>
  <c r="AK221" i="4"/>
  <c r="AG221" i="4"/>
  <c r="AG355" i="4"/>
  <c r="AM259" i="4"/>
  <c r="AM842" i="4"/>
  <c r="AM714" i="4"/>
  <c r="AG913" i="4"/>
  <c r="AM785" i="4"/>
  <c r="AG209" i="4"/>
  <c r="AG81" i="4"/>
  <c r="AK350" i="4"/>
  <c r="AG350" i="4"/>
  <c r="AK660" i="4"/>
  <c r="AM660" i="4" s="1"/>
  <c r="AG660" i="4"/>
  <c r="AK866" i="4"/>
  <c r="AM866" i="4" s="1"/>
  <c r="AG866" i="4"/>
  <c r="AK86" i="4"/>
  <c r="AM86" i="4" s="1"/>
  <c r="AG86" i="4"/>
  <c r="AK277" i="4"/>
  <c r="AM277" i="4" s="1"/>
  <c r="AG277" i="4"/>
  <c r="AK723" i="4"/>
  <c r="AG723" i="4"/>
  <c r="AM595" i="4"/>
  <c r="AK307" i="4"/>
  <c r="AM307" i="4" s="1"/>
  <c r="AG307" i="4"/>
  <c r="AK249" i="4"/>
  <c r="AM249" i="4" s="1"/>
  <c r="AG249" i="4"/>
  <c r="AK387" i="4"/>
  <c r="AG387" i="4"/>
  <c r="AG846" i="4"/>
  <c r="AM765" i="4"/>
  <c r="AM355" i="4"/>
  <c r="AG227" i="4"/>
  <c r="AG305" i="4"/>
  <c r="AK434" i="4"/>
  <c r="AG434" i="4"/>
  <c r="AM350" i="4"/>
  <c r="AK240" i="4"/>
  <c r="AM240" i="4" s="1"/>
  <c r="AG240" i="4"/>
  <c r="AK373" i="4"/>
  <c r="AG373" i="4"/>
  <c r="AK880" i="4"/>
  <c r="AG880" i="4"/>
  <c r="AK48" i="4"/>
  <c r="AM48" i="4" s="1"/>
  <c r="AG48" i="4"/>
  <c r="AK167" i="4"/>
  <c r="AG167" i="4"/>
  <c r="AK403" i="4"/>
  <c r="AG403" i="4"/>
  <c r="AK868" i="4"/>
  <c r="AG868" i="4"/>
  <c r="AK345" i="4"/>
  <c r="AM345" i="4" s="1"/>
  <c r="AG345" i="4"/>
  <c r="AG509" i="4"/>
  <c r="AG413" i="4"/>
  <c r="AK881" i="4"/>
  <c r="AG881" i="4"/>
  <c r="AM434" i="4"/>
  <c r="AK867" i="4"/>
  <c r="AG867" i="4"/>
  <c r="AK774" i="4"/>
  <c r="AM774" i="4" s="1"/>
  <c r="AG774" i="4"/>
  <c r="AK347" i="4"/>
  <c r="AM347" i="4" s="1"/>
  <c r="AG347" i="4"/>
  <c r="AK393" i="4"/>
  <c r="AG393" i="4"/>
  <c r="AM880" i="4"/>
  <c r="AK496" i="4"/>
  <c r="AG496" i="4"/>
  <c r="AK619" i="4"/>
  <c r="AM619" i="4" s="1"/>
  <c r="AG619" i="4"/>
  <c r="AK488" i="4"/>
  <c r="AM488" i="4" s="1"/>
  <c r="AG488" i="4"/>
  <c r="AK547" i="4"/>
  <c r="AM547" i="4" s="1"/>
  <c r="AG547" i="4"/>
  <c r="AK632" i="4"/>
  <c r="AG632" i="4"/>
  <c r="AK620" i="4"/>
  <c r="AM620" i="4" s="1"/>
  <c r="AG620" i="4"/>
  <c r="AK525" i="4"/>
  <c r="AM525" i="4" s="1"/>
  <c r="AG525" i="4"/>
  <c r="AK4" i="4"/>
  <c r="AG4" i="4"/>
  <c r="AK931" i="4"/>
  <c r="AG931" i="4"/>
  <c r="AK650" i="4"/>
  <c r="AG650" i="4"/>
  <c r="AM881" i="4"/>
  <c r="AK608" i="4"/>
  <c r="AM608" i="4" s="1"/>
  <c r="AG608" i="4"/>
  <c r="AM867" i="4"/>
  <c r="AK327" i="4"/>
  <c r="AG327" i="4"/>
  <c r="AK699" i="4"/>
  <c r="AM699" i="4" s="1"/>
  <c r="AG699" i="4"/>
  <c r="AG829" i="4"/>
  <c r="AM733" i="4"/>
  <c r="AM509" i="4"/>
  <c r="AG285" i="4"/>
  <c r="AM189" i="4"/>
  <c r="AM93" i="4"/>
  <c r="AK778" i="4"/>
  <c r="AM778" i="4" s="1"/>
  <c r="AG778" i="4"/>
  <c r="AM650" i="4"/>
  <c r="AG593" i="4"/>
  <c r="AG57" i="4"/>
  <c r="AM571" i="4"/>
  <c r="AM599" i="4"/>
  <c r="AK716" i="4"/>
  <c r="AM716" i="4" s="1"/>
  <c r="AG716" i="4"/>
  <c r="AK592" i="4"/>
  <c r="AG592" i="4"/>
  <c r="AK321" i="4"/>
  <c r="AG321" i="4"/>
  <c r="AK907" i="4"/>
  <c r="AG907" i="4"/>
  <c r="AM791" i="4"/>
  <c r="AM295" i="4"/>
  <c r="AM920" i="4"/>
  <c r="AM192" i="4"/>
  <c r="AM734" i="4"/>
  <c r="AM400" i="4"/>
  <c r="AM269" i="4"/>
  <c r="AM890" i="4"/>
  <c r="AM545" i="4"/>
  <c r="AM321" i="4"/>
  <c r="AM40" i="4"/>
  <c r="AM214" i="4"/>
  <c r="AM907" i="4"/>
  <c r="AM392" i="4"/>
  <c r="AM519" i="4"/>
  <c r="AM176" i="4"/>
  <c r="AM756" i="4"/>
  <c r="AM891" i="4"/>
  <c r="AG856" i="4"/>
  <c r="AM632" i="4"/>
  <c r="AM140" i="4"/>
  <c r="AM453" i="4"/>
  <c r="AG668" i="4"/>
  <c r="AG853" i="4"/>
  <c r="AG565" i="4"/>
  <c r="AM443" i="4"/>
  <c r="AG617" i="4"/>
  <c r="AM393" i="4"/>
  <c r="AG201" i="4"/>
  <c r="AG105" i="4"/>
  <c r="AG920" i="4"/>
  <c r="AG104" i="4"/>
  <c r="AG204" i="4"/>
  <c r="AM89" i="4"/>
  <c r="AM862" i="4"/>
  <c r="AG606" i="4"/>
  <c r="AM373" i="4"/>
  <c r="AM908" i="4"/>
  <c r="AM851" i="4"/>
  <c r="AM723" i="4"/>
  <c r="AM233" i="4"/>
  <c r="AM784" i="4"/>
  <c r="AM688" i="4"/>
  <c r="AM592" i="4"/>
  <c r="AG879" i="4"/>
  <c r="AG687" i="4"/>
  <c r="AG591" i="4"/>
  <c r="AM167" i="4"/>
  <c r="AG30" i="4"/>
  <c r="AG927" i="4"/>
  <c r="AM530" i="4"/>
  <c r="AG845" i="4"/>
  <c r="AG749" i="4"/>
  <c r="AM557" i="4"/>
  <c r="AM397" i="4"/>
  <c r="AM819" i="4"/>
  <c r="AG499" i="4"/>
  <c r="AM403" i="4"/>
  <c r="AG666" i="4"/>
  <c r="AG737" i="4"/>
  <c r="AG609" i="4"/>
  <c r="AG513" i="4"/>
  <c r="AM257" i="4"/>
  <c r="AM65" i="4"/>
  <c r="AG418" i="4"/>
  <c r="AM868" i="4"/>
  <c r="AG779" i="4"/>
  <c r="AM715" i="4"/>
  <c r="AG552" i="4"/>
  <c r="AG711" i="4"/>
  <c r="AM615" i="4"/>
  <c r="AG359" i="4"/>
  <c r="AM31" i="4"/>
  <c r="AG300" i="4"/>
  <c r="AM4" i="4"/>
  <c r="AM35" i="4"/>
  <c r="AG165" i="4"/>
  <c r="AM459" i="4"/>
  <c r="AM786" i="4"/>
  <c r="AG921" i="4"/>
  <c r="AG409" i="4"/>
  <c r="AG52" i="4"/>
  <c r="AG322" i="4"/>
  <c r="AM57" i="4"/>
  <c r="AM327" i="4"/>
  <c r="AM486" i="4"/>
  <c r="AM763" i="4"/>
  <c r="AM539" i="4"/>
  <c r="AG849" i="4"/>
  <c r="AM856" i="4"/>
  <c r="AM504" i="4"/>
  <c r="AG759" i="4"/>
  <c r="AG567" i="4"/>
  <c r="AM179" i="4"/>
  <c r="AM643" i="4"/>
  <c r="AM879" i="4"/>
  <c r="AM591" i="4"/>
  <c r="AM30" i="4"/>
  <c r="AM749" i="4"/>
  <c r="AM205" i="4"/>
  <c r="AM499" i="4"/>
  <c r="AG275" i="4"/>
  <c r="AM666" i="4"/>
  <c r="AG33" i="4"/>
  <c r="AM418" i="4"/>
  <c r="AM552" i="4"/>
  <c r="AM711" i="4"/>
  <c r="AM359" i="4"/>
  <c r="AG3" i="4"/>
  <c r="AG722" i="4"/>
  <c r="AG854" i="4"/>
  <c r="AG502" i="4"/>
  <c r="AG331" i="4"/>
  <c r="AG601" i="4"/>
  <c r="AG505" i="4"/>
  <c r="AG150" i="4"/>
  <c r="AG306" i="4"/>
  <c r="AM672" i="4"/>
  <c r="AM384" i="4"/>
  <c r="AM242" i="4"/>
  <c r="AM199" i="4"/>
  <c r="AG94" i="4"/>
  <c r="AG332" i="4"/>
  <c r="AM197" i="4"/>
  <c r="AM870" i="4"/>
  <c r="AM582" i="4"/>
  <c r="AG820" i="4"/>
  <c r="AG724" i="4"/>
  <c r="AM859" i="4"/>
  <c r="AM667" i="4"/>
  <c r="AG376" i="4"/>
  <c r="AM759" i="4"/>
  <c r="AG663" i="4"/>
  <c r="AM567" i="4"/>
  <c r="AG382" i="4"/>
  <c r="AG930" i="4"/>
  <c r="AG738" i="4"/>
  <c r="AM777" i="4"/>
  <c r="AM617" i="4"/>
  <c r="AG329" i="4"/>
  <c r="AM104" i="4"/>
  <c r="AM222" i="4"/>
  <c r="AG639" i="4"/>
  <c r="AG437" i="4"/>
  <c r="AG915" i="4"/>
  <c r="AG787" i="4"/>
  <c r="AM691" i="4"/>
  <c r="AG848" i="4"/>
  <c r="AG752" i="4"/>
  <c r="AG560" i="4"/>
  <c r="AM464" i="4"/>
  <c r="AM515" i="4"/>
  <c r="AM419" i="4"/>
  <c r="AM323" i="4"/>
  <c r="AM227" i="4"/>
  <c r="AM810" i="4"/>
  <c r="AM682" i="4"/>
  <c r="AM689" i="4"/>
  <c r="AM369" i="4"/>
  <c r="AM273" i="4"/>
  <c r="AG768" i="4"/>
  <c r="AM94" i="4"/>
  <c r="AM332" i="4"/>
  <c r="AM895" i="4"/>
  <c r="AM742" i="4"/>
  <c r="AG646" i="4"/>
  <c r="AM454" i="4"/>
  <c r="AG916" i="4"/>
  <c r="AM724" i="4"/>
  <c r="AM628" i="4"/>
  <c r="AG827" i="4"/>
  <c r="AG731" i="4"/>
  <c r="AG49" i="4"/>
  <c r="AM696" i="4"/>
  <c r="AG568" i="4"/>
  <c r="AM376" i="4"/>
  <c r="AM663" i="4"/>
  <c r="AM382" i="4"/>
  <c r="AM147" i="4"/>
  <c r="AM51" i="4"/>
  <c r="AM750" i="4"/>
  <c r="AM899" i="4"/>
  <c r="AM754" i="4"/>
  <c r="AG831" i="4"/>
  <c r="AG59" i="4"/>
  <c r="AG821" i="4"/>
  <c r="AG533" i="4"/>
  <c r="AG379" i="4"/>
  <c r="AM834" i="4"/>
  <c r="AG873" i="4"/>
  <c r="AM329" i="4"/>
  <c r="AM169" i="4"/>
  <c r="AG73" i="4"/>
  <c r="AG600" i="4"/>
  <c r="AG222" i="4"/>
  <c r="AG261" i="4"/>
  <c r="AG423" i="4"/>
  <c r="AG670" i="4"/>
  <c r="AM876" i="4"/>
  <c r="AM780" i="4"/>
  <c r="AM915" i="4"/>
  <c r="AM848" i="4"/>
  <c r="AM752" i="4"/>
  <c r="AM560" i="4"/>
  <c r="AG847" i="4"/>
  <c r="AG751" i="4"/>
  <c r="AM655" i="4"/>
  <c r="AG559" i="4"/>
  <c r="AM263" i="4"/>
  <c r="AM75" i="4"/>
  <c r="AM121" i="4"/>
  <c r="AG735" i="4"/>
  <c r="AM830" i="4"/>
  <c r="AM909" i="4"/>
  <c r="AM813" i="4"/>
  <c r="AM493" i="4"/>
  <c r="AG301" i="4"/>
  <c r="AM627" i="4"/>
  <c r="AG826" i="4"/>
  <c r="AG730" i="4"/>
  <c r="AG705" i="4"/>
  <c r="AM449" i="4"/>
  <c r="AM33" i="4"/>
  <c r="AM258" i="4"/>
  <c r="AG928" i="4"/>
  <c r="AM141" i="4"/>
  <c r="AG804" i="4"/>
  <c r="AG612" i="4"/>
  <c r="AG651" i="4"/>
  <c r="AM481" i="4"/>
  <c r="AM840" i="4"/>
  <c r="AG712" i="4"/>
  <c r="AG616" i="4"/>
  <c r="AM775" i="4"/>
  <c r="AM679" i="4"/>
  <c r="AM3" i="4"/>
  <c r="AM722" i="4"/>
  <c r="AG694" i="4"/>
  <c r="AG389" i="4"/>
  <c r="AM293" i="4"/>
  <c r="AM133" i="4"/>
  <c r="AG690" i="4"/>
  <c r="AM505" i="4"/>
  <c r="AM792" i="4"/>
  <c r="AM61" i="4"/>
  <c r="AM874" i="4"/>
  <c r="AM753" i="4"/>
  <c r="AM657" i="4"/>
  <c r="AM561" i="4"/>
  <c r="AM241" i="4"/>
  <c r="AM498" i="4"/>
  <c r="AM710" i="4"/>
  <c r="AM884" i="4"/>
  <c r="AM788" i="4"/>
  <c r="AG692" i="4"/>
  <c r="AM827" i="4"/>
  <c r="AG919" i="4"/>
  <c r="AM727" i="4"/>
  <c r="AM115" i="4"/>
  <c r="AM19" i="4"/>
  <c r="AG194" i="4"/>
  <c r="AG892" i="4"/>
  <c r="AM671" i="4"/>
  <c r="AG597" i="4"/>
  <c r="AM898" i="4"/>
  <c r="AG802" i="4"/>
  <c r="AM706" i="4"/>
  <c r="AM297" i="4"/>
  <c r="AG137" i="4"/>
  <c r="AG792" i="4"/>
  <c r="AM766" i="4"/>
  <c r="AG844" i="4"/>
  <c r="AM748" i="4"/>
  <c r="AM755" i="4"/>
  <c r="AM659" i="4"/>
  <c r="AG816" i="4"/>
  <c r="AM720" i="4"/>
  <c r="AM528" i="4"/>
  <c r="AM432" i="4"/>
  <c r="AG623" i="4"/>
  <c r="AM160" i="4"/>
  <c r="AG39" i="4"/>
  <c r="AG58" i="4"/>
  <c r="AG896" i="4"/>
  <c r="AM301" i="4"/>
  <c r="AM243" i="4"/>
  <c r="AM705" i="4"/>
  <c r="AG414" i="4"/>
  <c r="AM651" i="4"/>
  <c r="AG289" i="4"/>
  <c r="AM808" i="4"/>
  <c r="AG743" i="4"/>
  <c r="AG647" i="4"/>
  <c r="AM551" i="4"/>
  <c r="AM159" i="4"/>
  <c r="AM132" i="4"/>
  <c r="AM130" i="4"/>
  <c r="AG558" i="4"/>
  <c r="AM773" i="4"/>
  <c r="AG101" i="4"/>
  <c r="AM473" i="4"/>
  <c r="AG199" i="4"/>
  <c r="AG746" i="4"/>
  <c r="AM216" i="4"/>
  <c r="AG272" i="4"/>
  <c r="AG628" i="4"/>
  <c r="AG504" i="4"/>
  <c r="AG654" i="4"/>
  <c r="AG526" i="4"/>
  <c r="AG925" i="4"/>
  <c r="AG573" i="4"/>
  <c r="AG317" i="4"/>
  <c r="AG483" i="4"/>
  <c r="AG714" i="4"/>
  <c r="AG753" i="4"/>
  <c r="AG657" i="4"/>
  <c r="AG401" i="4"/>
  <c r="AG241" i="4"/>
  <c r="AG864" i="4"/>
  <c r="AG672" i="4"/>
  <c r="AG8" i="4"/>
  <c r="AG76" i="4"/>
  <c r="AG764" i="4"/>
  <c r="AG153" i="4"/>
  <c r="AG895" i="4"/>
  <c r="AG788" i="4"/>
  <c r="AG859" i="4"/>
  <c r="AG763" i="4"/>
  <c r="AG571" i="4"/>
  <c r="AG906" i="4"/>
  <c r="AG791" i="4"/>
  <c r="AG535" i="4"/>
  <c r="AG147" i="4"/>
  <c r="AG671" i="4"/>
  <c r="AG917" i="4"/>
  <c r="AG661" i="4"/>
  <c r="AG507" i="4"/>
  <c r="AG411" i="4"/>
  <c r="AG706" i="4"/>
  <c r="AG777" i="4"/>
  <c r="AG297" i="4"/>
  <c r="AG169" i="4"/>
  <c r="AM310" i="4"/>
  <c r="AG707" i="4"/>
  <c r="AG338" i="4"/>
  <c r="AG734" i="4"/>
  <c r="AG574" i="4"/>
  <c r="AG341" i="4"/>
  <c r="AG149" i="4"/>
  <c r="AG21" i="4"/>
  <c r="AG684" i="4"/>
  <c r="AG649" i="4"/>
  <c r="AG912" i="4"/>
  <c r="AG656" i="4"/>
  <c r="AG400" i="4"/>
  <c r="AG911" i="4"/>
  <c r="AG655" i="4"/>
  <c r="AG304" i="4"/>
  <c r="AM626" i="4"/>
  <c r="AG75" i="4"/>
  <c r="AG203" i="4"/>
  <c r="AG894" i="4"/>
  <c r="AG909" i="4"/>
  <c r="AG813" i="4"/>
  <c r="AG557" i="4"/>
  <c r="AG467" i="4"/>
  <c r="AG890" i="4"/>
  <c r="AG65" i="4"/>
  <c r="AG12" i="4"/>
  <c r="AG258" i="4"/>
  <c r="AG835" i="4"/>
  <c r="AG470" i="4"/>
  <c r="AG141" i="4"/>
  <c r="AG555" i="4"/>
  <c r="AG872" i="4"/>
  <c r="AG807" i="4"/>
  <c r="AG551" i="4"/>
  <c r="AG380" i="4"/>
  <c r="AG268" i="4"/>
  <c r="AG35" i="4"/>
  <c r="AG516" i="4"/>
  <c r="AG910" i="4"/>
  <c r="AG494" i="4"/>
  <c r="AG598" i="4"/>
  <c r="AG869" i="4"/>
  <c r="AG485" i="4"/>
  <c r="AG293" i="4"/>
  <c r="AG459" i="4"/>
  <c r="AG363" i="4"/>
  <c r="AG914" i="4"/>
  <c r="AG786" i="4"/>
  <c r="AG658" i="4"/>
  <c r="AG793" i="4"/>
  <c r="AG697" i="4"/>
  <c r="AG441" i="4"/>
  <c r="AM362" i="4"/>
  <c r="AM52" i="4"/>
  <c r="AG700" i="4"/>
  <c r="AG323" i="4"/>
  <c r="AG887" i="4"/>
  <c r="AM338" i="4"/>
  <c r="AM380" i="4"/>
  <c r="AM516" i="4"/>
  <c r="AG576" i="4"/>
  <c r="AG197" i="4"/>
  <c r="AG631" i="4"/>
  <c r="AG733" i="4"/>
  <c r="AG637" i="4"/>
  <c r="AG381" i="4"/>
  <c r="AG817" i="4"/>
  <c r="AG95" i="4"/>
  <c r="AG234" i="4"/>
  <c r="AM8" i="4"/>
  <c r="AG924" i="4"/>
  <c r="AG838" i="4"/>
  <c r="AG852" i="4"/>
  <c r="AG113" i="4"/>
  <c r="AG664" i="4"/>
  <c r="AG855" i="4"/>
  <c r="AG599" i="4"/>
  <c r="AG210" i="4"/>
  <c r="AG66" i="4"/>
  <c r="AG140" i="4"/>
  <c r="AG754" i="4"/>
  <c r="AG416" i="4"/>
  <c r="AG725" i="4"/>
  <c r="AG770" i="4"/>
  <c r="AG841" i="4"/>
  <c r="AG585" i="4"/>
  <c r="AG489" i="4"/>
  <c r="AG888" i="4"/>
  <c r="AG728" i="4"/>
  <c r="AG391" i="4"/>
  <c r="AM116" i="4"/>
  <c r="AG236" i="4"/>
  <c r="AG62" i="4"/>
  <c r="AG926" i="4"/>
  <c r="AG638" i="4"/>
  <c r="AG405" i="4"/>
  <c r="AG748" i="4"/>
  <c r="AG595" i="4"/>
  <c r="AG905" i="4"/>
  <c r="AG745" i="4"/>
  <c r="AG720" i="4"/>
  <c r="AG464" i="4"/>
  <c r="AG719" i="4"/>
  <c r="AG508" i="4"/>
  <c r="AG288" i="4"/>
  <c r="AG84" i="4"/>
  <c r="AG126" i="4"/>
  <c r="AG406" i="4"/>
  <c r="AG190" i="4"/>
  <c r="AG478" i="4"/>
  <c r="AG173" i="4"/>
  <c r="AG45" i="4"/>
  <c r="AG531" i="4"/>
  <c r="AG698" i="4"/>
  <c r="AG158" i="4"/>
  <c r="AG260" i="4"/>
  <c r="AG644" i="4"/>
  <c r="AG584" i="4"/>
  <c r="AG871" i="4"/>
  <c r="AG615" i="4"/>
  <c r="AG130" i="4"/>
  <c r="AG703" i="4"/>
  <c r="AG108" i="4"/>
  <c r="AG933" i="4"/>
  <c r="AG69" i="4"/>
  <c r="AG836" i="4"/>
  <c r="AG103" i="4"/>
  <c r="AG354" i="4"/>
  <c r="AG482" i="4"/>
  <c r="AG765" i="4"/>
  <c r="AG884" i="4"/>
  <c r="AG295" i="4"/>
  <c r="AM110" i="4"/>
  <c r="AG541" i="4"/>
  <c r="AG874" i="4"/>
  <c r="AG682" i="4"/>
  <c r="AG625" i="4"/>
  <c r="AG369" i="4"/>
  <c r="AG832" i="4"/>
  <c r="AG242" i="4"/>
  <c r="AM234" i="4"/>
  <c r="AG25" i="4"/>
  <c r="AG636" i="4"/>
  <c r="AG607" i="4"/>
  <c r="AG742" i="4"/>
  <c r="AG486" i="4"/>
  <c r="AG539" i="4"/>
  <c r="AM210" i="4"/>
  <c r="AG115" i="4"/>
  <c r="AG543" i="4"/>
  <c r="AG885" i="4"/>
  <c r="AG629" i="4"/>
  <c r="AG181" i="4"/>
  <c r="AG53" i="4"/>
  <c r="AG603" i="4"/>
  <c r="AG475" i="4"/>
  <c r="AG542" i="4"/>
  <c r="AM508" i="4"/>
  <c r="AM288" i="4"/>
  <c r="AM84" i="4"/>
  <c r="AG396" i="4"/>
  <c r="AM406" i="4"/>
  <c r="AG877" i="4"/>
  <c r="AG269" i="4"/>
  <c r="AG435" i="4"/>
  <c r="AG858" i="4"/>
  <c r="AM260" i="4"/>
  <c r="AG775" i="4"/>
  <c r="AG519" i="4"/>
  <c r="AG318" i="4"/>
  <c r="AG132" i="4"/>
  <c r="AG796" i="4"/>
  <c r="AG736" i="4"/>
  <c r="AG662" i="4"/>
  <c r="AG837" i="4"/>
  <c r="AG882" i="4"/>
  <c r="AG761" i="4"/>
  <c r="AG356" i="4"/>
  <c r="AM306" i="4"/>
  <c r="AG246" i="4"/>
  <c r="AG122" i="4"/>
  <c r="AG253" i="4"/>
  <c r="AG814" i="4"/>
  <c r="AG701" i="4"/>
  <c r="AG445" i="4"/>
  <c r="AG259" i="4"/>
  <c r="AG529" i="4"/>
  <c r="AG273" i="4"/>
  <c r="AG891" i="4"/>
  <c r="AG635" i="4"/>
  <c r="AG16" i="4"/>
  <c r="AG19" i="4"/>
  <c r="AG643" i="4"/>
  <c r="AG283" i="4"/>
  <c r="AG809" i="4"/>
  <c r="AG41" i="4"/>
  <c r="AG192" i="4"/>
  <c r="AG254" i="4"/>
  <c r="AG187" i="4"/>
  <c r="AG702" i="4"/>
  <c r="AG469" i="4"/>
  <c r="AG213" i="4"/>
  <c r="AG85" i="4"/>
  <c r="AG812" i="4"/>
  <c r="AG691" i="4"/>
  <c r="AG265" i="4"/>
  <c r="AG784" i="4"/>
  <c r="AG528" i="4"/>
  <c r="AG783" i="4"/>
  <c r="AG527" i="4"/>
  <c r="AG160" i="4"/>
  <c r="AM219" i="4"/>
  <c r="AG428" i="4"/>
  <c r="AG739" i="4"/>
  <c r="AG685" i="4"/>
  <c r="AG493" i="4"/>
  <c r="AG365" i="4"/>
  <c r="AG819" i="4"/>
  <c r="AG627" i="4"/>
  <c r="AG339" i="4"/>
  <c r="AG243" i="4"/>
  <c r="AG762" i="4"/>
  <c r="AG929" i="4"/>
  <c r="AG577" i="4"/>
  <c r="AG385" i="4"/>
  <c r="AG193" i="4"/>
  <c r="AG336" i="4"/>
  <c r="AG185" i="4"/>
  <c r="AG822" i="4"/>
  <c r="AG900" i="4"/>
  <c r="AG708" i="4"/>
  <c r="AG683" i="4"/>
  <c r="AG833" i="4"/>
  <c r="AG673" i="4"/>
  <c r="AG481" i="4"/>
  <c r="AG840" i="4"/>
  <c r="AG648" i="4"/>
  <c r="AG392" i="4"/>
  <c r="AG679" i="4"/>
  <c r="AG7" i="4"/>
  <c r="AG163" i="4"/>
  <c r="AG462" i="4"/>
  <c r="AG675" i="4"/>
  <c r="AG448" i="4"/>
  <c r="AG918" i="4"/>
  <c r="AG726" i="4"/>
  <c r="AG741" i="4"/>
  <c r="AG645" i="4"/>
  <c r="AG421" i="4"/>
  <c r="AG229" i="4"/>
  <c r="AG133" i="4"/>
  <c r="AG235" i="4"/>
  <c r="AG569" i="4"/>
  <c r="AG313" i="4"/>
  <c r="AG776" i="4"/>
  <c r="AG554" i="4"/>
  <c r="AG231" i="4"/>
  <c r="AG22" i="4"/>
  <c r="AG818" i="4"/>
  <c r="AG767" i="4"/>
  <c r="AM246" i="4"/>
  <c r="AG605" i="4"/>
  <c r="AG349" i="4"/>
  <c r="AG93" i="4"/>
  <c r="AG689" i="4"/>
  <c r="AG433" i="4"/>
  <c r="AG806" i="4"/>
  <c r="AG550" i="4"/>
  <c r="AG795" i="4"/>
  <c r="AG216" i="4"/>
  <c r="AG179" i="4"/>
  <c r="AG750" i="4"/>
  <c r="AG110" i="4"/>
  <c r="AG443" i="4"/>
  <c r="AG898" i="4"/>
  <c r="AG766" i="4"/>
  <c r="AG755" i="4"/>
  <c r="AG681" i="4"/>
  <c r="AG144" i="4"/>
  <c r="AG107" i="4"/>
  <c r="AG121" i="4"/>
  <c r="AG123" i="4"/>
  <c r="AG589" i="4"/>
  <c r="AG97" i="4"/>
  <c r="AG843" i="4"/>
  <c r="AG587" i="4"/>
  <c r="AG176" i="4"/>
  <c r="AG67" i="4"/>
  <c r="AG630" i="4"/>
  <c r="AG549" i="4"/>
  <c r="AG325" i="4"/>
  <c r="AG395" i="4"/>
  <c r="AG729" i="4"/>
  <c r="AG473" i="4"/>
  <c r="AG80" i="4"/>
  <c r="AG27" i="4"/>
  <c r="AG923" i="4"/>
  <c r="AG310" i="4"/>
  <c r="AG862" i="4"/>
  <c r="AG851" i="4"/>
  <c r="AG11" i="4"/>
  <c r="AG205" i="4"/>
  <c r="AG641" i="4"/>
  <c r="AG449" i="4"/>
  <c r="AG257" i="4"/>
  <c r="AG461" i="4"/>
  <c r="AG333" i="4"/>
  <c r="AG801" i="4"/>
  <c r="AG808" i="4"/>
  <c r="AG790" i="4"/>
  <c r="AG534" i="4"/>
  <c r="AG709" i="4"/>
  <c r="AG299" i="4"/>
  <c r="AG633" i="4"/>
  <c r="AG377" i="4"/>
</calcChain>
</file>

<file path=xl/sharedStrings.xml><?xml version="1.0" encoding="utf-8"?>
<sst xmlns="http://schemas.openxmlformats.org/spreadsheetml/2006/main" count="14983" uniqueCount="2807">
  <si>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</si>
  <si>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</si>
  <si>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</si>
  <si>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</si>
  <si>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</si>
  <si>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</si>
  <si>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</si>
  <si>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</si>
  <si>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</si>
  <si>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</si>
  <si>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</si>
  <si>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</si>
  <si>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</si>
  <si>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</si>
  <si>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</si>
  <si>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</si>
  <si>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</si>
  <si>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</si>
  <si>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</si>
  <si>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</si>
  <si>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</si>
  <si>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</si>
  <si>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</si>
  <si>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</si>
  <si>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</si>
  <si>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</si>
  <si>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</si>
  <si>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</si>
  <si>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</si>
  <si>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</si>
  <si>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</si>
  <si>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</si>
  <si>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</si>
  <si>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</si>
  <si>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</si>
  <si>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</si>
  <si>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</si>
  <si>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</si>
  <si>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</si>
  <si>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</si>
  <si>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</si>
  <si>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</si>
  <si>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</si>
  <si>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</si>
  <si>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</si>
  <si>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</si>
  <si>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</si>
  <si>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</si>
  <si>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</si>
  <si>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</si>
  <si>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</si>
  <si>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</si>
  <si>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</si>
  <si>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</si>
  <si>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</si>
  <si>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</si>
  <si>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</si>
  <si>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</si>
  <si>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</si>
  <si>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</si>
  <si>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</si>
  <si>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</si>
  <si>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</si>
  <si>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</si>
  <si>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</si>
  <si>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</si>
  <si>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</si>
  <si>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</si>
  <si>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</si>
  <si>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</si>
  <si>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</si>
  <si>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</si>
  <si>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</si>
  <si>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</si>
  <si>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</si>
  <si>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</si>
  <si>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</si>
  <si>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</si>
  <si>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</si>
  <si>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</si>
  <si>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</si>
  <si>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</si>
  <si>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</si>
  <si>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</si>
  <si>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</si>
  <si>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</si>
  <si>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</si>
  <si>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</si>
  <si>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</si>
  <si>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</si>
  <si>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</si>
  <si>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</si>
  <si>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</si>
  <si>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</si>
  <si>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</si>
  <si>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</si>
  <si>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</si>
  <si>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</si>
  <si>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</si>
  <si>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</si>
  <si>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</si>
  <si>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</si>
  <si>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</si>
  <si>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</si>
  <si>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</si>
  <si>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</si>
  <si>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</si>
  <si>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</si>
  <si>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</si>
  <si>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</si>
  <si>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</si>
  <si>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</si>
  <si>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</si>
  <si>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</si>
  <si>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</si>
  <si>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</si>
  <si>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</si>
  <si>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</si>
  <si>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</si>
  <si>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</si>
  <si>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</si>
  <si>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</si>
  <si>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</si>
  <si>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</si>
  <si>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</si>
  <si>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</si>
  <si>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</si>
  <si>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</si>
  <si>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</si>
  <si>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</si>
  <si>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</si>
  <si>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</si>
  <si>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</si>
  <si>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</si>
  <si>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</si>
  <si>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</si>
  <si>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</si>
  <si>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</si>
  <si>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</si>
  <si>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</si>
  <si>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</si>
  <si>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</si>
  <si>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</si>
  <si>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</si>
  <si>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</si>
  <si>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</si>
  <si>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</si>
  <si>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</si>
  <si>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</si>
  <si>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</si>
  <si>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</si>
  <si>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</si>
  <si>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</si>
  <si>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</si>
  <si>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</si>
  <si>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</si>
  <si>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</si>
  <si>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</si>
  <si>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</si>
  <si>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</si>
  <si>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</si>
  <si>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</si>
  <si>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</si>
  <si>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</si>
  <si>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</si>
  <si>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</si>
  <si>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</si>
  <si>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</si>
  <si>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</si>
  <si>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</si>
  <si>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</si>
  <si>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</si>
  <si>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</si>
  <si>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</si>
  <si>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</si>
  <si>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</si>
  <si>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</si>
  <si>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</si>
  <si>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</si>
  <si>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</si>
  <si>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</si>
  <si>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</si>
  <si>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</si>
  <si>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</si>
  <si>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</si>
  <si>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</si>
  <si>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</si>
  <si>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</si>
  <si>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</si>
  <si>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</si>
  <si>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</si>
  <si>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</si>
  <si>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</si>
  <si>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</si>
  <si>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</si>
  <si>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</si>
  <si>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</si>
  <si>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</si>
  <si>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</si>
  <si>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</si>
  <si>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</si>
  <si>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</si>
  <si>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</si>
  <si>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</si>
  <si>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</si>
  <si>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</si>
  <si>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</si>
  <si>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</si>
  <si>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</si>
  <si>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</si>
  <si>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</si>
  <si>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</si>
  <si>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</si>
  <si>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</si>
  <si>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</si>
  <si>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</si>
  <si>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</si>
  <si>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</si>
  <si>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</si>
  <si>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</si>
  <si>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</si>
  <si>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</si>
  <si>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</si>
  <si>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</si>
  <si>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</si>
  <si>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</si>
  <si>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</si>
  <si>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</si>
  <si>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</si>
  <si>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</si>
  <si>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</si>
  <si>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</si>
  <si>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</si>
  <si>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</si>
  <si>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</si>
  <si>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</si>
  <si>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</si>
  <si>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</si>
  <si>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</si>
  <si>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</si>
  <si>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</si>
  <si>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</si>
  <si>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</si>
  <si>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</si>
  <si>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</si>
  <si>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</si>
  <si>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</si>
  <si>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</si>
  <si>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</si>
  <si>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</si>
  <si>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</si>
  <si>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</si>
  <si>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</si>
  <si>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</si>
  <si>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</si>
  <si>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</si>
  <si>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</si>
  <si>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</si>
  <si>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</si>
  <si>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</si>
  <si>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</si>
  <si>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</si>
  <si>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</si>
  <si>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</si>
  <si>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</si>
  <si>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</si>
  <si>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</si>
  <si>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</si>
  <si>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</si>
  <si>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</si>
  <si>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</si>
  <si>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</si>
  <si>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</si>
  <si>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</si>
  <si>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</si>
  <si>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</si>
  <si>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</si>
  <si>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</si>
  <si>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</si>
  <si>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</si>
  <si>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</si>
  <si>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</si>
  <si>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</si>
  <si>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</si>
  <si>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</si>
  <si>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</si>
  <si>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</si>
  <si>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</si>
  <si>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</si>
  <si>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</si>
  <si>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</si>
  <si>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</si>
  <si>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</si>
  <si>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</si>
  <si>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</si>
  <si>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</si>
  <si>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</si>
  <si>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</si>
  <si>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</si>
  <si>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</si>
  <si>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</si>
  <si>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</si>
  <si>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</si>
  <si>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</si>
  <si>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</si>
  <si>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</si>
  <si>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</si>
  <si>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</si>
  <si>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</si>
  <si>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</si>
  <si>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</si>
  <si>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</si>
  <si>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</si>
  <si>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</si>
  <si>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</si>
  <si>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</si>
  <si>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</si>
  <si>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</si>
  <si>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</si>
  <si>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</si>
  <si>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</si>
  <si>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</si>
  <si>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</si>
  <si>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</si>
  <si>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</si>
  <si>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</si>
  <si>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</si>
  <si>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</si>
  <si>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</si>
  <si>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</si>
  <si>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</si>
  <si>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</si>
  <si>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</si>
  <si>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</si>
  <si>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</si>
  <si>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</si>
  <si>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</si>
  <si>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</si>
  <si>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</si>
  <si>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</si>
  <si>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</si>
  <si>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</si>
  <si>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</si>
  <si>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</si>
  <si>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</si>
  <si>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</si>
  <si>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</si>
  <si>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</si>
  <si>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</si>
  <si>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</si>
  <si>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</si>
  <si>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</si>
  <si>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</si>
  <si>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</si>
  <si>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</si>
  <si>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</si>
  <si>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</si>
  <si>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</si>
  <si>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</si>
  <si>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</si>
  <si>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</si>
  <si>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</si>
  <si>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</si>
  <si>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</si>
  <si>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</si>
  <si>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</si>
  <si>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</si>
  <si>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</si>
  <si>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</si>
  <si>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</si>
  <si>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</si>
  <si>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</si>
  <si>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</si>
  <si>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</si>
  <si>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</si>
  <si>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</si>
  <si>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</si>
  <si>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</si>
  <si>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</si>
  <si>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</si>
  <si>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</si>
  <si>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</si>
  <si>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</si>
  <si>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</si>
  <si>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</si>
  <si>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</si>
  <si>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</si>
  <si>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</si>
  <si>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</si>
  <si>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</si>
  <si>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</si>
  <si>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</si>
  <si>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</si>
  <si>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</si>
  <si>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</si>
  <si>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</si>
  <si>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</si>
  <si>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</si>
  <si>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</si>
  <si>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</si>
  <si>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</si>
  <si>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</si>
  <si>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</si>
  <si>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</si>
  <si>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</si>
  <si>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</si>
  <si>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</si>
  <si>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</si>
  <si>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</si>
  <si>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</si>
  <si>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</si>
  <si>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</si>
  <si>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</si>
  <si>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</si>
  <si>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</si>
  <si>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</si>
  <si>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</si>
  <si>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</si>
  <si>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</si>
  <si>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</si>
  <si>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</si>
  <si>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</si>
  <si>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</si>
  <si>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</si>
  <si>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</si>
  <si>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</si>
  <si>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</si>
  <si>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</si>
  <si>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</si>
  <si>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</si>
  <si>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</si>
  <si>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</si>
  <si>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</si>
  <si>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</si>
  <si>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</si>
  <si>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</si>
  <si>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</si>
  <si>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</si>
  <si>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</si>
  <si>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</si>
  <si>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</si>
  <si>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</si>
  <si>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</si>
  <si>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</si>
  <si>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</si>
  <si>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</si>
  <si>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</si>
  <si>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</si>
  <si>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</si>
  <si>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</si>
  <si>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</si>
  <si>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</si>
  <si>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</si>
  <si>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</si>
  <si>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</si>
  <si>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</si>
  <si>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</si>
  <si>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</si>
  <si>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</si>
  <si>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</si>
  <si>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</si>
  <si>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</si>
  <si>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</si>
  <si>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</si>
  <si>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</si>
  <si>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</si>
  <si>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</si>
  <si>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</si>
  <si>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</si>
  <si>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</si>
  <si>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</si>
  <si>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</si>
  <si>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</si>
  <si>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</si>
  <si>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</si>
  <si>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</si>
  <si>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</si>
  <si>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</si>
  <si>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</si>
  <si>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</si>
  <si>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</si>
  <si>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</si>
  <si>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</si>
  <si>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</si>
  <si>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</si>
  <si>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</si>
  <si>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</si>
  <si>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</si>
  <si>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</si>
  <si>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</si>
  <si>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</si>
  <si>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</si>
  <si>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</si>
  <si>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</si>
  <si>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</si>
  <si>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</si>
  <si>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</si>
  <si>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</si>
  <si>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</si>
  <si>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</si>
  <si>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</si>
  <si>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</si>
  <si>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</si>
  <si>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</si>
  <si>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</si>
  <si>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</si>
  <si>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</si>
  <si>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</si>
  <si>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</si>
  <si>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</si>
  <si>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</si>
  <si>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</si>
  <si>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</si>
  <si>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</si>
  <si>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</si>
  <si>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</si>
  <si>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</si>
  <si>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</si>
  <si>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</si>
  <si>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</si>
  <si>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</si>
  <si>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</si>
  <si>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</si>
  <si>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</si>
  <si>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</si>
  <si>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</si>
  <si>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</si>
  <si>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</si>
  <si>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</si>
  <si>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</si>
  <si>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</si>
  <si>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</si>
  <si>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</si>
  <si>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</si>
  <si>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</si>
  <si>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</si>
  <si>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</si>
  <si>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</si>
  <si>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</si>
  <si>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</si>
  <si>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</si>
  <si>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</si>
  <si>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</si>
  <si>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</si>
  <si>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</si>
  <si>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</si>
  <si>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</si>
  <si>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</si>
  <si>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</si>
  <si>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</si>
  <si>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</si>
  <si>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</si>
  <si>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</si>
  <si>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</si>
  <si>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</si>
  <si>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</si>
  <si>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</si>
  <si>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</si>
  <si>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</si>
  <si>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</si>
  <si>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</si>
  <si>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</si>
  <si>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</si>
  <si>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</si>
  <si>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</si>
  <si>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</si>
  <si>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</si>
  <si>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</si>
  <si>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</si>
  <si>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</si>
  <si>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</si>
  <si>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</si>
  <si>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</si>
  <si>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</si>
  <si>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</si>
  <si>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</si>
  <si>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</si>
  <si>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</si>
  <si>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</si>
  <si>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</si>
  <si>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</si>
  <si>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</si>
  <si>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</si>
  <si>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</si>
  <si>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</si>
  <si>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</si>
  <si>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</si>
  <si>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</si>
  <si>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</si>
  <si>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</si>
  <si>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</si>
  <si>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</si>
  <si>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</si>
  <si>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</si>
  <si>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</si>
  <si>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</si>
  <si>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</si>
  <si>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</si>
  <si>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</si>
  <si>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</si>
  <si>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</si>
  <si>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</si>
  <si>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</si>
  <si>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</si>
  <si>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</si>
  <si>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</si>
  <si>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</si>
  <si>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</si>
  <si>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</si>
  <si>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</si>
  <si>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</si>
  <si>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</si>
  <si>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</si>
  <si>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</si>
  <si>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</si>
  <si>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</si>
  <si>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</si>
  <si>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</si>
  <si>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</si>
  <si>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</si>
  <si>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</si>
  <si>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</si>
  <si>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</si>
  <si>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</si>
  <si>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</si>
  <si>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</si>
  <si>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</si>
  <si>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</si>
  <si>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</si>
  <si>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</si>
  <si>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</si>
  <si>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</si>
  <si>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</si>
  <si>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</si>
  <si>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</si>
  <si>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</si>
  <si>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</si>
  <si>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</si>
  <si>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</si>
  <si>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</si>
  <si>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</si>
  <si>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</si>
  <si>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</si>
  <si>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</si>
  <si>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</si>
  <si>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</si>
  <si>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</si>
  <si>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</si>
  <si>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</si>
  <si>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</si>
  <si>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</si>
  <si>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</si>
  <si>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</si>
  <si>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</si>
  <si>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</si>
  <si>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</si>
  <si>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</si>
  <si>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</si>
  <si>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</si>
  <si>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</si>
  <si>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</si>
  <si>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</si>
  <si>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</si>
  <si>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</si>
  <si>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</si>
  <si>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</si>
  <si>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</si>
  <si>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</si>
  <si>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</si>
  <si>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</si>
  <si>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</si>
  <si>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</si>
  <si>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</si>
  <si>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</si>
  <si>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</si>
  <si>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</si>
  <si>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</si>
  <si>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</si>
  <si>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</si>
  <si>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</si>
  <si>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</si>
  <si>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</si>
  <si>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</si>
  <si>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</si>
  <si>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</si>
  <si>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</si>
  <si>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</si>
  <si>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</si>
  <si>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</si>
  <si>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</si>
  <si>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</si>
  <si>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</si>
  <si>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</si>
  <si>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</si>
  <si>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</si>
  <si>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</si>
  <si>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</si>
  <si>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</si>
  <si>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</si>
  <si>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</si>
  <si>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</si>
  <si>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</si>
  <si>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</si>
  <si>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</si>
  <si>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</si>
  <si>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</si>
  <si>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</si>
  <si>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</si>
  <si>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</si>
  <si>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</si>
  <si>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</si>
  <si>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</si>
  <si>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</si>
  <si>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</si>
  <si>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</si>
  <si>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</si>
  <si>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</si>
  <si>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</si>
  <si>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</si>
  <si>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</si>
  <si>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</si>
  <si>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</si>
  <si>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</si>
  <si>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</si>
  <si>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</si>
  <si>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</si>
  <si>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</si>
  <si>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</si>
  <si>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</si>
  <si>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</si>
  <si>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</si>
  <si>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</si>
  <si>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</si>
  <si>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</si>
  <si>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</si>
  <si>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</si>
  <si>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</si>
  <si>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</si>
  <si>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</si>
  <si>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</si>
  <si>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</si>
  <si>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</si>
  <si>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</si>
  <si>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</si>
  <si>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</si>
  <si>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</si>
  <si>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</si>
  <si>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</si>
  <si>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</si>
  <si>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</si>
  <si>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</si>
  <si>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</si>
  <si>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</si>
  <si>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</si>
  <si>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</si>
  <si>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</si>
  <si>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</si>
  <si>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</si>
  <si>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</si>
  <si>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</si>
  <si>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</si>
  <si>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</si>
  <si>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</si>
  <si>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</si>
  <si>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</si>
  <si>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</si>
  <si>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</si>
  <si>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</si>
  <si>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</si>
  <si>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</si>
  <si>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</si>
  <si>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</si>
  <si>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</si>
  <si>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</si>
  <si>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</si>
  <si>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</si>
  <si>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</si>
  <si>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</si>
  <si>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</si>
  <si>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</si>
  <si>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</si>
  <si>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</si>
  <si>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</si>
  <si>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</si>
  <si>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</si>
  <si>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</si>
  <si>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</si>
  <si>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</si>
  <si>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</si>
  <si>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</si>
  <si>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</si>
  <si>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</si>
  <si>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</si>
  <si>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</si>
  <si>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</si>
  <si>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</si>
  <si>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</si>
  <si>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</si>
  <si>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</si>
  <si>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</si>
  <si>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</si>
  <si>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</si>
  <si>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</si>
  <si>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</si>
  <si>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</si>
  <si>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</si>
  <si>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</si>
  <si>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</si>
  <si>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</si>
  <si>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</si>
  <si>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</si>
  <si>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</si>
  <si>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</si>
  <si>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</si>
  <si>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</si>
  <si>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</si>
  <si>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</si>
  <si>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</si>
  <si>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</si>
  <si>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</si>
  <si>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</si>
  <si>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</si>
  <si>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</si>
  <si>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</si>
  <si>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</si>
  <si>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</si>
  <si>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</si>
  <si>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</si>
  <si>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</si>
  <si>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</si>
  <si>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</si>
  <si>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</si>
  <si>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</si>
  <si>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</si>
  <si>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</si>
  <si>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</si>
  <si>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</si>
  <si>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</si>
  <si>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</si>
  <si>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</si>
  <si>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</si>
  <si>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</si>
  <si>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</si>
  <si>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</si>
  <si>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</si>
  <si>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</si>
  <si>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</si>
  <si>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</si>
  <si>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</si>
  <si>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</si>
  <si>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</si>
  <si>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</si>
  <si>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</si>
  <si>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</si>
  <si>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</si>
  <si>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</si>
  <si>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</si>
  <si>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</si>
  <si>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</si>
  <si>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</si>
  <si>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</si>
  <si>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</si>
  <si>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</si>
  <si>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</si>
  <si>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</si>
  <si>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</si>
  <si>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</si>
  <si>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</si>
  <si>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</si>
  <si>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</si>
  <si>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</si>
  <si>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</si>
  <si>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</si>
  <si>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</si>
  <si>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</si>
  <si>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</si>
  <si>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</si>
  <si>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</si>
  <si>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</si>
  <si>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</si>
  <si>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</si>
  <si>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</si>
  <si>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</si>
  <si>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</si>
  <si>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</si>
  <si>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</si>
  <si>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</si>
  <si>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</si>
  <si>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</si>
  <si>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</si>
  <si>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</si>
  <si>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</si>
  <si>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</si>
  <si>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</si>
  <si>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</si>
  <si>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</si>
  <si>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</si>
  <si>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</si>
  <si>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</si>
  <si>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</si>
  <si>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</si>
  <si>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</si>
  <si>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</si>
  <si>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</si>
  <si>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</si>
  <si>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</si>
  <si>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</si>
  <si>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</si>
  <si>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</si>
  <si>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</si>
  <si>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</si>
  <si>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</si>
  <si>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</si>
  <si>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</si>
  <si>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</si>
  <si>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</si>
  <si>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</si>
  <si>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</si>
  <si>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</si>
  <si>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</si>
  <si>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</si>
  <si>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</si>
  <si>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</si>
  <si>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</si>
  <si>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</si>
  <si>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</si>
  <si>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</si>
  <si>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</si>
  <si>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</si>
  <si>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</si>
  <si>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</si>
  <si>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</si>
  <si>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</si>
  <si>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</si>
  <si>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</si>
  <si>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</si>
  <si>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</si>
  <si>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</si>
  <si>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</si>
  <si>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</si>
  <si>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</si>
  <si>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</si>
  <si>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</si>
  <si>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</si>
  <si>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</si>
  <si>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</si>
  <si>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</si>
  <si>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</si>
  <si>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</si>
  <si>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</si>
  <si>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</si>
  <si>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</si>
  <si>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</si>
  <si>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</si>
  <si>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</si>
  <si>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</si>
  <si>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</si>
  <si>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</si>
  <si>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</si>
  <si>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</si>
  <si>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</si>
  <si>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</si>
  <si>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</si>
  <si>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</si>
  <si>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</si>
  <si>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</si>
  <si>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</si>
  <si>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</si>
  <si>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</si>
  <si>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</si>
  <si>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</si>
  <si>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</si>
  <si>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</si>
  <si>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</si>
  <si>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</si>
  <si>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</si>
  <si>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</si>
  <si>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</si>
  <si>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</si>
  <si>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</si>
  <si>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</si>
  <si>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</si>
  <si>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</si>
  <si>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</si>
  <si>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</si>
  <si>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</si>
  <si>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</si>
  <si>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</si>
  <si>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</si>
  <si>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</si>
  <si>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</si>
  <si>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</si>
  <si>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</si>
  <si>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</si>
  <si>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</si>
  <si>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</si>
  <si>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</si>
  <si>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</si>
  <si>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</si>
  <si>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</si>
  <si>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</si>
  <si>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</si>
  <si>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</si>
  <si>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</si>
  <si>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</si>
  <si>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</si>
  <si>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</si>
  <si>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</si>
  <si>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</si>
  <si>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</si>
  <si>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</si>
  <si>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</si>
  <si>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</si>
  <si>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</si>
  <si>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</si>
  <si>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</si>
  <si>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</si>
  <si>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</si>
  <si>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</si>
  <si>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</si>
  <si>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</si>
  <si>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</si>
  <si>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</si>
  <si>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</si>
  <si>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</si>
  <si>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</si>
  <si>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</si>
  <si>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</si>
  <si>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</si>
  <si>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</si>
  <si>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</si>
  <si>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</si>
  <si>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</si>
  <si>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</si>
  <si>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</si>
  <si>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</si>
  <si>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</si>
  <si>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</si>
  <si>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</si>
  <si>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</si>
  <si>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</si>
  <si>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</si>
  <si>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</si>
  <si>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</si>
  <si>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</si>
  <si>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</si>
  <si>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</si>
  <si>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</si>
  <si>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</si>
  <si>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</si>
  <si>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</si>
  <si>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</si>
  <si>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</si>
  <si>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</si>
  <si>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</si>
  <si>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</si>
  <si>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</si>
  <si>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</si>
  <si>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</si>
  <si>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</si>
  <si>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</si>
  <si>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</si>
  <si>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</si>
  <si>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</si>
  <si>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</si>
  <si>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</si>
  <si>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</si>
  <si>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</si>
  <si>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</si>
  <si>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</si>
  <si>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</si>
  <si>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</si>
  <si>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</si>
  <si>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</si>
  <si>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</si>
  <si>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</si>
  <si>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</si>
  <si>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</si>
  <si>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</si>
  <si>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</si>
  <si>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</si>
  <si>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</si>
  <si>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</si>
  <si>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</si>
  <si>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</si>
  <si>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</si>
  <si>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</si>
  <si>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</si>
  <si>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</si>
  <si>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</si>
  <si>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</si>
  <si>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</si>
  <si>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</si>
  <si>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</si>
  <si>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</si>
  <si>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</si>
  <si>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</si>
  <si>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</si>
  <si>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</si>
  <si>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</si>
  <si>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</si>
  <si>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</si>
  <si>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</si>
  <si>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</si>
  <si>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</si>
  <si>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</si>
  <si>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</si>
  <si>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</si>
  <si>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</si>
  <si>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</si>
  <si>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</si>
  <si>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</si>
  <si>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</si>
  <si>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</si>
  <si>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</si>
  <si>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</si>
  <si>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</si>
  <si>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</si>
  <si>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</si>
  <si>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</si>
  <si>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</si>
  <si>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</si>
  <si>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</si>
  <si>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</si>
  <si>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</si>
  <si>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</si>
  <si>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</si>
  <si>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</si>
  <si>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</si>
  <si>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</si>
  <si>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</si>
  <si>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</si>
  <si>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</si>
  <si>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</si>
  <si>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</si>
  <si>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</si>
  <si>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</si>
  <si>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</si>
  <si>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</si>
  <si>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</si>
  <si>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</si>
  <si>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</si>
  <si>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</si>
  <si>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</si>
  <si>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</si>
  <si>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</si>
  <si>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</si>
  <si>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</si>
  <si>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</si>
  <si>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</si>
  <si>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</si>
  <si>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</si>
  <si>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</si>
  <si>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</si>
  <si>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</si>
  <si>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</si>
  <si>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</si>
  <si>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</si>
  <si>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</si>
  <si>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</si>
  <si>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</si>
  <si>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</si>
  <si>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</si>
  <si>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</si>
  <si>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</si>
  <si>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</si>
  <si>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</si>
  <si>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</si>
  <si>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</si>
  <si>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</si>
  <si>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</si>
  <si>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</si>
  <si>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</si>
  <si>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</si>
  <si>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</si>
  <si>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</si>
  <si>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</si>
  <si>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</si>
  <si>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</si>
  <si>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</si>
  <si>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</si>
  <si>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</si>
  <si>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</si>
  <si>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</si>
  <si>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</si>
  <si>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</si>
  <si>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</si>
  <si>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</si>
  <si>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</si>
  <si>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</si>
  <si>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</si>
  <si>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</si>
  <si>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</si>
  <si>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</si>
  <si>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</si>
  <si>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</si>
  <si>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</si>
  <si>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</si>
  <si>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</si>
  <si>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</si>
  <si>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</si>
  <si>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</si>
  <si>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</si>
  <si>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</si>
  <si>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</si>
  <si>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</si>
  <si>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</si>
  <si>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</si>
  <si>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</si>
  <si>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</si>
  <si>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</si>
  <si>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</si>
  <si>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</si>
  <si>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</si>
  <si>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</si>
  <si>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</si>
  <si>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</si>
  <si>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</si>
  <si>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</si>
  <si>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</si>
  <si>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</si>
  <si>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</si>
  <si>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</si>
  <si>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</si>
  <si>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</si>
  <si>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</si>
  <si>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</si>
  <si>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</si>
  <si>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</si>
  <si>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</si>
  <si>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</si>
  <si>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</si>
  <si>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</si>
  <si>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</si>
  <si>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</si>
  <si>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</si>
  <si>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</si>
  <si>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</si>
  <si>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</si>
  <si>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</si>
  <si>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</si>
  <si>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</si>
  <si>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</si>
  <si>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</si>
  <si>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</si>
  <si>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</si>
  <si>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</si>
  <si>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</si>
  <si>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</si>
  <si>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</si>
  <si>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</si>
  <si>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</si>
  <si>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</si>
  <si>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</si>
  <si>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</si>
  <si>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</si>
  <si>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</si>
  <si>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</si>
  <si>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</si>
  <si>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</si>
  <si>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</si>
  <si>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</si>
  <si>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</si>
  <si>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</si>
  <si>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</si>
  <si>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</si>
  <si>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</si>
  <si>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</si>
  <si>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</si>
  <si>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</si>
  <si>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</si>
  <si>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</si>
  <si>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</si>
  <si>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</si>
  <si>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</si>
  <si>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</si>
  <si>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</si>
  <si>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</si>
  <si>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</si>
  <si>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</si>
  <si>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</si>
  <si>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</si>
  <si>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</si>
  <si>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</si>
  <si>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</si>
  <si>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</si>
  <si>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</si>
  <si>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</si>
  <si>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</si>
  <si>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</si>
  <si>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</si>
  <si>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</si>
  <si>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</si>
  <si>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</si>
  <si>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</si>
  <si>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</si>
  <si>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</si>
  <si>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</si>
  <si>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</si>
  <si>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</si>
  <si>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</si>
  <si>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</si>
  <si>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</si>
  <si>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</si>
  <si>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</si>
  <si>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</si>
  <si>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</si>
  <si>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</si>
  <si>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</si>
  <si>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</si>
  <si>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</si>
  <si>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</si>
  <si>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</si>
  <si>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</si>
  <si>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</si>
  <si>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</si>
  <si>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</si>
  <si>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</si>
  <si>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</si>
  <si>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</si>
  <si>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</si>
  <si>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</si>
  <si>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</si>
  <si>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</si>
  <si>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</si>
  <si>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</si>
  <si>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</si>
  <si>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</si>
  <si>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</si>
  <si>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</si>
  <si>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</si>
  <si>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</si>
  <si>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</si>
  <si>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</si>
  <si>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</si>
  <si>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</si>
  <si>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</si>
  <si>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</si>
  <si>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</si>
  <si>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</si>
  <si>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</si>
  <si>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</si>
  <si>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</si>
  <si>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</si>
  <si>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</si>
  <si>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</si>
  <si>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</si>
  <si>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</si>
  <si>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</si>
  <si>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</si>
  <si>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</si>
  <si>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</si>
  <si>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</si>
  <si>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</si>
  <si>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</si>
  <si>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</si>
  <si>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</si>
  <si>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</si>
  <si>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</si>
  <si>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</si>
  <si>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</si>
  <si>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</si>
  <si>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</si>
  <si>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</si>
  <si>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</si>
  <si>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</si>
  <si>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</si>
  <si>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</si>
  <si>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</si>
  <si>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</si>
  <si>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</si>
  <si>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</si>
  <si>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</si>
  <si>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</si>
  <si>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</si>
  <si>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</si>
  <si>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</si>
  <si>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</si>
  <si>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</si>
  <si>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</si>
  <si>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</si>
  <si>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</si>
  <si>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</si>
  <si>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</si>
  <si>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</si>
  <si>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</si>
  <si>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</si>
  <si>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</si>
  <si>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</si>
  <si>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</si>
  <si>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</si>
  <si>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</si>
  <si>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</si>
  <si>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</si>
  <si>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</si>
  <si>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</si>
  <si>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</si>
  <si>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</si>
  <si>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</si>
  <si>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</si>
  <si>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</si>
  <si>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</si>
  <si>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</si>
  <si>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</si>
  <si>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</si>
  <si>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</si>
  <si>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</si>
  <si>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</si>
  <si>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</si>
  <si>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</si>
  <si>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</si>
  <si>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</si>
  <si>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</si>
  <si>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</si>
  <si>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</si>
  <si>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</si>
  <si>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</si>
  <si>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</si>
  <si>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</si>
  <si>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</si>
  <si>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</si>
  <si>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</si>
  <si>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</si>
  <si>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</si>
  <si>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</si>
  <si>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</si>
  <si>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</si>
  <si>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</si>
  <si>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</si>
  <si>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</si>
  <si>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</si>
  <si>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</si>
  <si>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</si>
  <si>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</si>
  <si>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</si>
  <si>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</si>
  <si>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</si>
  <si>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</si>
  <si>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</si>
  <si>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</si>
  <si>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</si>
  <si>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</si>
  <si>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</si>
  <si>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</si>
  <si>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</si>
  <si>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</si>
  <si>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</si>
  <si>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</si>
  <si>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</si>
  <si>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</si>
  <si>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</si>
  <si>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</si>
  <si>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</si>
  <si>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</si>
  <si>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</si>
  <si>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</si>
  <si>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</si>
  <si>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</si>
  <si>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</si>
  <si>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</si>
  <si>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</si>
  <si>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</si>
  <si>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</si>
  <si>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</si>
  <si>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</si>
  <si>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</si>
  <si>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</si>
  <si>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</si>
  <si>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</si>
  <si>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</si>
  <si>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</si>
  <si>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</si>
  <si>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</si>
  <si>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</si>
  <si>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</si>
  <si>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</si>
  <si>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</si>
  <si>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</si>
  <si>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</si>
  <si>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</si>
  <si>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</si>
  <si>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</si>
  <si>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</si>
  <si>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</si>
  <si>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</si>
  <si>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</si>
  <si>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</si>
  <si>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</si>
  <si>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</si>
  <si>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</si>
  <si>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</si>
  <si>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</si>
  <si>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</si>
  <si>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</si>
  <si>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</si>
  <si>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</si>
  <si>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</si>
  <si>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</si>
  <si>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</si>
  <si>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</si>
  <si>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</si>
  <si>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</si>
  <si>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</si>
  <si>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</si>
  <si>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</si>
  <si>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</si>
  <si>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</si>
  <si>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</si>
  <si>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</si>
  <si>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</si>
  <si>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</si>
  <si>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</si>
  <si>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</si>
  <si>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</si>
  <si>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</si>
  <si>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</si>
  <si>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</si>
  <si>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</si>
  <si>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</si>
  <si>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</si>
  <si>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</si>
  <si>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</si>
  <si>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</si>
  <si>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</si>
  <si>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</si>
  <si>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</si>
  <si>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</si>
  <si>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</si>
  <si>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</si>
  <si>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</si>
  <si>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</si>
  <si>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</si>
  <si>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</si>
  <si>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</si>
  <si>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</si>
  <si>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</si>
  <si>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</si>
  <si>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</si>
  <si>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</si>
  <si>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</si>
  <si>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</si>
  <si>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</si>
  <si>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</si>
  <si>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</si>
  <si>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</si>
  <si>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</si>
  <si>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</si>
  <si>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</si>
  <si>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</si>
  <si>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</si>
  <si>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</si>
  <si>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</si>
  <si>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</si>
  <si>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</si>
  <si>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</si>
  <si>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</si>
  <si>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</si>
  <si>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</si>
  <si>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</si>
  <si>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</si>
  <si>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</si>
  <si>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</si>
  <si>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</si>
  <si>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</si>
  <si>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</si>
  <si>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</si>
  <si>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</si>
  <si>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</si>
  <si>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</si>
  <si>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</si>
  <si>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</si>
  <si>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</si>
  <si>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</si>
  <si>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</si>
  <si>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</si>
  <si>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</si>
  <si>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</si>
  <si>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</si>
  <si>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</si>
  <si>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</si>
  <si>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</si>
  <si>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</si>
  <si>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</si>
  <si>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</si>
  <si>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</si>
  <si>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</si>
  <si>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</si>
  <si>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</si>
  <si>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</si>
  <si>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</si>
  <si>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</si>
  <si>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</si>
  <si>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</si>
  <si>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</si>
  <si>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</si>
  <si>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</si>
  <si>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</si>
  <si>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</si>
  <si>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</si>
  <si>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</si>
  <si>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</si>
  <si>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</si>
  <si>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</si>
  <si>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</si>
  <si>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</si>
  <si>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</si>
  <si>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</si>
  <si>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</si>
  <si>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</si>
  <si>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</si>
  <si>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</si>
  <si>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</si>
  <si>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</si>
  <si>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</si>
  <si>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</si>
  <si>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</si>
  <si>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</si>
  <si>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</si>
  <si>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</si>
  <si>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</si>
  <si>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</si>
  <si>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</si>
  <si>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</si>
  <si>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</si>
  <si>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</si>
  <si>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</si>
  <si>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</si>
  <si>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</si>
  <si>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</si>
  <si>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</si>
  <si>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</si>
  <si>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</si>
  <si>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</si>
  <si>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</si>
  <si>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</si>
  <si>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</si>
  <si>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</si>
  <si>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</si>
  <si>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</si>
  <si>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</si>
  <si>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</si>
  <si>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</si>
  <si>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</si>
  <si>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</si>
  <si>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</si>
  <si>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</si>
  <si>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</si>
  <si>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</si>
  <si>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</si>
  <si>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</si>
  <si>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</si>
  <si>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</si>
  <si>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</si>
  <si>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</si>
  <si>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</si>
  <si>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</si>
  <si>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</si>
  <si>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</si>
  <si>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</si>
  <si>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</si>
  <si>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</si>
  <si>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</si>
  <si>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</si>
  <si>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</si>
  <si>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</si>
  <si>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</si>
  <si>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</si>
  <si>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</si>
  <si>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</si>
  <si>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</si>
  <si>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</si>
  <si>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</si>
  <si>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</si>
  <si>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</si>
  <si>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</si>
  <si>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</si>
  <si>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</si>
  <si>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</si>
  <si>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</si>
  <si>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</si>
  <si>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</si>
  <si>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</si>
  <si>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</si>
  <si>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</si>
  <si>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</si>
  <si>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</si>
  <si>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</si>
  <si>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</si>
  <si>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</si>
  <si>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</si>
  <si>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</si>
  <si>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</si>
  <si>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</si>
  <si>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</si>
  <si>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</si>
  <si>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</si>
  <si>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</si>
  <si>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</si>
  <si>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</si>
  <si>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</si>
  <si>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</si>
  <si>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</si>
  <si>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</si>
  <si>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</si>
  <si>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</si>
  <si>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</si>
  <si>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</si>
  <si>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</si>
  <si>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</si>
  <si>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</si>
  <si>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</si>
  <si>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</si>
  <si>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</si>
  <si>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</si>
  <si>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</si>
  <si>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</si>
  <si>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</si>
  <si>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</si>
  <si>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</si>
  <si>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</si>
  <si>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</si>
  <si>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</si>
  <si>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</si>
  <si>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</si>
  <si>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</si>
  <si>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</si>
  <si>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</si>
  <si>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</si>
  <si>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</si>
  <si>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</si>
  <si>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</si>
  <si>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</si>
  <si>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</si>
  <si>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</si>
  <si>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</si>
  <si>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</si>
  <si>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</si>
  <si>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</si>
  <si>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</si>
  <si>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</si>
  <si>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</si>
  <si>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</si>
  <si>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</si>
  <si>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</si>
  <si>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</si>
  <si>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</si>
  <si>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</si>
  <si>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</si>
  <si>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</si>
  <si>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</si>
  <si>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</si>
  <si>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</si>
  <si>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</si>
  <si>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</si>
  <si>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</si>
  <si>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</si>
  <si>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</si>
  <si>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</si>
  <si>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</si>
  <si>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</si>
  <si>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</si>
  <si>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</si>
  <si>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</si>
  <si>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</si>
  <si>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</si>
  <si>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</si>
  <si>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</si>
  <si>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</si>
  <si>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</si>
  <si>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</si>
  <si>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</si>
  <si>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</si>
  <si>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</si>
  <si>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</si>
  <si>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</si>
  <si>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</si>
  <si>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</si>
  <si>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</si>
  <si>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</si>
  <si>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</si>
  <si>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</si>
  <si>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</si>
  <si>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</si>
  <si>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</si>
  <si>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</si>
  <si>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</si>
  <si>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</si>
  <si>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</si>
  <si>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</si>
  <si>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</si>
  <si>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</si>
  <si>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</si>
  <si>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</si>
  <si>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</si>
  <si>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</si>
  <si>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</si>
  <si>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</si>
  <si>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</si>
  <si>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</si>
  <si>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</si>
  <si>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</si>
  <si>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</si>
  <si>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</si>
  <si>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</si>
  <si>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</si>
  <si>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</si>
  <si>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</si>
  <si>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</si>
  <si>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</si>
  <si>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</si>
  <si>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</si>
  <si>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</si>
  <si>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</si>
  <si>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</si>
  <si>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</si>
  <si>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</si>
  <si>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</si>
  <si>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</si>
  <si>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</si>
  <si>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</si>
  <si>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</si>
  <si>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</si>
  <si>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</si>
  <si>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</si>
  <si>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</si>
  <si>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</si>
  <si>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</si>
  <si>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</si>
  <si>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</si>
  <si>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</si>
  <si>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</si>
  <si>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</si>
  <si>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</si>
  <si>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</si>
  <si>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</si>
  <si>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</si>
  <si>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</si>
  <si>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</si>
  <si>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</si>
  <si>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</si>
  <si>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</si>
  <si>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</si>
  <si>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</si>
  <si>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</si>
  <si>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</si>
  <si>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</si>
  <si>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</si>
  <si>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</si>
  <si>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</si>
  <si>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</si>
  <si>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</si>
  <si>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</si>
  <si>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</si>
  <si>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</si>
  <si>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</si>
  <si>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</si>
  <si>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</si>
  <si>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</si>
  <si>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</si>
  <si>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</si>
  <si>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</si>
  <si>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</si>
  <si>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</si>
  <si>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</si>
  <si>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</si>
  <si>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</si>
  <si>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</si>
  <si>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</si>
  <si>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</si>
  <si>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</si>
  <si>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</si>
  <si>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</si>
  <si>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</si>
  <si>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</si>
  <si>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</si>
  <si>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</si>
  <si>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</si>
  <si>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</si>
  <si>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</si>
  <si>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</si>
  <si>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</si>
  <si>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</si>
  <si>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</si>
  <si>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</si>
  <si>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</si>
  <si>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</si>
  <si>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</si>
  <si>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</si>
  <si>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</si>
  <si>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</si>
  <si>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</si>
  <si>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</si>
  <si>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</si>
  <si>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</si>
  <si>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</si>
  <si>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</si>
  <si>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</si>
  <si>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</si>
  <si>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</si>
  <si>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</si>
  <si>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</si>
  <si>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</si>
  <si>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</si>
  <si>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</si>
  <si>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</si>
  <si>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</si>
  <si>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</si>
  <si>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</si>
  <si>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</si>
  <si>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</si>
  <si>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</si>
  <si>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</si>
  <si>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</si>
  <si>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</si>
  <si>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</si>
  <si>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</si>
  <si>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</si>
  <si>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</si>
  <si>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</si>
  <si>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</si>
  <si>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</si>
  <si>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</si>
  <si>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</si>
  <si>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</si>
  <si>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</si>
  <si>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</si>
  <si>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</si>
  <si>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</si>
  <si>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</si>
  <si>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</si>
  <si>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</si>
  <si>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</si>
  <si>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</si>
  <si>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</si>
  <si>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</si>
  <si>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</si>
  <si>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</si>
  <si>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</si>
  <si>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</si>
  <si>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</si>
  <si>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</si>
  <si>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</si>
  <si>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</si>
  <si>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</si>
  <si>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</si>
  <si>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</si>
  <si>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</si>
  <si>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</si>
  <si>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</si>
  <si>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</si>
  <si>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</si>
  <si>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</si>
  <si>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</si>
  <si>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</si>
  <si>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</si>
  <si>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</si>
  <si>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</si>
  <si>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</si>
  <si>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</si>
  <si>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</si>
  <si>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</si>
  <si>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</si>
  <si>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</si>
  <si>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</si>
  <si>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</si>
  <si>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</si>
  <si>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</si>
  <si>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</si>
  <si>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</si>
  <si>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</si>
  <si>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</si>
  <si>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</si>
  <si>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</si>
  <si>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</si>
  <si>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</si>
  <si>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</si>
  <si>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</si>
  <si>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</si>
  <si>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</si>
  <si>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</si>
  <si>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</si>
  <si>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</si>
  <si>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</si>
  <si>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</si>
  <si>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</si>
  <si>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</si>
  <si>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</si>
  <si>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</si>
  <si>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</si>
  <si>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</si>
  <si>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</si>
  <si>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</si>
  <si>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</si>
  <si>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</si>
  <si>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</si>
  <si>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</si>
  <si>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</si>
  <si>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</si>
  <si>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</si>
  <si>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</si>
  <si>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</si>
  <si>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</si>
  <si>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</si>
  <si>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</si>
  <si>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</si>
  <si>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</si>
  <si>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</si>
  <si>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</si>
  <si>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</si>
  <si>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</si>
  <si>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</si>
  <si>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</si>
  <si>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</si>
  <si>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</si>
  <si>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</si>
  <si>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</si>
  <si>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</si>
  <si>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</si>
  <si>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</si>
  <si>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</si>
  <si>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</si>
  <si>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</si>
  <si>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</si>
  <si>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</si>
  <si>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</si>
  <si>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</si>
  <si>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</si>
  <si>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</si>
  <si>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</si>
  <si>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</si>
  <si>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</si>
  <si>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</si>
  <si>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</si>
  <si>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</si>
  <si>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</si>
  <si>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</si>
  <si>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</si>
  <si>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</si>
  <si>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</si>
  <si>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</si>
  <si>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</si>
  <si>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</si>
  <si>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</si>
  <si>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</si>
  <si>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</si>
  <si>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</si>
  <si>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</si>
  <si>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</si>
  <si>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</si>
  <si>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</si>
  <si>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</si>
  <si>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</si>
  <si>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</si>
  <si>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</si>
  <si>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</si>
  <si>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</si>
  <si>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</si>
  <si>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</si>
  <si>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</si>
  <si>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</si>
  <si>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</si>
  <si>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</si>
  <si>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</si>
  <si>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</si>
  <si>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</si>
  <si>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</si>
  <si>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</si>
  <si>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</si>
  <si>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</si>
  <si>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</si>
  <si>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</si>
  <si>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</si>
  <si>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</si>
  <si>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</si>
  <si>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</si>
  <si>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</si>
  <si>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</si>
  <si>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</si>
  <si>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</si>
  <si>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</si>
  <si>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</si>
  <si>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</si>
  <si>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</si>
  <si>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</si>
  <si>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</si>
  <si>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</si>
  <si>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</si>
  <si>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</si>
  <si>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</si>
  <si>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</si>
  <si>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</si>
  <si>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</si>
  <si>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</si>
  <si>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</si>
  <si>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</si>
  <si>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</si>
  <si>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</si>
  <si>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</si>
  <si>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</si>
  <si>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</si>
  <si>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</si>
  <si>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</si>
  <si>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</si>
  <si>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</si>
  <si>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</si>
  <si>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</si>
  <si>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</si>
  <si>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</si>
  <si>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</si>
  <si>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</si>
  <si>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</si>
  <si>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</si>
  <si>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</si>
  <si>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</si>
  <si>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</si>
  <si>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</si>
  <si>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</si>
  <si>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</si>
  <si>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</si>
  <si>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</si>
  <si>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</si>
  <si>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</si>
  <si>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</si>
  <si>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</si>
  <si>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</si>
  <si>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</si>
  <si>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</si>
  <si>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</si>
  <si>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</si>
  <si>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</si>
  <si>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</si>
  <si>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</si>
  <si>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</si>
  <si>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</si>
  <si>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</si>
  <si>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</si>
  <si>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</si>
  <si>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</si>
  <si>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</si>
  <si>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</si>
  <si>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</si>
  <si>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</si>
  <si>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</si>
  <si>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</si>
  <si>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</si>
  <si>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</si>
  <si>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</si>
  <si>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</si>
  <si>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</si>
  <si>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</si>
  <si>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</si>
  <si>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</si>
  <si>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</si>
  <si>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</si>
  <si>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</si>
  <si>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</si>
  <si>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</si>
  <si>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</si>
  <si>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</si>
  <si>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</si>
  <si>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</si>
  <si>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</si>
  <si>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</si>
  <si>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</si>
  <si>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</si>
  <si>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</si>
  <si>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</si>
  <si>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</si>
  <si>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</si>
  <si>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</si>
  <si>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</si>
  <si>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</si>
  <si>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</si>
  <si>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</si>
  <si>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</si>
  <si>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</si>
  <si>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</si>
  <si>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</si>
  <si>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</si>
  <si>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</si>
  <si>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</si>
  <si>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</si>
  <si>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</si>
  <si>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</si>
  <si>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</si>
  <si>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</si>
  <si>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</si>
  <si>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</si>
  <si>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</si>
  <si>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</si>
  <si>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</si>
  <si>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</si>
  <si>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</si>
  <si>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</si>
  <si>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</si>
  <si>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</si>
  <si>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</si>
  <si>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</si>
  <si>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</si>
  <si>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</si>
  <si>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</si>
  <si>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</si>
  <si>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</si>
  <si>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</si>
  <si>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</si>
  <si>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</si>
  <si>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</si>
  <si>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</si>
  <si>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</si>
  <si>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</si>
  <si>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</si>
  <si>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</si>
  <si>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</si>
  <si>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</si>
  <si>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</si>
  <si>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</si>
  <si>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</si>
  <si>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</si>
  <si>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</si>
  <si>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</si>
  <si>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</si>
  <si>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</si>
  <si>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</si>
  <si>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</si>
  <si>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</si>
  <si>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</si>
  <si>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</si>
  <si>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</si>
  <si>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</si>
  <si>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</si>
  <si>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</si>
  <si>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</si>
  <si>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</si>
  <si>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</si>
  <si>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</si>
  <si>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</si>
  <si>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</si>
  <si>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</si>
  <si>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</si>
  <si>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</si>
  <si>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</si>
  <si>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</si>
  <si>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</si>
  <si>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</si>
  <si>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</si>
  <si>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</si>
  <si>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</si>
  <si>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</si>
  <si>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</si>
  <si>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</si>
  <si>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</si>
  <si>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</si>
  <si>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</si>
  <si>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</si>
  <si>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</si>
  <si>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</si>
  <si>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</si>
  <si>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</si>
  <si>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</si>
  <si>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</si>
  <si>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</si>
  <si>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</si>
  <si>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</si>
  <si>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</si>
  <si>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</si>
  <si>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</si>
  <si>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</si>
  <si>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</si>
  <si>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</si>
  <si>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</si>
  <si>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</si>
  <si>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</si>
  <si>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</si>
  <si>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</si>
  <si>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</si>
  <si>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</si>
  <si>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</si>
  <si>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</si>
  <si>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</si>
  <si>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</si>
  <si>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</si>
  <si>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</si>
  <si>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</si>
  <si>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</si>
  <si>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</si>
  <si>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</si>
  <si>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</si>
  <si>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</si>
  <si>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</si>
  <si>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</si>
  <si>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</si>
  <si>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</si>
  <si>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</si>
  <si>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</si>
  <si>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</si>
  <si>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</si>
  <si>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</si>
  <si>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</si>
  <si>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</si>
  <si>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</si>
  <si>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</si>
  <si>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</si>
  <si>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</si>
  <si>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</si>
  <si>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</si>
  <si>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</si>
  <si>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</si>
  <si>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</si>
  <si>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</si>
  <si>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</si>
  <si>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</si>
  <si>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</si>
  <si>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</si>
  <si>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</si>
  <si>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</si>
  <si>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</si>
  <si>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</si>
  <si>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</si>
  <si>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</si>
  <si>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</si>
  <si>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</si>
  <si>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</si>
  <si>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</si>
  <si>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</si>
  <si>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</si>
  <si>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</si>
  <si>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</si>
  <si>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</si>
  <si>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</si>
  <si>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</si>
  <si>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</si>
  <si>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</si>
  <si>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</si>
  <si>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</si>
  <si>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</si>
  <si>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</si>
  <si>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</si>
  <si>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</si>
  <si>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</si>
  <si>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</si>
  <si>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</si>
  <si>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</si>
  <si>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</si>
  <si>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</si>
  <si>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</si>
  <si>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</si>
  <si>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</si>
  <si>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</si>
  <si>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</si>
  <si>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</si>
  <si>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</si>
  <si>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</si>
  <si>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</si>
  <si>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</si>
  <si>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</si>
  <si>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</si>
  <si>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</si>
  <si>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</si>
  <si>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</si>
  <si>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</si>
  <si>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</si>
  <si>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</si>
  <si>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</si>
  <si>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</si>
  <si>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</si>
  <si>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</si>
  <si>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</si>
  <si>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</si>
  <si>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</si>
  <si>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</si>
  <si>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</si>
  <si>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</si>
  <si>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</si>
  <si>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</si>
  <si>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</si>
  <si>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</si>
  <si>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</si>
  <si>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</si>
  <si>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</si>
  <si>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</si>
  <si>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</si>
  <si>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</si>
  <si>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</si>
  <si>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</si>
  <si>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</si>
  <si>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</si>
  <si>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</si>
  <si>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</si>
  <si>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</si>
  <si>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</si>
  <si>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</si>
  <si>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</si>
  <si>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</si>
  <si>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</si>
  <si>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</si>
  <si>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</si>
  <si>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</si>
  <si>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</si>
  <si>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</si>
  <si>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</si>
  <si>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</si>
  <si>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</si>
  <si>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</si>
  <si>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</si>
  <si>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</si>
  <si>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</si>
  <si>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</si>
  <si>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</si>
  <si>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</si>
  <si>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</si>
  <si>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</si>
  <si>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</si>
  <si>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</si>
  <si>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</si>
  <si>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</si>
  <si>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</si>
  <si>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</si>
  <si>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</si>
  <si>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</si>
  <si>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</si>
  <si>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</si>
  <si>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</si>
  <si>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</si>
  <si>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</si>
  <si>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</si>
  <si>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</si>
  <si>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</si>
  <si>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</si>
  <si>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</si>
  <si>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</si>
  <si>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</si>
  <si>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</si>
  <si>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</si>
  <si>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</si>
  <si>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</si>
  <si>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</si>
  <si>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</si>
  <si>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</si>
  <si>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</si>
  <si>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</si>
  <si>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</si>
  <si>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</si>
  <si>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</si>
  <si>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</si>
  <si>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</si>
  <si>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</si>
  <si>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</si>
  <si>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</si>
  <si>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</si>
  <si>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</si>
  <si>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</si>
  <si>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</si>
  <si>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</si>
  <si>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</si>
  <si>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</si>
  <si>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</si>
  <si>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</si>
  <si>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</si>
  <si>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</si>
  <si>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</si>
  <si>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</si>
  <si>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</si>
  <si>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</si>
  <si>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</si>
  <si>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</si>
  <si>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</si>
  <si>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</si>
  <si>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</si>
  <si>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</si>
  <si>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</si>
  <si>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</si>
  <si>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</si>
  <si>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</si>
  <si>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</si>
  <si>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</si>
  <si>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</si>
  <si>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</si>
  <si>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</si>
  <si>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</si>
  <si>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</si>
  <si>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</si>
  <si>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</si>
  <si>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</si>
  <si>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</si>
  <si>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</si>
  <si>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</si>
  <si>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</si>
  <si>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</si>
  <si>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</si>
  <si>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</si>
  <si>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</si>
  <si>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</si>
  <si>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</si>
  <si>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</si>
  <si>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</si>
  <si>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</si>
  <si>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</si>
  <si>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</si>
  <si>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</si>
  <si>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</si>
  <si>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</si>
  <si>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</si>
  <si>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</si>
  <si>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</si>
  <si>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</si>
  <si>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</si>
  <si>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</si>
  <si>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</si>
  <si>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</si>
  <si>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</si>
  <si>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</si>
  <si>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</si>
  <si>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</si>
  <si>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</si>
  <si>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</si>
  <si>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</si>
  <si>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</si>
  <si>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</si>
  <si>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</si>
  <si>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</si>
  <si>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</si>
  <si>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</si>
  <si>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</si>
  <si>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</si>
  <si>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</si>
  <si>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</si>
  <si>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</si>
  <si>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</si>
  <si>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</si>
  <si>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</si>
  <si>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</si>
  <si>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</si>
  <si>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</si>
  <si>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</si>
  <si>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</si>
  <si>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</si>
  <si>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</si>
  <si>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</si>
  <si>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</si>
  <si>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</si>
  <si>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</si>
  <si>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</si>
  <si>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</si>
  <si>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</si>
  <si>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</si>
  <si>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</si>
  <si>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</si>
  <si>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</si>
  <si>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</si>
  <si>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</si>
  <si>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</si>
  <si>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</si>
  <si>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</si>
  <si>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</si>
  <si>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</si>
  <si>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</si>
  <si>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</si>
  <si>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</si>
  <si>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</si>
  <si>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</si>
  <si>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</si>
  <si>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</si>
  <si>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</si>
  <si>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</si>
  <si>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</si>
  <si>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</si>
  <si>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</si>
  <si>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</si>
  <si>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</si>
  <si>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</si>
  <si>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</si>
  <si>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</si>
  <si>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</si>
  <si>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</si>
  <si>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</si>
  <si>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</si>
  <si>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</si>
  <si>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</si>
  <si>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</si>
  <si>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</si>
  <si>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</si>
  <si>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</si>
  <si>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</si>
  <si>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</si>
  <si>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</si>
  <si>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</si>
  <si>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</si>
  <si>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</si>
  <si>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</si>
  <si>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</si>
  <si>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</si>
  <si>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</si>
  <si>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</si>
  <si>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</si>
  <si>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</si>
  <si>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</si>
  <si>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</si>
  <si>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</si>
  <si>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</si>
  <si>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</si>
  <si>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</si>
  <si>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</si>
  <si>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</si>
  <si>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</si>
  <si>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</si>
  <si>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</si>
  <si>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</si>
  <si>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</si>
  <si>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</si>
  <si>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</si>
  <si>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</si>
  <si>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</si>
  <si>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</si>
  <si>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</si>
  <si>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</si>
  <si>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</si>
  <si>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</si>
  <si>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</si>
  <si>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</si>
  <si>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</si>
  <si>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</si>
  <si>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</si>
  <si>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</si>
  <si>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</si>
  <si>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</si>
  <si>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</si>
  <si>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</si>
  <si>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</si>
  <si>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</si>
  <si>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</si>
  <si>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</si>
  <si>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</si>
  <si>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</si>
  <si>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</si>
  <si>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</si>
  <si>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</si>
  <si>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</si>
  <si>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</si>
  <si>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</si>
  <si>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</si>
  <si>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</si>
  <si>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</si>
  <si>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</si>
  <si>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</si>
  <si>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</si>
  <si>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</si>
  <si>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</si>
  <si>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</si>
  <si>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</si>
  <si>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</si>
  <si>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</si>
  <si>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</si>
  <si>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</si>
  <si>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</si>
  <si>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</si>
  <si>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</si>
  <si>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</si>
  <si>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</si>
  <si>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</si>
  <si>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</si>
  <si>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</si>
  <si>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</si>
  <si>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</si>
  <si>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</si>
  <si>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</si>
  <si>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</si>
  <si>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</si>
  <si>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</si>
  <si>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</si>
  <si>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</si>
  <si>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</si>
  <si>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</si>
  <si>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</si>
  <si>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</si>
  <si>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</si>
  <si>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</si>
  <si>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</si>
  <si>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</si>
  <si>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</si>
  <si>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</si>
  <si>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</si>
  <si>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</si>
  <si>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</si>
  <si>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</si>
  <si>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</si>
  <si>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</si>
  <si>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</si>
  <si>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</si>
  <si>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</si>
  <si>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</si>
  <si>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</si>
  <si>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</si>
  <si>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</si>
  <si>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</si>
  <si>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</si>
  <si>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</si>
  <si>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</si>
  <si>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</si>
  <si>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</si>
  <si>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</si>
  <si>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</si>
  <si>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</si>
  <si>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</si>
  <si>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</si>
  <si>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</si>
  <si>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</si>
  <si>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</si>
  <si>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</si>
  <si>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</si>
  <si>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</si>
  <si>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</si>
  <si>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</si>
  <si>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</si>
  <si>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</si>
  <si>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</si>
  <si>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</si>
  <si>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</si>
  <si>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</si>
  <si>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</si>
  <si>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</si>
  <si>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</si>
  <si>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</si>
  <si>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</si>
  <si>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</si>
  <si>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</si>
  <si>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</si>
  <si>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</si>
  <si>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</si>
  <si>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</si>
  <si>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</si>
  <si>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</si>
  <si>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</si>
  <si>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</si>
  <si>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</si>
  <si>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</si>
  <si>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</si>
  <si>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</si>
  <si>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</si>
  <si>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</si>
  <si>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</si>
  <si>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</si>
  <si>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</si>
  <si>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</si>
  <si>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</si>
  <si>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</si>
  <si>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</si>
  <si>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</si>
  <si>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</si>
  <si>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</si>
  <si>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</si>
  <si>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</si>
  <si>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</si>
  <si>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</si>
  <si>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</si>
  <si>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</si>
  <si>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</si>
  <si>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</si>
  <si>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</si>
  <si>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</si>
  <si>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</si>
  <si>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</si>
  <si>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</si>
  <si>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</si>
  <si>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</si>
  <si>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</si>
  <si>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</si>
  <si>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</si>
  <si>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</si>
  <si>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</si>
  <si>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</si>
  <si>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</si>
  <si>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</si>
  <si>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</si>
  <si>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</si>
  <si>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</si>
  <si>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</si>
  <si>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</si>
  <si>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</si>
  <si>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</si>
  <si>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</si>
  <si>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</si>
  <si>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</si>
  <si>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</si>
  <si>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</si>
  <si>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order_flag</t>
  </si>
  <si>
    <t>data_quality_flag</t>
  </si>
  <si>
    <t>shipping_delay_days</t>
  </si>
  <si>
    <t/>
  </si>
  <si>
    <t>OK</t>
  </si>
  <si>
    <t>Invalid date</t>
  </si>
  <si>
    <t>Ship before order</t>
  </si>
  <si>
    <t>Invalid date [order_date]</t>
  </si>
  <si>
    <t>ship_flag</t>
  </si>
  <si>
    <t>exact_duplicate_flag</t>
  </si>
  <si>
    <t>duplicate_order_ID_flag</t>
  </si>
  <si>
    <t>conflicting_duplicate_flag</t>
  </si>
  <si>
    <t>cleaned_discount</t>
  </si>
  <si>
    <t>discount_issue_flag</t>
  </si>
  <si>
    <t>calculated_sales</t>
  </si>
  <si>
    <t>calculated_profit</t>
  </si>
  <si>
    <t>profit margin</t>
  </si>
  <si>
    <t>order_month</t>
  </si>
  <si>
    <t>order_year</t>
  </si>
  <si>
    <t>sales_mismatch_flag</t>
  </si>
  <si>
    <t>profit_mismatch_flag</t>
  </si>
  <si>
    <t>final_sales_include_flag</t>
  </si>
  <si>
    <t>final_data_quality_flag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</si>
</sst>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>
    <font>
      <sz val="11"/>
      <name val="Carlito"/>
    </font>
    <font>
      <b/>
      <sz val="11"/>
      <color rgb="FFFFFFFF"/>
      <name val="Carlito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/>
    <cellStyle name="Normal 2" xfId="1" xr:uid="{B041349C-DD95-45C6-9DE8-58563F0AC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AE40-BBB5-41CA-868C-D3F43A55A3B2}">
  <dimension ref="A1:AM933"/>
  <sheetViews>
    <sheetView tabSelected="1" topLeftCell="AE1" zoomScale="96" workbookViewId="0">
      <selection activeCell="Z2" sqref="Z2"/>
    </sheetView>
  </sheetViews>
  <sheetFormatPr defaultRowHeight="13.8"/>
  <cols>
    <col min="1" max="1" width="16" customWidth="1"/>
    <col min="2" max="2" width="14.5" style="4" customWidth="1"/>
    <col min="3" max="3" width="13.296875" style="4" customWidth="1"/>
    <col min="4" max="4" width="20.3984375" style="6" customWidth="1"/>
    <col min="5" max="6" width="12.296875" customWidth="1"/>
    <col min="7" max="7" width="20.59765625" customWidth="1"/>
    <col min="8" max="15" width="16" customWidth="1"/>
    <col min="16" max="16" width="22" customWidth="1"/>
    <col min="17" max="25" width="16" customWidth="1"/>
    <col min="26" max="26" width="20.09765625" customWidth="1"/>
    <col min="27" max="27" width="28" customWidth="1"/>
    <col min="28" max="28" width="26.19921875" customWidth="1"/>
    <col min="29" max="29" width="19.3984375" customWidth="1"/>
    <col min="30" max="30" width="24.69921875" customWidth="1"/>
    <col min="31" max="31" width="15.8984375" customWidth="1"/>
    <col min="32" max="32" width="19.8984375" customWidth="1"/>
    <col min="33" max="33" width="13.19921875" customWidth="1"/>
    <col min="34" max="34" width="16.09765625" customWidth="1"/>
    <col min="35" max="35" width="21" customWidth="1"/>
    <col min="36" max="36" width="21.8984375" customWidth="1"/>
    <col min="37" max="37" width="15.296875" customWidth="1"/>
    <col min="38" max="38" width="19.5" customWidth="1"/>
    <col min="39" max="39" width="23" customWidth="1"/>
  </cols>
  <sheetData>
    <row r="1" spans="1:39" ht="22.35" customHeight="1">
      <c r="A1" s="1" t="s">
        <v>0</v>
      </c>
      <c r="B1" s="3" t="s">
        <v>1</v>
      </c>
      <c r="C1" s="3" t="s">
        <v>2</v>
      </c>
      <c r="D1" s="5" t="s">
        <v>2786</v>
      </c>
      <c r="E1" s="1" t="s">
        <v>2784</v>
      </c>
      <c r="F1" s="1" t="s">
        <v>2792</v>
      </c>
      <c r="G1" s="3" t="s">
        <v>2785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2793</v>
      </c>
      <c r="AA1" s="1" t="s">
        <v>2794</v>
      </c>
      <c r="AB1" s="1" t="s">
        <v>2795</v>
      </c>
      <c r="AC1" s="1" t="s">
        <v>2796</v>
      </c>
      <c r="AD1" s="1" t="s">
        <v>2797</v>
      </c>
      <c r="AE1" s="1" t="s">
        <v>2798</v>
      </c>
      <c r="AF1" s="1" t="s">
        <v>2799</v>
      </c>
      <c r="AG1" s="1" t="s">
        <v>2800</v>
      </c>
      <c r="AH1" s="1" t="s">
        <v>2801</v>
      </c>
      <c r="AI1" s="1" t="s">
        <v>2802</v>
      </c>
      <c r="AJ1" s="1" t="s">
        <v>2803</v>
      </c>
      <c r="AK1" s="1" t="s">
        <v>2804</v>
      </c>
      <c r="AL1" s="1" t="s">
        <v>2805</v>
      </c>
      <c r="AM1" s="1" t="s">
        <v>2806</v>
      </c>
    </row>
    <row r="2" spans="1:39">
      <c r="A2" t="s">
        <v>21</v>
      </c>
      <c r="B2" s="4">
        <v>45494</v>
      </c>
      <c r="C2" s="4">
        <v>45500</v>
      </c>
      <c r="D2" s="6">
        <v>6</v>
      </c>
      <c r="E2" t="s">
        <v>2788</v>
      </c>
      <c r="F2" t="s">
        <v>2788</v>
      </c>
      <c r="G2" t="s">
        <v>2788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8</v>
      </c>
      <c r="S2">
        <v>2976.45</v>
      </c>
      <c r="T2">
        <v>0.2</v>
      </c>
      <c r="U2">
        <v>19049.28</v>
      </c>
      <c r="V2">
        <v>15841.89</v>
      </c>
      <c r="W2">
        <v>3207.39</v>
      </c>
      <c r="X2" t="s">
        <v>32</v>
      </c>
      <c r="Y2" t="s">
        <v>33</v>
      </c>
      <c r="Z2" t="str">
        <f>IF(COUNTIFS($A:$A,A2,$B:$B,B2,$C:$C,C2,$H:$H,H2,$U:$U,U2,$W:$W,W2)&gt;1,"Exact Duplicate","Unique")</f>
        <v>Unique</v>
      </c>
      <c r="AA2" t="str">
        <f t="shared" ref="AA2:AA65" si="0">IF(COUNTIF($A:$A,A2)&gt;1,"Duplicate Order ID","Unique")</f>
        <v>Unique</v>
      </c>
      <c r="AB2" t="str">
        <f>IF(AND(AA2="Duplicate Order ID",Z2&lt;&gt;"Exact Duplicate"),"Conflicting Duplicate","OK")</f>
        <v>OK</v>
      </c>
      <c r="AC2">
        <f>IF(OR(T2="",ISBLANK(T2)),0,T2)</f>
        <v>0.2</v>
      </c>
      <c r="AD2" t="str">
        <f>IF(AC2&lt;0,"Invalid Negative Discount",IF(AC2&gt;1,"Invalid High Discount","OK"))</f>
        <v>OK</v>
      </c>
      <c r="AE2">
        <f>R2*S2*(1-AC2)</f>
        <v>19049.28</v>
      </c>
      <c r="AF2">
        <f>AE2-V2</f>
        <v>3207.3899999999994</v>
      </c>
      <c r="AG2">
        <f>IF(AE2=0,0,AF2/AE2)</f>
        <v>0.16837329284886357</v>
      </c>
      <c r="AH2" t="str">
        <f t="shared" ref="AH2:AH65" si="1">IFERROR(TEXT(B2,"mmmm"),"")</f>
        <v>July</v>
      </c>
      <c r="AI2">
        <f t="shared" ref="AI2:AI65" si="2">IFERROR(YEAR(B2),"")</f>
        <v>2024</v>
      </c>
      <c r="AJ2" t="str">
        <f>IF(ABS(U2-AE2)&gt;1,"Sales Mismatch","OK")</f>
        <v>OK</v>
      </c>
      <c r="AK2" t="str">
        <f>IF(ABS(W2-AF2)&gt;1,"Profit Mismatch","OK")</f>
        <v>OK</v>
      </c>
      <c r="AL2" t="str">
        <f>IF(AND(X2="Paid",Y2="Completed"),"Include","Exclude")</f>
        <v>Include</v>
      </c>
      <c r="AM2" t="str">
        <f t="shared" ref="AM2:AM65" si="3">IF(OR(E2&lt;&gt;"OK",F2&lt;&gt;"OK",AD2&lt;&gt;"OK",AB2="Conflicting Duplicate"),"Invalid",IF(OR(G2&lt;&gt;"OK",AJ2&lt;&gt;"OK",AK2&lt;&gt;"OK"),"Warning","Clean"))</f>
        <v>Clean</v>
      </c>
    </row>
    <row r="3" spans="1:39">
      <c r="A3" t="s">
        <v>34</v>
      </c>
      <c r="B3" s="4">
        <v>45535</v>
      </c>
      <c r="C3" s="4">
        <v>45540</v>
      </c>
      <c r="D3" s="6">
        <v>5</v>
      </c>
      <c r="E3" t="s">
        <v>2788</v>
      </c>
      <c r="F3" t="s">
        <v>2788</v>
      </c>
      <c r="G3" t="s">
        <v>2788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3</v>
      </c>
      <c r="S3">
        <v>2437.5</v>
      </c>
      <c r="T3">
        <v>0</v>
      </c>
      <c r="U3">
        <v>7312.5</v>
      </c>
      <c r="V3">
        <v>4904.7299999999996</v>
      </c>
      <c r="W3">
        <v>2407.77</v>
      </c>
      <c r="X3" t="s">
        <v>32</v>
      </c>
      <c r="Y3" t="s">
        <v>33</v>
      </c>
      <c r="Z3" t="str">
        <f t="shared" ref="Z2:Z65" si="4">IF(COUNTIFS($A:$A,A3,$B:$B,B3,$C:$C,C3,$H:$H,H3,$U:$U,U3,$W:$W,W3)&gt;1,"Exact Duplicate","Unique")</f>
        <v>Unique</v>
      </c>
      <c r="AA3" t="str">
        <f t="shared" si="0"/>
        <v>Unique</v>
      </c>
      <c r="AB3" t="str">
        <f t="shared" ref="AB3:AB66" si="5">IF(AND(AA3="Duplicate Order ID",Z3&lt;&gt;"Exact Duplicate"),"Conflicting Duplicate","OK")</f>
        <v>OK</v>
      </c>
      <c r="AC3">
        <f t="shared" ref="AC3:AC66" si="6">IF(OR(T3="",ISBLANK(T3)),0,T3)</f>
        <v>0</v>
      </c>
      <c r="AD3" t="str">
        <f t="shared" ref="AD3:AD66" si="7">IF(AC3&lt;0,"Invalid Negative Discount",IF(AC3&gt;1,"Invalid High Discount","OK"))</f>
        <v>OK</v>
      </c>
      <c r="AE3">
        <f t="shared" ref="AE3:AE66" si="8">R3*S3*(1-AC3)</f>
        <v>7312.5</v>
      </c>
      <c r="AF3">
        <f t="shared" ref="AF3:AF66" si="9">AE3-V3</f>
        <v>2407.7700000000004</v>
      </c>
      <c r="AG3">
        <f t="shared" ref="AG3:AG66" si="10">IF(AE3=0,0,AF3/AE3)</f>
        <v>0.32926769230769237</v>
      </c>
      <c r="AH3" t="str">
        <f t="shared" si="1"/>
        <v>August</v>
      </c>
      <c r="AI3">
        <f t="shared" si="2"/>
        <v>2024</v>
      </c>
      <c r="AJ3" t="str">
        <f t="shared" ref="AJ3:AJ66" si="11">IF(ABS(U3-AE3)&gt;1,"Sales Mismatch","OK")</f>
        <v>OK</v>
      </c>
      <c r="AK3" t="str">
        <f t="shared" ref="AK3:AK66" si="12">IF(ABS(W3-AF3)&gt;1,"Profit Mismatch","OK")</f>
        <v>OK</v>
      </c>
      <c r="AL3" t="str">
        <f t="shared" ref="AL3:AL66" si="13">IF(AND(X3="Paid",Y3="Completed"),"Include","Exclude")</f>
        <v>Include</v>
      </c>
      <c r="AM3" t="str">
        <f t="shared" si="3"/>
        <v>Clean</v>
      </c>
    </row>
    <row r="4" spans="1:39">
      <c r="A4" t="s">
        <v>45</v>
      </c>
      <c r="B4" s="4">
        <v>45451</v>
      </c>
      <c r="C4" s="4">
        <v>45458</v>
      </c>
      <c r="D4" s="6">
        <v>7</v>
      </c>
      <c r="E4" t="s">
        <v>2788</v>
      </c>
      <c r="F4" t="s">
        <v>2788</v>
      </c>
      <c r="G4" t="s">
        <v>2788</v>
      </c>
      <c r="H4" t="s">
        <v>46</v>
      </c>
      <c r="I4" t="s">
        <v>47</v>
      </c>
      <c r="J4" t="s">
        <v>24</v>
      </c>
      <c r="K4" t="s">
        <v>38</v>
      </c>
      <c r="L4" t="s">
        <v>39</v>
      </c>
      <c r="M4" t="s">
        <v>40</v>
      </c>
      <c r="N4" t="s">
        <v>28</v>
      </c>
      <c r="O4" t="s">
        <v>48</v>
      </c>
      <c r="P4" t="s">
        <v>49</v>
      </c>
      <c r="Q4" t="s">
        <v>50</v>
      </c>
      <c r="R4">
        <v>4</v>
      </c>
      <c r="S4">
        <v>1065.43</v>
      </c>
      <c r="T4">
        <v>0.55000000000000004</v>
      </c>
      <c r="U4">
        <v>4261.72</v>
      </c>
      <c r="V4">
        <v>2465.69</v>
      </c>
      <c r="W4">
        <v>1796.03</v>
      </c>
      <c r="X4" t="s">
        <v>32</v>
      </c>
      <c r="Y4" t="s">
        <v>33</v>
      </c>
      <c r="Z4" t="str">
        <f t="shared" si="4"/>
        <v>Unique</v>
      </c>
      <c r="AA4" t="str">
        <f t="shared" si="0"/>
        <v>Unique</v>
      </c>
      <c r="AB4" t="str">
        <f t="shared" si="5"/>
        <v>OK</v>
      </c>
      <c r="AC4">
        <f t="shared" si="6"/>
        <v>0.55000000000000004</v>
      </c>
      <c r="AD4" t="str">
        <f t="shared" si="7"/>
        <v>OK</v>
      </c>
      <c r="AE4">
        <f t="shared" si="8"/>
        <v>1917.7739999999999</v>
      </c>
      <c r="AF4">
        <f t="shared" si="9"/>
        <v>-547.91600000000017</v>
      </c>
      <c r="AG4">
        <f t="shared" si="10"/>
        <v>-0.28570415492127865</v>
      </c>
      <c r="AH4" t="str">
        <f t="shared" si="1"/>
        <v>June</v>
      </c>
      <c r="AI4">
        <f t="shared" si="2"/>
        <v>2024</v>
      </c>
      <c r="AJ4" t="str">
        <f t="shared" si="11"/>
        <v>Sales Mismatch</v>
      </c>
      <c r="AK4" t="str">
        <f t="shared" si="12"/>
        <v>Profit Mismatch</v>
      </c>
      <c r="AL4" t="str">
        <f t="shared" si="13"/>
        <v>Include</v>
      </c>
      <c r="AM4" t="str">
        <f t="shared" si="3"/>
        <v>Warning</v>
      </c>
    </row>
    <row r="5" spans="1:39">
      <c r="A5" t="s">
        <v>51</v>
      </c>
      <c r="B5" s="4">
        <v>45624</v>
      </c>
      <c r="C5" s="4">
        <v>45625</v>
      </c>
      <c r="D5" s="6">
        <v>1</v>
      </c>
      <c r="E5" t="s">
        <v>2788</v>
      </c>
      <c r="F5" t="s">
        <v>2788</v>
      </c>
      <c r="G5" t="s">
        <v>2788</v>
      </c>
      <c r="H5" t="s">
        <v>52</v>
      </c>
      <c r="I5" t="s">
        <v>53</v>
      </c>
      <c r="J5" t="s">
        <v>37</v>
      </c>
      <c r="K5" t="s">
        <v>54</v>
      </c>
      <c r="L5" t="s">
        <v>55</v>
      </c>
      <c r="M5" t="s">
        <v>56</v>
      </c>
      <c r="N5" t="s">
        <v>41</v>
      </c>
      <c r="O5" t="s">
        <v>57</v>
      </c>
      <c r="P5" t="s">
        <v>58</v>
      </c>
      <c r="Q5" t="s">
        <v>59</v>
      </c>
      <c r="R5">
        <v>6</v>
      </c>
      <c r="S5">
        <v>1848.43</v>
      </c>
      <c r="T5">
        <v>0.25</v>
      </c>
      <c r="U5">
        <v>8317.93</v>
      </c>
      <c r="V5">
        <v>6796.77</v>
      </c>
      <c r="W5">
        <v>1521.16</v>
      </c>
      <c r="X5" t="s">
        <v>32</v>
      </c>
      <c r="Y5" t="s">
        <v>33</v>
      </c>
      <c r="Z5" t="str">
        <f t="shared" si="4"/>
        <v>Unique</v>
      </c>
      <c r="AA5" t="str">
        <f t="shared" si="0"/>
        <v>Unique</v>
      </c>
      <c r="AB5" t="str">
        <f t="shared" si="5"/>
        <v>OK</v>
      </c>
      <c r="AC5">
        <f t="shared" si="6"/>
        <v>0.25</v>
      </c>
      <c r="AD5" t="str">
        <f t="shared" si="7"/>
        <v>OK</v>
      </c>
      <c r="AE5">
        <f t="shared" si="8"/>
        <v>8317.9349999999995</v>
      </c>
      <c r="AF5">
        <f t="shared" si="9"/>
        <v>1521.1649999999991</v>
      </c>
      <c r="AG5">
        <f t="shared" si="10"/>
        <v>0.18287772145370204</v>
      </c>
      <c r="AH5" t="str">
        <f t="shared" si="1"/>
        <v>November</v>
      </c>
      <c r="AI5">
        <f t="shared" si="2"/>
        <v>2024</v>
      </c>
      <c r="AJ5" t="str">
        <f t="shared" si="11"/>
        <v>OK</v>
      </c>
      <c r="AK5" t="str">
        <f t="shared" si="12"/>
        <v>OK</v>
      </c>
      <c r="AL5" t="str">
        <f t="shared" si="13"/>
        <v>Include</v>
      </c>
      <c r="AM5" t="str">
        <f t="shared" si="3"/>
        <v>Clean</v>
      </c>
    </row>
    <row r="6" spans="1:39">
      <c r="A6" t="s">
        <v>60</v>
      </c>
      <c r="B6" s="4">
        <v>45898</v>
      </c>
      <c r="C6" s="4">
        <v>45901</v>
      </c>
      <c r="D6" s="6">
        <v>3</v>
      </c>
      <c r="E6" t="s">
        <v>2788</v>
      </c>
      <c r="F6" t="s">
        <v>2788</v>
      </c>
      <c r="G6" t="s">
        <v>2788</v>
      </c>
      <c r="H6" t="s">
        <v>61</v>
      </c>
      <c r="I6" t="s">
        <v>62</v>
      </c>
      <c r="J6" t="s">
        <v>37</v>
      </c>
      <c r="K6" t="s">
        <v>63</v>
      </c>
      <c r="L6" t="s">
        <v>64</v>
      </c>
      <c r="M6" t="s">
        <v>65</v>
      </c>
      <c r="N6" t="s">
        <v>41</v>
      </c>
      <c r="O6" t="s">
        <v>66</v>
      </c>
      <c r="P6" t="s">
        <v>67</v>
      </c>
      <c r="Q6" t="s">
        <v>50</v>
      </c>
      <c r="R6">
        <v>7</v>
      </c>
      <c r="S6">
        <v>2973.76</v>
      </c>
      <c r="T6">
        <v>0</v>
      </c>
      <c r="U6">
        <v>20816.32</v>
      </c>
      <c r="V6">
        <v>17705.37</v>
      </c>
      <c r="W6">
        <v>3110.95</v>
      </c>
      <c r="X6" t="s">
        <v>32</v>
      </c>
      <c r="Y6" t="s">
        <v>68</v>
      </c>
      <c r="Z6" t="str">
        <f t="shared" si="4"/>
        <v>Unique</v>
      </c>
      <c r="AA6" t="str">
        <f t="shared" si="0"/>
        <v>Unique</v>
      </c>
      <c r="AB6" t="str">
        <f t="shared" si="5"/>
        <v>OK</v>
      </c>
      <c r="AC6">
        <f t="shared" si="6"/>
        <v>0</v>
      </c>
      <c r="AD6" t="str">
        <f t="shared" si="7"/>
        <v>OK</v>
      </c>
      <c r="AE6">
        <f t="shared" si="8"/>
        <v>20816.32</v>
      </c>
      <c r="AF6">
        <f t="shared" si="9"/>
        <v>3110.9500000000007</v>
      </c>
      <c r="AG6">
        <f t="shared" si="10"/>
        <v>0.14944764492475138</v>
      </c>
      <c r="AH6" t="str">
        <f t="shared" si="1"/>
        <v>August</v>
      </c>
      <c r="AI6">
        <f t="shared" si="2"/>
        <v>2025</v>
      </c>
      <c r="AJ6" t="str">
        <f t="shared" si="11"/>
        <v>OK</v>
      </c>
      <c r="AK6" t="str">
        <f t="shared" si="12"/>
        <v>OK</v>
      </c>
      <c r="AL6" t="str">
        <f t="shared" si="13"/>
        <v>Exclude</v>
      </c>
      <c r="AM6" t="str">
        <f t="shared" si="3"/>
        <v>Clean</v>
      </c>
    </row>
    <row r="7" spans="1:39">
      <c r="A7" t="s">
        <v>69</v>
      </c>
      <c r="B7" s="4">
        <v>45436</v>
      </c>
      <c r="C7" s="4">
        <v>45440</v>
      </c>
      <c r="D7" s="6">
        <v>4</v>
      </c>
      <c r="E7" t="s">
        <v>2788</v>
      </c>
      <c r="F7" t="s">
        <v>2788</v>
      </c>
      <c r="G7" t="s">
        <v>2788</v>
      </c>
      <c r="H7" t="s">
        <v>70</v>
      </c>
      <c r="I7" t="s">
        <v>71</v>
      </c>
      <c r="J7" t="s">
        <v>37</v>
      </c>
      <c r="K7" t="s">
        <v>63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44</v>
      </c>
      <c r="R7">
        <v>3</v>
      </c>
      <c r="S7">
        <v>1053.1099999999999</v>
      </c>
      <c r="T7">
        <v>0.2</v>
      </c>
      <c r="U7">
        <v>2527.46</v>
      </c>
      <c r="V7">
        <v>1533.58</v>
      </c>
      <c r="W7">
        <v>993.88</v>
      </c>
      <c r="X7" t="s">
        <v>32</v>
      </c>
      <c r="Y7" t="s">
        <v>33</v>
      </c>
      <c r="Z7" t="str">
        <f t="shared" si="4"/>
        <v>Unique</v>
      </c>
      <c r="AA7" t="str">
        <f t="shared" si="0"/>
        <v>Unique</v>
      </c>
      <c r="AB7" t="str">
        <f t="shared" si="5"/>
        <v>OK</v>
      </c>
      <c r="AC7">
        <f t="shared" si="6"/>
        <v>0.2</v>
      </c>
      <c r="AD7" t="str">
        <f t="shared" si="7"/>
        <v>OK</v>
      </c>
      <c r="AE7">
        <f t="shared" si="8"/>
        <v>2527.4639999999999</v>
      </c>
      <c r="AF7">
        <f t="shared" si="9"/>
        <v>993.88400000000001</v>
      </c>
      <c r="AG7">
        <f t="shared" si="10"/>
        <v>0.39323369195367375</v>
      </c>
      <c r="AH7" t="str">
        <f t="shared" si="1"/>
        <v>May</v>
      </c>
      <c r="AI7">
        <f t="shared" si="2"/>
        <v>2024</v>
      </c>
      <c r="AJ7" t="str">
        <f t="shared" si="11"/>
        <v>OK</v>
      </c>
      <c r="AK7" t="str">
        <f t="shared" si="12"/>
        <v>OK</v>
      </c>
      <c r="AL7" t="str">
        <f t="shared" si="13"/>
        <v>Include</v>
      </c>
      <c r="AM7" t="str">
        <f t="shared" si="3"/>
        <v>Clean</v>
      </c>
    </row>
    <row r="8" spans="1:39">
      <c r="A8" t="s">
        <v>77</v>
      </c>
      <c r="B8" s="4">
        <v>45757</v>
      </c>
      <c r="C8" s="4">
        <v>45763</v>
      </c>
      <c r="D8" s="6">
        <v>6</v>
      </c>
      <c r="E8" t="s">
        <v>2788</v>
      </c>
      <c r="F8" t="s">
        <v>2788</v>
      </c>
      <c r="G8" t="s">
        <v>2788</v>
      </c>
      <c r="H8" t="s">
        <v>78</v>
      </c>
      <c r="I8" t="s">
        <v>79</v>
      </c>
      <c r="J8" t="s">
        <v>24</v>
      </c>
      <c r="K8" t="s">
        <v>38</v>
      </c>
      <c r="L8" t="s">
        <v>39</v>
      </c>
      <c r="M8" t="s">
        <v>40</v>
      </c>
      <c r="N8" t="s">
        <v>74</v>
      </c>
      <c r="O8" t="s">
        <v>80</v>
      </c>
      <c r="P8" t="s">
        <v>81</v>
      </c>
      <c r="Q8" t="s">
        <v>59</v>
      </c>
      <c r="R8">
        <v>4</v>
      </c>
      <c r="S8">
        <v>1719.87</v>
      </c>
      <c r="T8">
        <v>0.15</v>
      </c>
      <c r="U8">
        <v>5847.56</v>
      </c>
      <c r="V8">
        <v>4727.25</v>
      </c>
      <c r="W8">
        <v>1120.31</v>
      </c>
      <c r="X8" t="s">
        <v>32</v>
      </c>
      <c r="Y8" t="s">
        <v>33</v>
      </c>
      <c r="Z8" t="str">
        <f t="shared" si="4"/>
        <v>Exact Duplicate</v>
      </c>
      <c r="AA8" t="str">
        <f t="shared" si="0"/>
        <v>Duplicate Order ID</v>
      </c>
      <c r="AB8" t="str">
        <f t="shared" si="5"/>
        <v>OK</v>
      </c>
      <c r="AC8">
        <f t="shared" si="6"/>
        <v>0.15</v>
      </c>
      <c r="AD8" t="str">
        <f t="shared" si="7"/>
        <v>OK</v>
      </c>
      <c r="AE8">
        <f t="shared" si="8"/>
        <v>5847.5579999999991</v>
      </c>
      <c r="AF8">
        <f t="shared" si="9"/>
        <v>1120.3079999999991</v>
      </c>
      <c r="AG8">
        <f t="shared" si="10"/>
        <v>0.19158561573908275</v>
      </c>
      <c r="AH8" t="str">
        <f t="shared" si="1"/>
        <v>April</v>
      </c>
      <c r="AI8">
        <f t="shared" si="2"/>
        <v>2025</v>
      </c>
      <c r="AJ8" t="str">
        <f t="shared" si="11"/>
        <v>OK</v>
      </c>
      <c r="AK8" t="str">
        <f t="shared" si="12"/>
        <v>OK</v>
      </c>
      <c r="AL8" t="str">
        <f t="shared" si="13"/>
        <v>Include</v>
      </c>
      <c r="AM8" t="str">
        <f t="shared" si="3"/>
        <v>Clean</v>
      </c>
    </row>
    <row r="9" spans="1:39">
      <c r="A9" t="s">
        <v>82</v>
      </c>
      <c r="B9" s="4">
        <v>45711</v>
      </c>
      <c r="C9" s="4">
        <v>45714</v>
      </c>
      <c r="D9" s="6">
        <v>3</v>
      </c>
      <c r="E9" t="s">
        <v>2788</v>
      </c>
      <c r="F9" t="s">
        <v>2788</v>
      </c>
      <c r="G9" t="s">
        <v>2788</v>
      </c>
      <c r="H9" t="s">
        <v>83</v>
      </c>
      <c r="I9" t="s">
        <v>47</v>
      </c>
      <c r="J9" t="s">
        <v>37</v>
      </c>
      <c r="K9" t="s">
        <v>54</v>
      </c>
      <c r="L9" t="s">
        <v>84</v>
      </c>
      <c r="M9" t="s">
        <v>85</v>
      </c>
      <c r="N9" t="s">
        <v>28</v>
      </c>
      <c r="O9" t="s">
        <v>48</v>
      </c>
      <c r="P9" t="s">
        <v>86</v>
      </c>
      <c r="Q9" t="s">
        <v>50</v>
      </c>
      <c r="R9">
        <v>1</v>
      </c>
      <c r="S9">
        <v>2980.71</v>
      </c>
      <c r="T9">
        <v>0</v>
      </c>
      <c r="U9">
        <v>2980.71</v>
      </c>
      <c r="V9">
        <v>2357.2199999999998</v>
      </c>
      <c r="W9">
        <v>623.49</v>
      </c>
      <c r="X9" t="s">
        <v>32</v>
      </c>
      <c r="Y9" t="s">
        <v>33</v>
      </c>
      <c r="Z9" t="str">
        <f t="shared" si="4"/>
        <v>Unique</v>
      </c>
      <c r="AA9" t="str">
        <f t="shared" si="0"/>
        <v>Unique</v>
      </c>
      <c r="AB9" t="str">
        <f t="shared" si="5"/>
        <v>OK</v>
      </c>
      <c r="AC9">
        <f t="shared" si="6"/>
        <v>0</v>
      </c>
      <c r="AD9" t="str">
        <f t="shared" si="7"/>
        <v>OK</v>
      </c>
      <c r="AE9">
        <f t="shared" si="8"/>
        <v>2980.71</v>
      </c>
      <c r="AF9">
        <f t="shared" si="9"/>
        <v>623.49000000000024</v>
      </c>
      <c r="AG9">
        <f t="shared" si="10"/>
        <v>0.20917499521925992</v>
      </c>
      <c r="AH9" t="str">
        <f t="shared" si="1"/>
        <v>February</v>
      </c>
      <c r="AI9">
        <f t="shared" si="2"/>
        <v>2025</v>
      </c>
      <c r="AJ9" t="str">
        <f t="shared" si="11"/>
        <v>OK</v>
      </c>
      <c r="AK9" t="str">
        <f t="shared" si="12"/>
        <v>OK</v>
      </c>
      <c r="AL9" t="str">
        <f t="shared" si="13"/>
        <v>Include</v>
      </c>
      <c r="AM9" t="str">
        <f t="shared" si="3"/>
        <v>Clean</v>
      </c>
    </row>
    <row r="10" spans="1:39">
      <c r="A10" t="s">
        <v>87</v>
      </c>
      <c r="B10" s="4">
        <v>45601</v>
      </c>
      <c r="C10" s="4">
        <v>45606</v>
      </c>
      <c r="D10" s="6">
        <v>5</v>
      </c>
      <c r="E10" t="s">
        <v>2788</v>
      </c>
      <c r="F10" t="s">
        <v>2788</v>
      </c>
      <c r="G10" t="s">
        <v>2788</v>
      </c>
      <c r="H10" t="s">
        <v>88</v>
      </c>
      <c r="I10" t="s">
        <v>89</v>
      </c>
      <c r="J10" t="s">
        <v>90</v>
      </c>
      <c r="K10" t="s">
        <v>54</v>
      </c>
      <c r="L10" t="s">
        <v>55</v>
      </c>
      <c r="M10" t="s">
        <v>56</v>
      </c>
      <c r="N10" t="s">
        <v>28</v>
      </c>
      <c r="O10" t="s">
        <v>91</v>
      </c>
      <c r="P10" t="s">
        <v>92</v>
      </c>
      <c r="Q10" t="s">
        <v>50</v>
      </c>
      <c r="R10">
        <v>8</v>
      </c>
      <c r="S10">
        <v>3134.2</v>
      </c>
      <c r="T10">
        <v>0</v>
      </c>
      <c r="U10">
        <v>25073.599999999999</v>
      </c>
      <c r="V10">
        <v>17347.23</v>
      </c>
      <c r="W10">
        <v>7726.37</v>
      </c>
      <c r="X10" t="s">
        <v>32</v>
      </c>
      <c r="Y10" t="s">
        <v>33</v>
      </c>
      <c r="Z10" t="str">
        <f t="shared" si="4"/>
        <v>Unique</v>
      </c>
      <c r="AA10" t="str">
        <f t="shared" si="0"/>
        <v>Unique</v>
      </c>
      <c r="AB10" t="str">
        <f t="shared" si="5"/>
        <v>OK</v>
      </c>
      <c r="AC10">
        <f t="shared" si="6"/>
        <v>0</v>
      </c>
      <c r="AD10" t="str">
        <f t="shared" si="7"/>
        <v>OK</v>
      </c>
      <c r="AE10">
        <f t="shared" si="8"/>
        <v>25073.599999999999</v>
      </c>
      <c r="AF10">
        <f t="shared" si="9"/>
        <v>7726.369999999999</v>
      </c>
      <c r="AG10">
        <f t="shared" si="10"/>
        <v>0.30814761342607361</v>
      </c>
      <c r="AH10" t="str">
        <f t="shared" si="1"/>
        <v>November</v>
      </c>
      <c r="AI10">
        <f t="shared" si="2"/>
        <v>2024</v>
      </c>
      <c r="AJ10" t="str">
        <f t="shared" si="11"/>
        <v>OK</v>
      </c>
      <c r="AK10" t="str">
        <f t="shared" si="12"/>
        <v>OK</v>
      </c>
      <c r="AL10" t="str">
        <f t="shared" si="13"/>
        <v>Include</v>
      </c>
      <c r="AM10" t="str">
        <f t="shared" si="3"/>
        <v>Clean</v>
      </c>
    </row>
    <row r="11" spans="1:39">
      <c r="A11" t="s">
        <v>93</v>
      </c>
      <c r="B11" s="4">
        <v>45907</v>
      </c>
      <c r="C11" s="4">
        <v>45912</v>
      </c>
      <c r="D11" s="6">
        <v>5</v>
      </c>
      <c r="E11" t="s">
        <v>2788</v>
      </c>
      <c r="F11" t="s">
        <v>2788</v>
      </c>
      <c r="G11" t="s">
        <v>2788</v>
      </c>
      <c r="H11" t="s">
        <v>94</v>
      </c>
      <c r="I11" t="s">
        <v>36</v>
      </c>
      <c r="J11" t="s">
        <v>95</v>
      </c>
      <c r="K11" t="s">
        <v>54</v>
      </c>
      <c r="L11" t="s">
        <v>55</v>
      </c>
      <c r="M11" t="s">
        <v>56</v>
      </c>
      <c r="N11" t="s">
        <v>28</v>
      </c>
      <c r="O11" t="s">
        <v>29</v>
      </c>
      <c r="P11" t="s">
        <v>96</v>
      </c>
      <c r="Q11" t="s">
        <v>31</v>
      </c>
      <c r="R11">
        <v>9</v>
      </c>
      <c r="S11">
        <v>852.04</v>
      </c>
      <c r="T11">
        <v>0.2</v>
      </c>
      <c r="U11">
        <v>6134.69</v>
      </c>
      <c r="V11">
        <v>3800.19</v>
      </c>
      <c r="W11">
        <v>2334.5</v>
      </c>
      <c r="X11" t="s">
        <v>32</v>
      </c>
      <c r="Y11" t="s">
        <v>33</v>
      </c>
      <c r="Z11" t="str">
        <f t="shared" si="4"/>
        <v>Unique</v>
      </c>
      <c r="AA11" t="str">
        <f t="shared" si="0"/>
        <v>Unique</v>
      </c>
      <c r="AB11" t="str">
        <f t="shared" si="5"/>
        <v>OK</v>
      </c>
      <c r="AC11">
        <f t="shared" si="6"/>
        <v>0.2</v>
      </c>
      <c r="AD11" t="str">
        <f t="shared" si="7"/>
        <v>OK</v>
      </c>
      <c r="AE11">
        <f t="shared" si="8"/>
        <v>6134.6880000000001</v>
      </c>
      <c r="AF11">
        <f t="shared" si="9"/>
        <v>2334.498</v>
      </c>
      <c r="AG11">
        <f t="shared" si="10"/>
        <v>0.38054062407085737</v>
      </c>
      <c r="AH11" t="str">
        <f t="shared" si="1"/>
        <v>September</v>
      </c>
      <c r="AI11">
        <f t="shared" si="2"/>
        <v>2025</v>
      </c>
      <c r="AJ11" t="str">
        <f t="shared" si="11"/>
        <v>OK</v>
      </c>
      <c r="AK11" t="str">
        <f t="shared" si="12"/>
        <v>OK</v>
      </c>
      <c r="AL11" t="str">
        <f t="shared" si="13"/>
        <v>Include</v>
      </c>
      <c r="AM11" t="str">
        <f t="shared" si="3"/>
        <v>Clean</v>
      </c>
    </row>
    <row r="12" spans="1:39">
      <c r="A12" t="s">
        <v>97</v>
      </c>
      <c r="B12" s="4">
        <v>45797</v>
      </c>
      <c r="C12" s="4">
        <v>45797</v>
      </c>
      <c r="D12" s="6">
        <v>0</v>
      </c>
      <c r="E12" t="s">
        <v>2788</v>
      </c>
      <c r="F12" t="s">
        <v>2788</v>
      </c>
      <c r="G12" t="s">
        <v>2788</v>
      </c>
      <c r="H12" t="s">
        <v>98</v>
      </c>
      <c r="I12" t="s">
        <v>62</v>
      </c>
      <c r="J12" t="s">
        <v>90</v>
      </c>
      <c r="K12" t="s">
        <v>38</v>
      </c>
      <c r="L12" t="s">
        <v>99</v>
      </c>
      <c r="M12" t="s">
        <v>100</v>
      </c>
      <c r="N12" t="s">
        <v>28</v>
      </c>
      <c r="O12" t="s">
        <v>91</v>
      </c>
      <c r="P12" t="s">
        <v>101</v>
      </c>
      <c r="Q12" t="s">
        <v>31</v>
      </c>
      <c r="R12">
        <v>3</v>
      </c>
      <c r="S12">
        <v>3534.83</v>
      </c>
      <c r="T12">
        <v>0.05</v>
      </c>
      <c r="U12">
        <v>10074.27</v>
      </c>
      <c r="V12">
        <v>6048.27</v>
      </c>
      <c r="W12">
        <v>4026</v>
      </c>
      <c r="X12" t="s">
        <v>102</v>
      </c>
      <c r="Y12" t="s">
        <v>103</v>
      </c>
      <c r="Z12" t="str">
        <f t="shared" si="4"/>
        <v>Unique</v>
      </c>
      <c r="AA12" t="str">
        <f t="shared" si="0"/>
        <v>Unique</v>
      </c>
      <c r="AB12" t="str">
        <f t="shared" si="5"/>
        <v>OK</v>
      </c>
      <c r="AC12">
        <f t="shared" si="6"/>
        <v>0.05</v>
      </c>
      <c r="AD12" t="str">
        <f t="shared" si="7"/>
        <v>OK</v>
      </c>
      <c r="AE12">
        <f t="shared" si="8"/>
        <v>10074.2655</v>
      </c>
      <c r="AF12">
        <f t="shared" si="9"/>
        <v>4025.9954999999991</v>
      </c>
      <c r="AG12">
        <f t="shared" si="10"/>
        <v>0.39963166545491574</v>
      </c>
      <c r="AH12" t="str">
        <f t="shared" si="1"/>
        <v>May</v>
      </c>
      <c r="AI12">
        <f t="shared" si="2"/>
        <v>2025</v>
      </c>
      <c r="AJ12" t="str">
        <f t="shared" si="11"/>
        <v>OK</v>
      </c>
      <c r="AK12" t="str">
        <f t="shared" si="12"/>
        <v>OK</v>
      </c>
      <c r="AL12" t="str">
        <f t="shared" si="13"/>
        <v>Exclude</v>
      </c>
      <c r="AM12" t="str">
        <f t="shared" si="3"/>
        <v>Clean</v>
      </c>
    </row>
    <row r="13" spans="1:39">
      <c r="A13" t="s">
        <v>104</v>
      </c>
      <c r="B13" s="4">
        <v>45495</v>
      </c>
      <c r="C13" s="4">
        <v>45496</v>
      </c>
      <c r="D13" s="6">
        <v>1</v>
      </c>
      <c r="E13" t="s">
        <v>2788</v>
      </c>
      <c r="F13" t="s">
        <v>2788</v>
      </c>
      <c r="G13" t="s">
        <v>2788</v>
      </c>
      <c r="H13" t="s">
        <v>105</v>
      </c>
      <c r="I13" t="s">
        <v>71</v>
      </c>
      <c r="J13" t="s">
        <v>37</v>
      </c>
      <c r="K13" t="s">
        <v>38</v>
      </c>
      <c r="L13" t="s">
        <v>39</v>
      </c>
      <c r="M13" t="s">
        <v>40</v>
      </c>
      <c r="N13" t="s">
        <v>74</v>
      </c>
      <c r="O13" t="s">
        <v>75</v>
      </c>
      <c r="P13" t="s">
        <v>106</v>
      </c>
      <c r="Q13" t="s">
        <v>44</v>
      </c>
      <c r="R13">
        <v>6</v>
      </c>
      <c r="S13">
        <v>2005.95</v>
      </c>
      <c r="T13">
        <v>0.2</v>
      </c>
      <c r="U13">
        <v>9628.56</v>
      </c>
      <c r="V13">
        <v>8038.59</v>
      </c>
      <c r="W13">
        <v>1589.97</v>
      </c>
      <c r="X13" t="s">
        <v>32</v>
      </c>
      <c r="Y13" t="s">
        <v>33</v>
      </c>
      <c r="Z13" t="str">
        <f t="shared" si="4"/>
        <v>Unique</v>
      </c>
      <c r="AA13" t="str">
        <f t="shared" si="0"/>
        <v>Unique</v>
      </c>
      <c r="AB13" t="str">
        <f t="shared" si="5"/>
        <v>OK</v>
      </c>
      <c r="AC13">
        <f t="shared" si="6"/>
        <v>0.2</v>
      </c>
      <c r="AD13" t="str">
        <f t="shared" si="7"/>
        <v>OK</v>
      </c>
      <c r="AE13">
        <f t="shared" si="8"/>
        <v>9628.5600000000013</v>
      </c>
      <c r="AF13">
        <f t="shared" si="9"/>
        <v>1589.9700000000012</v>
      </c>
      <c r="AG13">
        <f t="shared" si="10"/>
        <v>0.16513061143099289</v>
      </c>
      <c r="AH13" t="str">
        <f t="shared" si="1"/>
        <v>July</v>
      </c>
      <c r="AI13">
        <f t="shared" si="2"/>
        <v>2024</v>
      </c>
      <c r="AJ13" t="str">
        <f t="shared" si="11"/>
        <v>OK</v>
      </c>
      <c r="AK13" t="str">
        <f t="shared" si="12"/>
        <v>OK</v>
      </c>
      <c r="AL13" t="str">
        <f t="shared" si="13"/>
        <v>Include</v>
      </c>
      <c r="AM13" t="str">
        <f t="shared" si="3"/>
        <v>Clean</v>
      </c>
    </row>
    <row r="14" spans="1:39">
      <c r="A14" t="s">
        <v>107</v>
      </c>
      <c r="B14" s="4">
        <v>45646</v>
      </c>
      <c r="C14" s="4">
        <v>45647</v>
      </c>
      <c r="D14" s="6">
        <v>1</v>
      </c>
      <c r="E14" t="s">
        <v>2788</v>
      </c>
      <c r="F14" t="s">
        <v>2788</v>
      </c>
      <c r="G14" t="s">
        <v>2788</v>
      </c>
      <c r="H14" t="s">
        <v>108</v>
      </c>
      <c r="I14" t="s">
        <v>62</v>
      </c>
      <c r="J14" t="s">
        <v>90</v>
      </c>
      <c r="K14" t="s">
        <v>63</v>
      </c>
      <c r="L14" t="s">
        <v>26</v>
      </c>
      <c r="M14" t="s">
        <v>109</v>
      </c>
      <c r="N14" t="s">
        <v>28</v>
      </c>
      <c r="O14" t="s">
        <v>29</v>
      </c>
      <c r="P14" t="s">
        <v>110</v>
      </c>
      <c r="Q14" t="s">
        <v>50</v>
      </c>
      <c r="R14">
        <v>1</v>
      </c>
      <c r="S14">
        <v>702.14</v>
      </c>
      <c r="T14">
        <v>0.15</v>
      </c>
      <c r="U14">
        <v>596.82000000000005</v>
      </c>
      <c r="V14">
        <v>380.25</v>
      </c>
      <c r="W14">
        <v>216.57</v>
      </c>
      <c r="X14" t="s">
        <v>111</v>
      </c>
      <c r="Y14" t="s">
        <v>103</v>
      </c>
      <c r="Z14" t="str">
        <f t="shared" si="4"/>
        <v>Unique</v>
      </c>
      <c r="AA14" t="str">
        <f t="shared" si="0"/>
        <v>Unique</v>
      </c>
      <c r="AB14" t="str">
        <f t="shared" si="5"/>
        <v>OK</v>
      </c>
      <c r="AC14">
        <f t="shared" si="6"/>
        <v>0.15</v>
      </c>
      <c r="AD14" t="str">
        <f t="shared" si="7"/>
        <v>OK</v>
      </c>
      <c r="AE14">
        <f t="shared" si="8"/>
        <v>596.81899999999996</v>
      </c>
      <c r="AF14">
        <f t="shared" si="9"/>
        <v>216.56899999999996</v>
      </c>
      <c r="AG14">
        <f t="shared" si="10"/>
        <v>0.36287216057129545</v>
      </c>
      <c r="AH14" t="str">
        <f t="shared" si="1"/>
        <v>December</v>
      </c>
      <c r="AI14">
        <f t="shared" si="2"/>
        <v>2024</v>
      </c>
      <c r="AJ14" t="str">
        <f t="shared" si="11"/>
        <v>OK</v>
      </c>
      <c r="AK14" t="str">
        <f t="shared" si="12"/>
        <v>OK</v>
      </c>
      <c r="AL14" t="str">
        <f t="shared" si="13"/>
        <v>Exclude</v>
      </c>
      <c r="AM14" t="str">
        <f t="shared" si="3"/>
        <v>Clean</v>
      </c>
    </row>
    <row r="15" spans="1:39">
      <c r="A15" t="s">
        <v>112</v>
      </c>
      <c r="B15" s="4">
        <v>45942</v>
      </c>
      <c r="C15" s="4">
        <v>45946</v>
      </c>
      <c r="D15" s="6">
        <v>4</v>
      </c>
      <c r="E15" t="s">
        <v>2788</v>
      </c>
      <c r="F15" t="s">
        <v>2788</v>
      </c>
      <c r="G15" t="s">
        <v>2788</v>
      </c>
      <c r="H15" t="s">
        <v>113</v>
      </c>
      <c r="I15" t="s">
        <v>114</v>
      </c>
      <c r="J15" t="s">
        <v>37</v>
      </c>
      <c r="K15" t="s">
        <v>63</v>
      </c>
      <c r="L15" t="s">
        <v>64</v>
      </c>
      <c r="M15" t="s">
        <v>65</v>
      </c>
      <c r="N15" t="s">
        <v>28</v>
      </c>
      <c r="O15" t="s">
        <v>48</v>
      </c>
      <c r="P15" t="s">
        <v>115</v>
      </c>
      <c r="Q15" t="s">
        <v>31</v>
      </c>
      <c r="R15">
        <v>7</v>
      </c>
      <c r="S15">
        <v>3964.72</v>
      </c>
      <c r="T15">
        <v>0.05</v>
      </c>
      <c r="U15">
        <v>26365.39</v>
      </c>
      <c r="V15">
        <v>22306.240000000002</v>
      </c>
      <c r="W15">
        <v>4059.15</v>
      </c>
      <c r="X15" t="s">
        <v>32</v>
      </c>
      <c r="Y15" t="s">
        <v>33</v>
      </c>
      <c r="Z15" t="str">
        <f t="shared" si="4"/>
        <v>Unique</v>
      </c>
      <c r="AA15" t="str">
        <f t="shared" si="0"/>
        <v>Unique</v>
      </c>
      <c r="AB15" t="str">
        <f t="shared" si="5"/>
        <v>OK</v>
      </c>
      <c r="AC15">
        <f t="shared" si="6"/>
        <v>0.05</v>
      </c>
      <c r="AD15" t="str">
        <f t="shared" si="7"/>
        <v>OK</v>
      </c>
      <c r="AE15">
        <f t="shared" si="8"/>
        <v>26365.387999999995</v>
      </c>
      <c r="AF15">
        <f t="shared" si="9"/>
        <v>4059.1479999999938</v>
      </c>
      <c r="AG15">
        <f t="shared" si="10"/>
        <v>0.15395745361304733</v>
      </c>
      <c r="AH15" t="str">
        <f t="shared" si="1"/>
        <v>October</v>
      </c>
      <c r="AI15">
        <f t="shared" si="2"/>
        <v>2025</v>
      </c>
      <c r="AJ15" t="str">
        <f t="shared" si="11"/>
        <v>OK</v>
      </c>
      <c r="AK15" t="str">
        <f t="shared" si="12"/>
        <v>OK</v>
      </c>
      <c r="AL15" t="str">
        <f t="shared" si="13"/>
        <v>Include</v>
      </c>
      <c r="AM15" t="str">
        <f t="shared" si="3"/>
        <v>Clean</v>
      </c>
    </row>
    <row r="16" spans="1:39">
      <c r="A16" t="s">
        <v>116</v>
      </c>
      <c r="B16" s="4">
        <v>45653</v>
      </c>
      <c r="C16" s="4">
        <v>45654</v>
      </c>
      <c r="D16" s="6">
        <v>1</v>
      </c>
      <c r="E16" t="s">
        <v>2788</v>
      </c>
      <c r="F16" t="s">
        <v>2788</v>
      </c>
      <c r="G16" t="s">
        <v>2788</v>
      </c>
      <c r="H16" t="s">
        <v>117</v>
      </c>
      <c r="I16" t="s">
        <v>118</v>
      </c>
      <c r="J16" t="s">
        <v>24</v>
      </c>
      <c r="K16" t="s">
        <v>63</v>
      </c>
      <c r="L16" t="s">
        <v>26</v>
      </c>
      <c r="M16" t="s">
        <v>109</v>
      </c>
      <c r="N16" t="s">
        <v>74</v>
      </c>
      <c r="O16" t="s">
        <v>80</v>
      </c>
      <c r="P16" t="s">
        <v>119</v>
      </c>
      <c r="Q16" t="s">
        <v>59</v>
      </c>
      <c r="R16">
        <v>2</v>
      </c>
      <c r="S16">
        <v>2737.83</v>
      </c>
      <c r="T16">
        <v>0.25</v>
      </c>
      <c r="U16">
        <v>4106.74</v>
      </c>
      <c r="V16">
        <v>2666.3</v>
      </c>
      <c r="W16">
        <v>1440.44</v>
      </c>
      <c r="X16" t="s">
        <v>32</v>
      </c>
      <c r="Y16" t="s">
        <v>33</v>
      </c>
      <c r="Z16" t="str">
        <f t="shared" si="4"/>
        <v>Unique</v>
      </c>
      <c r="AA16" t="str">
        <f t="shared" si="0"/>
        <v>Unique</v>
      </c>
      <c r="AB16" t="str">
        <f t="shared" si="5"/>
        <v>OK</v>
      </c>
      <c r="AC16">
        <f t="shared" si="6"/>
        <v>0.25</v>
      </c>
      <c r="AD16" t="str">
        <f t="shared" si="7"/>
        <v>OK</v>
      </c>
      <c r="AE16">
        <f t="shared" si="8"/>
        <v>4106.7449999999999</v>
      </c>
      <c r="AF16">
        <f t="shared" si="9"/>
        <v>1440.4449999999997</v>
      </c>
      <c r="AG16">
        <f t="shared" si="10"/>
        <v>0.35075102057712365</v>
      </c>
      <c r="AH16" t="str">
        <f t="shared" si="1"/>
        <v>December</v>
      </c>
      <c r="AI16">
        <f t="shared" si="2"/>
        <v>2024</v>
      </c>
      <c r="AJ16" t="str">
        <f t="shared" si="11"/>
        <v>OK</v>
      </c>
      <c r="AK16" t="str">
        <f t="shared" si="12"/>
        <v>OK</v>
      </c>
      <c r="AL16" t="str">
        <f t="shared" si="13"/>
        <v>Include</v>
      </c>
      <c r="AM16" t="str">
        <f t="shared" si="3"/>
        <v>Clean</v>
      </c>
    </row>
    <row r="17" spans="1:39">
      <c r="A17" t="s">
        <v>120</v>
      </c>
      <c r="B17" s="4">
        <v>45482</v>
      </c>
      <c r="C17" s="4">
        <v>45482</v>
      </c>
      <c r="D17" s="6">
        <v>0</v>
      </c>
      <c r="E17" t="s">
        <v>2788</v>
      </c>
      <c r="F17" t="s">
        <v>2788</v>
      </c>
      <c r="G17" t="s">
        <v>2788</v>
      </c>
      <c r="H17" t="s">
        <v>121</v>
      </c>
      <c r="I17" t="s">
        <v>23</v>
      </c>
      <c r="J17" t="s">
        <v>37</v>
      </c>
      <c r="K17" t="s">
        <v>25</v>
      </c>
      <c r="L17" t="s">
        <v>122</v>
      </c>
      <c r="M17" t="s">
        <v>123</v>
      </c>
      <c r="N17" t="s">
        <v>28</v>
      </c>
      <c r="O17" t="s">
        <v>124</v>
      </c>
      <c r="P17" t="s">
        <v>125</v>
      </c>
      <c r="Q17" t="s">
        <v>31</v>
      </c>
      <c r="R17">
        <v>6</v>
      </c>
      <c r="S17">
        <v>3965.76</v>
      </c>
      <c r="T17">
        <v>0</v>
      </c>
      <c r="U17">
        <v>23794.560000000001</v>
      </c>
      <c r="V17">
        <v>15698.47</v>
      </c>
      <c r="W17">
        <v>8096.09</v>
      </c>
      <c r="X17" t="s">
        <v>32</v>
      </c>
      <c r="Y17" t="s">
        <v>33</v>
      </c>
      <c r="Z17" t="str">
        <f t="shared" si="4"/>
        <v>Unique</v>
      </c>
      <c r="AA17" t="str">
        <f t="shared" si="0"/>
        <v>Unique</v>
      </c>
      <c r="AB17" t="str">
        <f t="shared" si="5"/>
        <v>OK</v>
      </c>
      <c r="AC17">
        <f t="shared" si="6"/>
        <v>0</v>
      </c>
      <c r="AD17" t="str">
        <f t="shared" si="7"/>
        <v>OK</v>
      </c>
      <c r="AE17">
        <f t="shared" si="8"/>
        <v>23794.560000000001</v>
      </c>
      <c r="AF17">
        <f t="shared" si="9"/>
        <v>8096.090000000002</v>
      </c>
      <c r="AG17">
        <f t="shared" si="10"/>
        <v>0.34024962008122872</v>
      </c>
      <c r="AH17" t="str">
        <f t="shared" si="1"/>
        <v>July</v>
      </c>
      <c r="AI17">
        <f t="shared" si="2"/>
        <v>2024</v>
      </c>
      <c r="AJ17" t="str">
        <f t="shared" si="11"/>
        <v>OK</v>
      </c>
      <c r="AK17" t="str">
        <f t="shared" si="12"/>
        <v>OK</v>
      </c>
      <c r="AL17" t="str">
        <f t="shared" si="13"/>
        <v>Include</v>
      </c>
      <c r="AM17" t="str">
        <f t="shared" si="3"/>
        <v>Clean</v>
      </c>
    </row>
    <row r="18" spans="1:39">
      <c r="A18" t="s">
        <v>126</v>
      </c>
      <c r="B18" s="4">
        <v>45420</v>
      </c>
      <c r="C18" s="4">
        <v>45427</v>
      </c>
      <c r="D18" s="6">
        <v>7</v>
      </c>
      <c r="E18" t="s">
        <v>2788</v>
      </c>
      <c r="F18" t="s">
        <v>2788</v>
      </c>
      <c r="G18" t="s">
        <v>2788</v>
      </c>
      <c r="H18" t="s">
        <v>127</v>
      </c>
      <c r="I18" t="s">
        <v>128</v>
      </c>
      <c r="J18" t="s">
        <v>24</v>
      </c>
      <c r="K18" t="s">
        <v>54</v>
      </c>
      <c r="L18" t="s">
        <v>55</v>
      </c>
      <c r="M18" t="s">
        <v>56</v>
      </c>
      <c r="N18" t="s">
        <v>28</v>
      </c>
      <c r="O18" t="s">
        <v>48</v>
      </c>
      <c r="P18" t="s">
        <v>129</v>
      </c>
      <c r="Q18" t="s">
        <v>50</v>
      </c>
      <c r="R18">
        <v>4</v>
      </c>
      <c r="S18">
        <v>3323.51</v>
      </c>
      <c r="T18">
        <v>0.25</v>
      </c>
      <c r="U18">
        <v>9970.5300000000007</v>
      </c>
      <c r="V18">
        <v>5668.17</v>
      </c>
      <c r="W18">
        <v>4302.3599999999997</v>
      </c>
      <c r="X18" t="s">
        <v>32</v>
      </c>
      <c r="Y18" t="s">
        <v>33</v>
      </c>
      <c r="Z18" t="str">
        <f t="shared" si="4"/>
        <v>Unique</v>
      </c>
      <c r="AA18" t="str">
        <f t="shared" si="0"/>
        <v>Unique</v>
      </c>
      <c r="AB18" t="str">
        <f t="shared" si="5"/>
        <v>OK</v>
      </c>
      <c r="AC18">
        <f t="shared" si="6"/>
        <v>0.25</v>
      </c>
      <c r="AD18" t="str">
        <f t="shared" si="7"/>
        <v>OK</v>
      </c>
      <c r="AE18">
        <f t="shared" si="8"/>
        <v>9970.5300000000007</v>
      </c>
      <c r="AF18">
        <f t="shared" si="9"/>
        <v>4302.3600000000006</v>
      </c>
      <c r="AG18">
        <f t="shared" si="10"/>
        <v>0.43150765305354882</v>
      </c>
      <c r="AH18" t="str">
        <f t="shared" si="1"/>
        <v>May</v>
      </c>
      <c r="AI18">
        <f t="shared" si="2"/>
        <v>2024</v>
      </c>
      <c r="AJ18" t="str">
        <f t="shared" si="11"/>
        <v>OK</v>
      </c>
      <c r="AK18" t="str">
        <f t="shared" si="12"/>
        <v>OK</v>
      </c>
      <c r="AL18" t="str">
        <f t="shared" si="13"/>
        <v>Include</v>
      </c>
      <c r="AM18" t="str">
        <f t="shared" si="3"/>
        <v>Clean</v>
      </c>
    </row>
    <row r="19" spans="1:39">
      <c r="A19" t="s">
        <v>130</v>
      </c>
      <c r="B19" s="4">
        <v>45298</v>
      </c>
      <c r="C19" s="4">
        <v>45299</v>
      </c>
      <c r="D19" s="6">
        <v>1</v>
      </c>
      <c r="E19" t="s">
        <v>2788</v>
      </c>
      <c r="F19" t="s">
        <v>2788</v>
      </c>
      <c r="G19" t="s">
        <v>2788</v>
      </c>
      <c r="H19" t="s">
        <v>131</v>
      </c>
      <c r="I19" t="s">
        <v>132</v>
      </c>
      <c r="J19" t="s">
        <v>37</v>
      </c>
      <c r="K19" t="s">
        <v>25</v>
      </c>
      <c r="L19" t="s">
        <v>26</v>
      </c>
      <c r="M19" t="s">
        <v>27</v>
      </c>
      <c r="N19" t="s">
        <v>41</v>
      </c>
      <c r="O19" t="s">
        <v>57</v>
      </c>
      <c r="P19" t="s">
        <v>133</v>
      </c>
      <c r="Q19" t="s">
        <v>44</v>
      </c>
      <c r="R19">
        <v>5</v>
      </c>
      <c r="S19">
        <v>1526.78</v>
      </c>
      <c r="T19">
        <v>0</v>
      </c>
      <c r="U19">
        <v>7633.9</v>
      </c>
      <c r="V19">
        <v>4706.91</v>
      </c>
      <c r="W19">
        <v>2926.99</v>
      </c>
      <c r="X19" t="s">
        <v>32</v>
      </c>
      <c r="Y19" t="s">
        <v>33</v>
      </c>
      <c r="Z19" t="str">
        <f t="shared" si="4"/>
        <v>Unique</v>
      </c>
      <c r="AA19" t="str">
        <f t="shared" si="0"/>
        <v>Unique</v>
      </c>
      <c r="AB19" t="str">
        <f t="shared" si="5"/>
        <v>OK</v>
      </c>
      <c r="AC19">
        <f t="shared" si="6"/>
        <v>0</v>
      </c>
      <c r="AD19" t="str">
        <f t="shared" si="7"/>
        <v>OK</v>
      </c>
      <c r="AE19">
        <f t="shared" si="8"/>
        <v>7633.9</v>
      </c>
      <c r="AF19">
        <f t="shared" si="9"/>
        <v>2926.99</v>
      </c>
      <c r="AG19">
        <f t="shared" si="10"/>
        <v>0.38342000812166782</v>
      </c>
      <c r="AH19" t="str">
        <f t="shared" si="1"/>
        <v>January</v>
      </c>
      <c r="AI19">
        <f t="shared" si="2"/>
        <v>2024</v>
      </c>
      <c r="AJ19" t="str">
        <f t="shared" si="11"/>
        <v>OK</v>
      </c>
      <c r="AK19" t="str">
        <f t="shared" si="12"/>
        <v>OK</v>
      </c>
      <c r="AL19" t="str">
        <f t="shared" si="13"/>
        <v>Include</v>
      </c>
      <c r="AM19" t="str">
        <f t="shared" si="3"/>
        <v>Clean</v>
      </c>
    </row>
    <row r="20" spans="1:39">
      <c r="A20" t="s">
        <v>134</v>
      </c>
      <c r="B20" s="4">
        <v>45853</v>
      </c>
      <c r="C20" s="4">
        <v>45855</v>
      </c>
      <c r="D20" s="6">
        <v>2</v>
      </c>
      <c r="E20" t="s">
        <v>2788</v>
      </c>
      <c r="F20" t="s">
        <v>2788</v>
      </c>
      <c r="G20" t="s">
        <v>2788</v>
      </c>
      <c r="H20" t="s">
        <v>135</v>
      </c>
      <c r="I20" t="s">
        <v>128</v>
      </c>
      <c r="J20" t="s">
        <v>95</v>
      </c>
      <c r="K20" t="s">
        <v>25</v>
      </c>
      <c r="L20" t="s">
        <v>136</v>
      </c>
      <c r="M20" t="s">
        <v>137</v>
      </c>
      <c r="N20" t="s">
        <v>74</v>
      </c>
      <c r="O20" t="s">
        <v>80</v>
      </c>
      <c r="P20" t="s">
        <v>138</v>
      </c>
      <c r="Q20" t="s">
        <v>50</v>
      </c>
      <c r="R20">
        <v>2</v>
      </c>
      <c r="S20">
        <v>1997.99</v>
      </c>
      <c r="T20">
        <v>0</v>
      </c>
      <c r="U20">
        <v>3995.98</v>
      </c>
      <c r="V20">
        <v>2633.2</v>
      </c>
      <c r="W20">
        <v>1362.78</v>
      </c>
      <c r="X20" t="s">
        <v>102</v>
      </c>
      <c r="Y20" t="s">
        <v>68</v>
      </c>
      <c r="Z20" t="str">
        <f t="shared" si="4"/>
        <v>Unique</v>
      </c>
      <c r="AA20" t="str">
        <f t="shared" si="0"/>
        <v>Unique</v>
      </c>
      <c r="AB20" t="str">
        <f t="shared" si="5"/>
        <v>OK</v>
      </c>
      <c r="AC20">
        <f t="shared" si="6"/>
        <v>0</v>
      </c>
      <c r="AD20" t="str">
        <f t="shared" si="7"/>
        <v>OK</v>
      </c>
      <c r="AE20">
        <f t="shared" si="8"/>
        <v>3995.98</v>
      </c>
      <c r="AF20">
        <f t="shared" si="9"/>
        <v>1362.7800000000002</v>
      </c>
      <c r="AG20">
        <f t="shared" si="10"/>
        <v>0.34103774293164635</v>
      </c>
      <c r="AH20" t="str">
        <f t="shared" si="1"/>
        <v>July</v>
      </c>
      <c r="AI20">
        <f t="shared" si="2"/>
        <v>2025</v>
      </c>
      <c r="AJ20" t="str">
        <f t="shared" si="11"/>
        <v>OK</v>
      </c>
      <c r="AK20" t="str">
        <f t="shared" si="12"/>
        <v>OK</v>
      </c>
      <c r="AL20" t="str">
        <f t="shared" si="13"/>
        <v>Exclude</v>
      </c>
      <c r="AM20" t="str">
        <f t="shared" si="3"/>
        <v>Clean</v>
      </c>
    </row>
    <row r="21" spans="1:39">
      <c r="A21" t="s">
        <v>139</v>
      </c>
      <c r="B21" s="4">
        <v>45500</v>
      </c>
      <c r="C21" s="4">
        <v>45504</v>
      </c>
      <c r="D21" s="6">
        <v>4</v>
      </c>
      <c r="E21" t="s">
        <v>2788</v>
      </c>
      <c r="F21" t="s">
        <v>2788</v>
      </c>
      <c r="G21" t="s">
        <v>2788</v>
      </c>
      <c r="H21" t="s">
        <v>140</v>
      </c>
      <c r="I21" t="s">
        <v>141</v>
      </c>
      <c r="J21" t="s">
        <v>95</v>
      </c>
      <c r="K21" t="s">
        <v>63</v>
      </c>
      <c r="L21" t="s">
        <v>72</v>
      </c>
      <c r="M21" t="s">
        <v>73</v>
      </c>
      <c r="N21" t="s">
        <v>28</v>
      </c>
      <c r="O21" t="s">
        <v>124</v>
      </c>
      <c r="P21" t="s">
        <v>142</v>
      </c>
      <c r="Q21" t="s">
        <v>31</v>
      </c>
      <c r="R21">
        <v>3</v>
      </c>
      <c r="S21">
        <v>3887.94</v>
      </c>
      <c r="T21">
        <v>-0.19</v>
      </c>
      <c r="U21">
        <v>9331.06</v>
      </c>
      <c r="V21">
        <v>7529.31</v>
      </c>
      <c r="W21">
        <v>1801.75</v>
      </c>
      <c r="X21" t="s">
        <v>32</v>
      </c>
      <c r="Y21" t="s">
        <v>33</v>
      </c>
      <c r="Z21" t="str">
        <f t="shared" si="4"/>
        <v>Unique</v>
      </c>
      <c r="AA21" t="str">
        <f t="shared" si="0"/>
        <v>Unique</v>
      </c>
      <c r="AB21" t="str">
        <f t="shared" si="5"/>
        <v>OK</v>
      </c>
      <c r="AC21">
        <f t="shared" si="6"/>
        <v>-0.19</v>
      </c>
      <c r="AD21" t="str">
        <f t="shared" si="7"/>
        <v>Invalid Negative Discount</v>
      </c>
      <c r="AE21">
        <f t="shared" si="8"/>
        <v>13879.9458</v>
      </c>
      <c r="AF21">
        <f t="shared" si="9"/>
        <v>6350.6357999999991</v>
      </c>
      <c r="AG21">
        <f t="shared" si="10"/>
        <v>0.45754038895454474</v>
      </c>
      <c r="AH21" t="str">
        <f t="shared" si="1"/>
        <v>July</v>
      </c>
      <c r="AI21">
        <f t="shared" si="2"/>
        <v>2024</v>
      </c>
      <c r="AJ21" t="str">
        <f t="shared" si="11"/>
        <v>Sales Mismatch</v>
      </c>
      <c r="AK21" t="str">
        <f t="shared" si="12"/>
        <v>Profit Mismatch</v>
      </c>
      <c r="AL21" t="str">
        <f t="shared" si="13"/>
        <v>Include</v>
      </c>
      <c r="AM21" t="str">
        <f t="shared" si="3"/>
        <v>Invalid</v>
      </c>
    </row>
    <row r="22" spans="1:39">
      <c r="A22" t="s">
        <v>143</v>
      </c>
      <c r="B22" s="4">
        <v>45678</v>
      </c>
      <c r="C22" s="4">
        <v>45680</v>
      </c>
      <c r="D22" s="6">
        <v>2</v>
      </c>
      <c r="E22" t="s">
        <v>2788</v>
      </c>
      <c r="F22" t="s">
        <v>2788</v>
      </c>
      <c r="G22" t="s">
        <v>2788</v>
      </c>
      <c r="H22" t="s">
        <v>144</v>
      </c>
      <c r="I22" t="s">
        <v>89</v>
      </c>
      <c r="J22" t="s">
        <v>95</v>
      </c>
      <c r="K22" t="s">
        <v>38</v>
      </c>
      <c r="L22" t="s">
        <v>145</v>
      </c>
      <c r="M22" t="s">
        <v>146</v>
      </c>
      <c r="N22" t="s">
        <v>74</v>
      </c>
      <c r="O22" t="s">
        <v>80</v>
      </c>
      <c r="P22" t="s">
        <v>147</v>
      </c>
      <c r="Q22" t="s">
        <v>50</v>
      </c>
      <c r="R22">
        <v>5</v>
      </c>
      <c r="S22">
        <v>4373.0600000000004</v>
      </c>
      <c r="T22">
        <v>0.25</v>
      </c>
      <c r="U22">
        <v>16398.98</v>
      </c>
      <c r="V22">
        <v>9556.52</v>
      </c>
      <c r="W22">
        <v>6842.46</v>
      </c>
      <c r="X22" t="s">
        <v>32</v>
      </c>
      <c r="Y22" t="s">
        <v>33</v>
      </c>
      <c r="Z22" t="str">
        <f t="shared" si="4"/>
        <v>Unique</v>
      </c>
      <c r="AA22" t="str">
        <f t="shared" si="0"/>
        <v>Unique</v>
      </c>
      <c r="AB22" t="str">
        <f t="shared" si="5"/>
        <v>OK</v>
      </c>
      <c r="AC22">
        <f t="shared" si="6"/>
        <v>0.25</v>
      </c>
      <c r="AD22" t="str">
        <f t="shared" si="7"/>
        <v>OK</v>
      </c>
      <c r="AE22">
        <f t="shared" si="8"/>
        <v>16398.975000000002</v>
      </c>
      <c r="AF22">
        <f t="shared" si="9"/>
        <v>6842.4550000000017</v>
      </c>
      <c r="AG22">
        <f t="shared" si="10"/>
        <v>0.4172489439126531</v>
      </c>
      <c r="AH22" t="str">
        <f t="shared" si="1"/>
        <v>January</v>
      </c>
      <c r="AI22">
        <f t="shared" si="2"/>
        <v>2025</v>
      </c>
      <c r="AJ22" t="str">
        <f t="shared" si="11"/>
        <v>OK</v>
      </c>
      <c r="AK22" t="str">
        <f t="shared" si="12"/>
        <v>OK</v>
      </c>
      <c r="AL22" t="str">
        <f t="shared" si="13"/>
        <v>Include</v>
      </c>
      <c r="AM22" t="str">
        <f t="shared" si="3"/>
        <v>Clean</v>
      </c>
    </row>
    <row r="23" spans="1:39">
      <c r="A23" t="s">
        <v>148</v>
      </c>
      <c r="B23" s="4">
        <v>45681</v>
      </c>
      <c r="C23" s="4">
        <v>45687</v>
      </c>
      <c r="D23" s="6">
        <v>6</v>
      </c>
      <c r="E23" t="s">
        <v>2788</v>
      </c>
      <c r="F23" t="s">
        <v>2788</v>
      </c>
      <c r="G23" t="s">
        <v>2788</v>
      </c>
      <c r="H23" t="s">
        <v>149</v>
      </c>
      <c r="I23" t="s">
        <v>132</v>
      </c>
      <c r="J23" t="s">
        <v>24</v>
      </c>
      <c r="K23" t="s">
        <v>63</v>
      </c>
      <c r="L23" t="s">
        <v>72</v>
      </c>
      <c r="M23" t="s">
        <v>73</v>
      </c>
      <c r="N23" t="s">
        <v>41</v>
      </c>
      <c r="O23" t="s">
        <v>57</v>
      </c>
      <c r="P23" t="s">
        <v>150</v>
      </c>
      <c r="Q23" t="s">
        <v>31</v>
      </c>
      <c r="R23">
        <v>4</v>
      </c>
      <c r="S23">
        <v>697.69</v>
      </c>
      <c r="T23">
        <v>-0.23</v>
      </c>
      <c r="U23">
        <v>2790.76</v>
      </c>
      <c r="V23">
        <v>2037.71</v>
      </c>
      <c r="W23">
        <v>753.05</v>
      </c>
      <c r="X23" t="s">
        <v>32</v>
      </c>
      <c r="Y23" t="s">
        <v>33</v>
      </c>
      <c r="Z23" t="str">
        <f t="shared" si="4"/>
        <v>Unique</v>
      </c>
      <c r="AA23" t="str">
        <f t="shared" si="0"/>
        <v>Unique</v>
      </c>
      <c r="AB23" t="str">
        <f t="shared" si="5"/>
        <v>OK</v>
      </c>
      <c r="AC23">
        <f t="shared" si="6"/>
        <v>-0.23</v>
      </c>
      <c r="AD23" t="str">
        <f t="shared" si="7"/>
        <v>Invalid Negative Discount</v>
      </c>
      <c r="AE23">
        <f t="shared" si="8"/>
        <v>3432.6348000000003</v>
      </c>
      <c r="AF23">
        <f t="shared" si="9"/>
        <v>1394.9248000000002</v>
      </c>
      <c r="AG23">
        <f t="shared" si="10"/>
        <v>0.40637145553613807</v>
      </c>
      <c r="AH23" t="str">
        <f t="shared" si="1"/>
        <v>January</v>
      </c>
      <c r="AI23">
        <f t="shared" si="2"/>
        <v>2025</v>
      </c>
      <c r="AJ23" t="str">
        <f t="shared" si="11"/>
        <v>Sales Mismatch</v>
      </c>
      <c r="AK23" t="str">
        <f t="shared" si="12"/>
        <v>Profit Mismatch</v>
      </c>
      <c r="AL23" t="str">
        <f t="shared" si="13"/>
        <v>Include</v>
      </c>
      <c r="AM23" t="str">
        <f t="shared" si="3"/>
        <v>Invalid</v>
      </c>
    </row>
    <row r="24" spans="1:39">
      <c r="A24" t="s">
        <v>151</v>
      </c>
      <c r="B24" s="4">
        <v>45676</v>
      </c>
      <c r="C24" s="4">
        <v>45678</v>
      </c>
      <c r="D24" s="6">
        <v>2</v>
      </c>
      <c r="E24" t="s">
        <v>2788</v>
      </c>
      <c r="F24" t="s">
        <v>2788</v>
      </c>
      <c r="G24" t="s">
        <v>2788</v>
      </c>
      <c r="H24" t="s">
        <v>152</v>
      </c>
      <c r="I24" t="s">
        <v>36</v>
      </c>
      <c r="J24" t="s">
        <v>24</v>
      </c>
      <c r="K24" t="s">
        <v>54</v>
      </c>
      <c r="L24" t="s">
        <v>55</v>
      </c>
      <c r="M24" t="s">
        <v>56</v>
      </c>
      <c r="N24" t="s">
        <v>28</v>
      </c>
      <c r="O24" t="s">
        <v>153</v>
      </c>
      <c r="P24" t="s">
        <v>154</v>
      </c>
      <c r="Q24" t="s">
        <v>59</v>
      </c>
      <c r="R24">
        <v>8</v>
      </c>
      <c r="S24">
        <v>1219.3399999999999</v>
      </c>
      <c r="T24">
        <v>0.15</v>
      </c>
      <c r="U24">
        <v>8291.51</v>
      </c>
      <c r="V24">
        <v>6685.03</v>
      </c>
      <c r="W24">
        <v>1606.48</v>
      </c>
      <c r="X24" t="s">
        <v>155</v>
      </c>
      <c r="Y24" t="s">
        <v>103</v>
      </c>
      <c r="Z24" t="str">
        <f t="shared" si="4"/>
        <v>Unique</v>
      </c>
      <c r="AA24" t="str">
        <f t="shared" si="0"/>
        <v>Unique</v>
      </c>
      <c r="AB24" t="str">
        <f t="shared" si="5"/>
        <v>OK</v>
      </c>
      <c r="AC24">
        <f t="shared" si="6"/>
        <v>0.15</v>
      </c>
      <c r="AD24" t="str">
        <f t="shared" si="7"/>
        <v>OK</v>
      </c>
      <c r="AE24">
        <f t="shared" si="8"/>
        <v>8291.5119999999988</v>
      </c>
      <c r="AF24">
        <f t="shared" si="9"/>
        <v>1606.4819999999991</v>
      </c>
      <c r="AG24">
        <f t="shared" si="10"/>
        <v>0.19375018693816029</v>
      </c>
      <c r="AH24" t="str">
        <f t="shared" si="1"/>
        <v>January</v>
      </c>
      <c r="AI24">
        <f t="shared" si="2"/>
        <v>2025</v>
      </c>
      <c r="AJ24" t="str">
        <f t="shared" si="11"/>
        <v>OK</v>
      </c>
      <c r="AK24" t="str">
        <f t="shared" si="12"/>
        <v>OK</v>
      </c>
      <c r="AL24" t="str">
        <f t="shared" si="13"/>
        <v>Exclude</v>
      </c>
      <c r="AM24" t="str">
        <f t="shared" si="3"/>
        <v>Clean</v>
      </c>
    </row>
    <row r="25" spans="1:39">
      <c r="A25" t="s">
        <v>156</v>
      </c>
      <c r="B25" s="4">
        <v>45898</v>
      </c>
      <c r="C25" s="4">
        <v>45900</v>
      </c>
      <c r="D25" s="6">
        <v>2</v>
      </c>
      <c r="E25" t="s">
        <v>2788</v>
      </c>
      <c r="F25" t="s">
        <v>2788</v>
      </c>
      <c r="G25" t="s">
        <v>2788</v>
      </c>
      <c r="H25" t="s">
        <v>157</v>
      </c>
      <c r="I25" t="s">
        <v>118</v>
      </c>
      <c r="J25" t="s">
        <v>95</v>
      </c>
      <c r="K25" t="s">
        <v>38</v>
      </c>
      <c r="L25" t="s">
        <v>145</v>
      </c>
      <c r="M25" t="s">
        <v>146</v>
      </c>
      <c r="N25" t="s">
        <v>41</v>
      </c>
      <c r="O25" t="s">
        <v>158</v>
      </c>
      <c r="P25" t="s">
        <v>159</v>
      </c>
      <c r="Q25" t="s">
        <v>50</v>
      </c>
      <c r="R25">
        <v>4</v>
      </c>
      <c r="S25">
        <v>1958.01</v>
      </c>
      <c r="T25">
        <v>0.2</v>
      </c>
      <c r="U25">
        <v>6265.63</v>
      </c>
      <c r="V25">
        <v>4321.8599999999997</v>
      </c>
      <c r="W25">
        <v>1943.77</v>
      </c>
      <c r="X25" t="s">
        <v>32</v>
      </c>
      <c r="Y25" t="s">
        <v>33</v>
      </c>
      <c r="Z25" t="str">
        <f t="shared" si="4"/>
        <v>Unique</v>
      </c>
      <c r="AA25" t="str">
        <f t="shared" si="0"/>
        <v>Unique</v>
      </c>
      <c r="AB25" t="str">
        <f t="shared" si="5"/>
        <v>OK</v>
      </c>
      <c r="AC25">
        <f t="shared" si="6"/>
        <v>0.2</v>
      </c>
      <c r="AD25" t="str">
        <f t="shared" si="7"/>
        <v>OK</v>
      </c>
      <c r="AE25">
        <f t="shared" si="8"/>
        <v>6265.6320000000005</v>
      </c>
      <c r="AF25">
        <f t="shared" si="9"/>
        <v>1943.7720000000008</v>
      </c>
      <c r="AG25">
        <f t="shared" si="10"/>
        <v>0.31022760353624351</v>
      </c>
      <c r="AH25" t="str">
        <f t="shared" si="1"/>
        <v>August</v>
      </c>
      <c r="AI25">
        <f t="shared" si="2"/>
        <v>2025</v>
      </c>
      <c r="AJ25" t="str">
        <f t="shared" si="11"/>
        <v>OK</v>
      </c>
      <c r="AK25" t="str">
        <f t="shared" si="12"/>
        <v>OK</v>
      </c>
      <c r="AL25" t="str">
        <f t="shared" si="13"/>
        <v>Include</v>
      </c>
      <c r="AM25" t="str">
        <f t="shared" si="3"/>
        <v>Clean</v>
      </c>
    </row>
    <row r="26" spans="1:39">
      <c r="A26" t="s">
        <v>160</v>
      </c>
      <c r="B26" s="4">
        <v>45355</v>
      </c>
      <c r="C26" s="4">
        <v>45352</v>
      </c>
      <c r="D26" s="6">
        <v>-3</v>
      </c>
      <c r="E26" t="s">
        <v>2788</v>
      </c>
      <c r="F26" t="s">
        <v>2788</v>
      </c>
      <c r="G26" t="s">
        <v>2790</v>
      </c>
      <c r="H26" t="s">
        <v>161</v>
      </c>
      <c r="I26" t="s">
        <v>162</v>
      </c>
      <c r="J26" t="s">
        <v>24</v>
      </c>
      <c r="K26" t="s">
        <v>25</v>
      </c>
      <c r="L26" t="s">
        <v>122</v>
      </c>
      <c r="M26" t="s">
        <v>123</v>
      </c>
      <c r="N26" t="s">
        <v>28</v>
      </c>
      <c r="O26" t="s">
        <v>48</v>
      </c>
      <c r="P26" t="s">
        <v>163</v>
      </c>
      <c r="Q26" t="s">
        <v>59</v>
      </c>
      <c r="R26">
        <v>4</v>
      </c>
      <c r="S26">
        <v>4492.9399999999996</v>
      </c>
      <c r="T26">
        <v>0.25</v>
      </c>
      <c r="U26">
        <v>13478.82</v>
      </c>
      <c r="V26">
        <v>10937.35</v>
      </c>
      <c r="W26">
        <v>2541.4699999999998</v>
      </c>
      <c r="X26" t="s">
        <v>111</v>
      </c>
      <c r="Y26" t="s">
        <v>68</v>
      </c>
      <c r="Z26" t="str">
        <f t="shared" si="4"/>
        <v>Unique</v>
      </c>
      <c r="AA26" t="str">
        <f t="shared" si="0"/>
        <v>Unique</v>
      </c>
      <c r="AB26" t="str">
        <f t="shared" si="5"/>
        <v>OK</v>
      </c>
      <c r="AC26">
        <f t="shared" si="6"/>
        <v>0.25</v>
      </c>
      <c r="AD26" t="str">
        <f t="shared" si="7"/>
        <v>OK</v>
      </c>
      <c r="AE26">
        <f t="shared" si="8"/>
        <v>13478.82</v>
      </c>
      <c r="AF26">
        <f t="shared" si="9"/>
        <v>2541.4699999999993</v>
      </c>
      <c r="AG26">
        <f t="shared" si="10"/>
        <v>0.18855285551702591</v>
      </c>
      <c r="AH26" t="str">
        <f t="shared" si="1"/>
        <v>March</v>
      </c>
      <c r="AI26">
        <f t="shared" si="2"/>
        <v>2024</v>
      </c>
      <c r="AJ26" t="str">
        <f t="shared" si="11"/>
        <v>OK</v>
      </c>
      <c r="AK26" t="str">
        <f t="shared" si="12"/>
        <v>OK</v>
      </c>
      <c r="AL26" t="str">
        <f t="shared" si="13"/>
        <v>Exclude</v>
      </c>
      <c r="AM26" t="str">
        <f t="shared" si="3"/>
        <v>Warning</v>
      </c>
    </row>
    <row r="27" spans="1:39">
      <c r="A27" t="s">
        <v>164</v>
      </c>
      <c r="B27" s="4">
        <v>45576</v>
      </c>
      <c r="C27" s="4">
        <v>45584</v>
      </c>
      <c r="D27" s="6">
        <v>8</v>
      </c>
      <c r="E27" t="s">
        <v>2788</v>
      </c>
      <c r="F27" t="s">
        <v>2788</v>
      </c>
      <c r="G27" t="s">
        <v>2788</v>
      </c>
      <c r="H27" t="s">
        <v>165</v>
      </c>
      <c r="I27" t="s">
        <v>53</v>
      </c>
      <c r="J27" t="s">
        <v>90</v>
      </c>
      <c r="K27" t="s">
        <v>38</v>
      </c>
      <c r="L27" t="s">
        <v>166</v>
      </c>
      <c r="M27" t="s">
        <v>167</v>
      </c>
      <c r="N27" t="s">
        <v>74</v>
      </c>
      <c r="O27" t="s">
        <v>75</v>
      </c>
      <c r="P27" t="s">
        <v>168</v>
      </c>
      <c r="Q27" t="s">
        <v>50</v>
      </c>
      <c r="R27">
        <v>2</v>
      </c>
      <c r="S27">
        <v>4315.2</v>
      </c>
      <c r="T27">
        <v>0.15</v>
      </c>
      <c r="U27">
        <v>7335.84</v>
      </c>
      <c r="V27">
        <v>4968.41</v>
      </c>
      <c r="W27">
        <v>2367.4299999999998</v>
      </c>
      <c r="X27" t="s">
        <v>32</v>
      </c>
      <c r="Y27" t="s">
        <v>33</v>
      </c>
      <c r="Z27" t="str">
        <f t="shared" si="4"/>
        <v>Unique</v>
      </c>
      <c r="AA27" t="str">
        <f t="shared" si="0"/>
        <v>Unique</v>
      </c>
      <c r="AB27" t="str">
        <f t="shared" si="5"/>
        <v>OK</v>
      </c>
      <c r="AC27">
        <f t="shared" si="6"/>
        <v>0.15</v>
      </c>
      <c r="AD27" t="str">
        <f t="shared" si="7"/>
        <v>OK</v>
      </c>
      <c r="AE27">
        <f t="shared" si="8"/>
        <v>7335.8399999999992</v>
      </c>
      <c r="AF27">
        <f t="shared" si="9"/>
        <v>2367.4299999999994</v>
      </c>
      <c r="AG27">
        <f t="shared" si="10"/>
        <v>0.32272105171323251</v>
      </c>
      <c r="AH27" t="str">
        <f t="shared" si="1"/>
        <v>October</v>
      </c>
      <c r="AI27">
        <f t="shared" si="2"/>
        <v>2024</v>
      </c>
      <c r="AJ27" t="str">
        <f t="shared" si="11"/>
        <v>OK</v>
      </c>
      <c r="AK27" t="str">
        <f t="shared" si="12"/>
        <v>OK</v>
      </c>
      <c r="AL27" t="str">
        <f t="shared" si="13"/>
        <v>Include</v>
      </c>
      <c r="AM27" t="str">
        <f t="shared" si="3"/>
        <v>Clean</v>
      </c>
    </row>
    <row r="28" spans="1:39">
      <c r="A28" t="s">
        <v>169</v>
      </c>
      <c r="B28" s="4">
        <v>45619</v>
      </c>
      <c r="C28" s="4">
        <v>45619</v>
      </c>
      <c r="D28" s="6">
        <v>0</v>
      </c>
      <c r="E28" t="s">
        <v>2788</v>
      </c>
      <c r="F28" t="s">
        <v>2788</v>
      </c>
      <c r="G28" t="s">
        <v>2788</v>
      </c>
      <c r="H28" t="s">
        <v>170</v>
      </c>
      <c r="I28" t="s">
        <v>162</v>
      </c>
      <c r="J28" t="s">
        <v>90</v>
      </c>
      <c r="K28" t="s">
        <v>25</v>
      </c>
      <c r="L28" t="s">
        <v>136</v>
      </c>
      <c r="M28" t="s">
        <v>137</v>
      </c>
      <c r="N28" t="s">
        <v>74</v>
      </c>
      <c r="O28" t="s">
        <v>171</v>
      </c>
      <c r="P28" t="s">
        <v>172</v>
      </c>
      <c r="Q28" t="s">
        <v>59</v>
      </c>
      <c r="R28">
        <v>4</v>
      </c>
      <c r="S28">
        <v>716.13</v>
      </c>
      <c r="T28">
        <v>0.1</v>
      </c>
      <c r="U28">
        <v>2578.0700000000002</v>
      </c>
      <c r="V28">
        <v>1527.55</v>
      </c>
      <c r="W28">
        <v>1050.52</v>
      </c>
      <c r="X28" t="s">
        <v>32</v>
      </c>
      <c r="Y28" t="s">
        <v>103</v>
      </c>
      <c r="Z28" t="str">
        <f t="shared" si="4"/>
        <v>Unique</v>
      </c>
      <c r="AA28" t="str">
        <f t="shared" si="0"/>
        <v>Unique</v>
      </c>
      <c r="AB28" t="str">
        <f t="shared" si="5"/>
        <v>OK</v>
      </c>
      <c r="AC28">
        <f t="shared" si="6"/>
        <v>0.1</v>
      </c>
      <c r="AD28" t="str">
        <f t="shared" si="7"/>
        <v>OK</v>
      </c>
      <c r="AE28">
        <f t="shared" si="8"/>
        <v>2578.0680000000002</v>
      </c>
      <c r="AF28">
        <f t="shared" si="9"/>
        <v>1050.5180000000003</v>
      </c>
      <c r="AG28">
        <f t="shared" si="10"/>
        <v>0.40748265755596835</v>
      </c>
      <c r="AH28" t="str">
        <f t="shared" si="1"/>
        <v>November</v>
      </c>
      <c r="AI28">
        <f t="shared" si="2"/>
        <v>2024</v>
      </c>
      <c r="AJ28" t="str">
        <f t="shared" si="11"/>
        <v>OK</v>
      </c>
      <c r="AK28" t="str">
        <f t="shared" si="12"/>
        <v>OK</v>
      </c>
      <c r="AL28" t="str">
        <f t="shared" si="13"/>
        <v>Exclude</v>
      </c>
      <c r="AM28" t="str">
        <f t="shared" si="3"/>
        <v>Clean</v>
      </c>
    </row>
    <row r="29" spans="1:39">
      <c r="A29" t="s">
        <v>173</v>
      </c>
      <c r="B29" s="4">
        <v>45929</v>
      </c>
      <c r="C29" s="4">
        <v>45935</v>
      </c>
      <c r="D29" s="6">
        <v>6</v>
      </c>
      <c r="E29" t="s">
        <v>2788</v>
      </c>
      <c r="F29" t="s">
        <v>2788</v>
      </c>
      <c r="G29" t="s">
        <v>2788</v>
      </c>
      <c r="H29" t="s">
        <v>174</v>
      </c>
      <c r="I29" t="s">
        <v>53</v>
      </c>
      <c r="J29" t="s">
        <v>37</v>
      </c>
      <c r="K29" t="s">
        <v>54</v>
      </c>
      <c r="L29" t="s">
        <v>175</v>
      </c>
      <c r="M29" t="s">
        <v>176</v>
      </c>
      <c r="N29" t="s">
        <v>28</v>
      </c>
      <c r="O29" t="s">
        <v>29</v>
      </c>
      <c r="P29" t="s">
        <v>177</v>
      </c>
      <c r="Q29" t="s">
        <v>31</v>
      </c>
      <c r="R29">
        <v>5</v>
      </c>
      <c r="S29">
        <v>1806.51</v>
      </c>
      <c r="T29">
        <v>0.25</v>
      </c>
      <c r="U29">
        <v>6774.41</v>
      </c>
      <c r="V29">
        <v>4710.3599999999997</v>
      </c>
      <c r="W29">
        <v>2064.0500000000002</v>
      </c>
      <c r="X29" t="s">
        <v>155</v>
      </c>
      <c r="Y29" t="s">
        <v>103</v>
      </c>
      <c r="Z29" t="str">
        <f t="shared" si="4"/>
        <v>Unique</v>
      </c>
      <c r="AA29" t="str">
        <f t="shared" si="0"/>
        <v>Unique</v>
      </c>
      <c r="AB29" t="str">
        <f t="shared" si="5"/>
        <v>OK</v>
      </c>
      <c r="AC29">
        <f t="shared" si="6"/>
        <v>0.25</v>
      </c>
      <c r="AD29" t="str">
        <f t="shared" si="7"/>
        <v>OK</v>
      </c>
      <c r="AE29">
        <f t="shared" si="8"/>
        <v>6774.4124999999995</v>
      </c>
      <c r="AF29">
        <f t="shared" si="9"/>
        <v>2064.0524999999998</v>
      </c>
      <c r="AG29">
        <f t="shared" si="10"/>
        <v>0.30468361647596748</v>
      </c>
      <c r="AH29" t="str">
        <f t="shared" si="1"/>
        <v>September</v>
      </c>
      <c r="AI29">
        <f t="shared" si="2"/>
        <v>2025</v>
      </c>
      <c r="AJ29" t="str">
        <f t="shared" si="11"/>
        <v>OK</v>
      </c>
      <c r="AK29" t="str">
        <f t="shared" si="12"/>
        <v>OK</v>
      </c>
      <c r="AL29" t="str">
        <f t="shared" si="13"/>
        <v>Exclude</v>
      </c>
      <c r="AM29" t="str">
        <f t="shared" si="3"/>
        <v>Clean</v>
      </c>
    </row>
    <row r="30" spans="1:39">
      <c r="A30" t="s">
        <v>178</v>
      </c>
      <c r="B30" s="4">
        <v>45576</v>
      </c>
      <c r="C30" s="4">
        <v>45583</v>
      </c>
      <c r="D30" s="6">
        <v>7</v>
      </c>
      <c r="E30" t="s">
        <v>2788</v>
      </c>
      <c r="F30" t="s">
        <v>2788</v>
      </c>
      <c r="G30" t="s">
        <v>2788</v>
      </c>
      <c r="H30" t="s">
        <v>179</v>
      </c>
      <c r="I30" t="s">
        <v>62</v>
      </c>
      <c r="J30" t="s">
        <v>95</v>
      </c>
      <c r="K30" t="s">
        <v>63</v>
      </c>
      <c r="L30" t="s">
        <v>180</v>
      </c>
      <c r="M30" t="s">
        <v>181</v>
      </c>
      <c r="N30" t="s">
        <v>74</v>
      </c>
      <c r="O30" t="s">
        <v>171</v>
      </c>
      <c r="P30" t="s">
        <v>182</v>
      </c>
      <c r="Q30" t="s">
        <v>31</v>
      </c>
      <c r="R30">
        <v>2</v>
      </c>
      <c r="S30">
        <v>1942.22</v>
      </c>
      <c r="T30">
        <v>0.25</v>
      </c>
      <c r="U30">
        <v>2913.33</v>
      </c>
      <c r="V30">
        <v>2122.33</v>
      </c>
      <c r="W30">
        <v>791</v>
      </c>
      <c r="X30" t="s">
        <v>102</v>
      </c>
      <c r="Y30" t="s">
        <v>68</v>
      </c>
      <c r="Z30" t="str">
        <f t="shared" si="4"/>
        <v>Unique</v>
      </c>
      <c r="AA30" t="str">
        <f t="shared" si="0"/>
        <v>Unique</v>
      </c>
      <c r="AB30" t="str">
        <f t="shared" si="5"/>
        <v>OK</v>
      </c>
      <c r="AC30">
        <f t="shared" si="6"/>
        <v>0.25</v>
      </c>
      <c r="AD30" t="str">
        <f t="shared" si="7"/>
        <v>OK</v>
      </c>
      <c r="AE30">
        <f t="shared" si="8"/>
        <v>2913.33</v>
      </c>
      <c r="AF30">
        <f t="shared" si="9"/>
        <v>791</v>
      </c>
      <c r="AG30">
        <f t="shared" si="10"/>
        <v>0.27151060813570727</v>
      </c>
      <c r="AH30" t="str">
        <f t="shared" si="1"/>
        <v>October</v>
      </c>
      <c r="AI30">
        <f t="shared" si="2"/>
        <v>2024</v>
      </c>
      <c r="AJ30" t="str">
        <f t="shared" si="11"/>
        <v>OK</v>
      </c>
      <c r="AK30" t="str">
        <f t="shared" si="12"/>
        <v>OK</v>
      </c>
      <c r="AL30" t="str">
        <f t="shared" si="13"/>
        <v>Exclude</v>
      </c>
      <c r="AM30" t="str">
        <f t="shared" si="3"/>
        <v>Clean</v>
      </c>
    </row>
    <row r="31" spans="1:39">
      <c r="A31" t="s">
        <v>183</v>
      </c>
      <c r="B31" s="4">
        <v>45882</v>
      </c>
      <c r="C31" s="4">
        <v>45882</v>
      </c>
      <c r="D31" s="6">
        <v>0</v>
      </c>
      <c r="E31" t="s">
        <v>2788</v>
      </c>
      <c r="F31" t="s">
        <v>2788</v>
      </c>
      <c r="G31" t="s">
        <v>2788</v>
      </c>
      <c r="H31" t="s">
        <v>184</v>
      </c>
      <c r="I31" t="s">
        <v>141</v>
      </c>
      <c r="J31" t="s">
        <v>95</v>
      </c>
      <c r="K31" t="s">
        <v>54</v>
      </c>
      <c r="L31" t="s">
        <v>185</v>
      </c>
      <c r="M31" t="s">
        <v>186</v>
      </c>
      <c r="N31" t="s">
        <v>74</v>
      </c>
      <c r="O31" t="s">
        <v>171</v>
      </c>
      <c r="P31" t="s">
        <v>187</v>
      </c>
      <c r="Q31" t="s">
        <v>59</v>
      </c>
      <c r="R31">
        <v>1</v>
      </c>
      <c r="S31">
        <v>256.01</v>
      </c>
      <c r="T31">
        <v>0.15</v>
      </c>
      <c r="U31">
        <v>217.61</v>
      </c>
      <c r="V31">
        <v>119.77</v>
      </c>
      <c r="W31">
        <v>97.84</v>
      </c>
      <c r="X31" t="s">
        <v>32</v>
      </c>
      <c r="Y31" t="s">
        <v>33</v>
      </c>
      <c r="Z31" t="str">
        <f t="shared" si="4"/>
        <v>Unique</v>
      </c>
      <c r="AA31" t="str">
        <f t="shared" si="0"/>
        <v>Unique</v>
      </c>
      <c r="AB31" t="str">
        <f t="shared" si="5"/>
        <v>OK</v>
      </c>
      <c r="AC31">
        <f t="shared" si="6"/>
        <v>0.15</v>
      </c>
      <c r="AD31" t="str">
        <f t="shared" si="7"/>
        <v>OK</v>
      </c>
      <c r="AE31">
        <f t="shared" si="8"/>
        <v>217.60849999999999</v>
      </c>
      <c r="AF31">
        <f t="shared" si="9"/>
        <v>97.838499999999996</v>
      </c>
      <c r="AG31">
        <f t="shared" si="10"/>
        <v>0.44960789675035673</v>
      </c>
      <c r="AH31" t="str">
        <f t="shared" si="1"/>
        <v>August</v>
      </c>
      <c r="AI31">
        <f t="shared" si="2"/>
        <v>2025</v>
      </c>
      <c r="AJ31" t="str">
        <f t="shared" si="11"/>
        <v>OK</v>
      </c>
      <c r="AK31" t="str">
        <f t="shared" si="12"/>
        <v>OK</v>
      </c>
      <c r="AL31" t="str">
        <f t="shared" si="13"/>
        <v>Include</v>
      </c>
      <c r="AM31" t="str">
        <f t="shared" si="3"/>
        <v>Clean</v>
      </c>
    </row>
    <row r="32" spans="1:39">
      <c r="A32" t="s">
        <v>188</v>
      </c>
      <c r="B32" s="4">
        <v>45331</v>
      </c>
      <c r="C32" s="4">
        <v>45334</v>
      </c>
      <c r="D32" s="6">
        <v>3</v>
      </c>
      <c r="E32" t="s">
        <v>2788</v>
      </c>
      <c r="F32" t="s">
        <v>2788</v>
      </c>
      <c r="G32" t="s">
        <v>2788</v>
      </c>
      <c r="H32" t="s">
        <v>189</v>
      </c>
      <c r="I32" t="s">
        <v>62</v>
      </c>
      <c r="J32" t="s">
        <v>90</v>
      </c>
      <c r="K32" t="s">
        <v>63</v>
      </c>
      <c r="L32" t="s">
        <v>190</v>
      </c>
      <c r="M32" t="s">
        <v>191</v>
      </c>
      <c r="N32" t="s">
        <v>28</v>
      </c>
      <c r="O32" t="s">
        <v>91</v>
      </c>
      <c r="P32" t="s">
        <v>192</v>
      </c>
      <c r="Q32" t="s">
        <v>50</v>
      </c>
      <c r="R32">
        <v>1</v>
      </c>
      <c r="S32">
        <v>3421.77</v>
      </c>
      <c r="T32">
        <v>0.1</v>
      </c>
      <c r="U32">
        <v>3079.59</v>
      </c>
      <c r="V32">
        <v>2001.89</v>
      </c>
      <c r="W32">
        <v>1077.7</v>
      </c>
      <c r="X32" t="s">
        <v>32</v>
      </c>
      <c r="Y32" t="s">
        <v>33</v>
      </c>
      <c r="Z32" t="str">
        <f t="shared" si="4"/>
        <v>Unique</v>
      </c>
      <c r="AA32" t="str">
        <f t="shared" si="0"/>
        <v>Unique</v>
      </c>
      <c r="AB32" t="str">
        <f t="shared" si="5"/>
        <v>OK</v>
      </c>
      <c r="AC32">
        <f t="shared" si="6"/>
        <v>0.1</v>
      </c>
      <c r="AD32" t="str">
        <f t="shared" si="7"/>
        <v>OK</v>
      </c>
      <c r="AE32">
        <f t="shared" si="8"/>
        <v>3079.5929999999998</v>
      </c>
      <c r="AF32">
        <f t="shared" si="9"/>
        <v>1077.7029999999997</v>
      </c>
      <c r="AG32">
        <f t="shared" si="10"/>
        <v>0.34994981479695525</v>
      </c>
      <c r="AH32" t="str">
        <f t="shared" si="1"/>
        <v>February</v>
      </c>
      <c r="AI32">
        <f t="shared" si="2"/>
        <v>2024</v>
      </c>
      <c r="AJ32" t="str">
        <f t="shared" si="11"/>
        <v>OK</v>
      </c>
      <c r="AK32" t="str">
        <f t="shared" si="12"/>
        <v>OK</v>
      </c>
      <c r="AL32" t="str">
        <f t="shared" si="13"/>
        <v>Include</v>
      </c>
      <c r="AM32" t="str">
        <f t="shared" si="3"/>
        <v>Clean</v>
      </c>
    </row>
    <row r="33" spans="1:39">
      <c r="A33" t="s">
        <v>193</v>
      </c>
      <c r="B33" s="4">
        <v>45823</v>
      </c>
      <c r="C33" s="4">
        <v>45827</v>
      </c>
      <c r="D33" s="6">
        <v>4</v>
      </c>
      <c r="E33" t="s">
        <v>2788</v>
      </c>
      <c r="F33" t="s">
        <v>2788</v>
      </c>
      <c r="G33" t="s">
        <v>2788</v>
      </c>
      <c r="H33" t="s">
        <v>194</v>
      </c>
      <c r="I33" t="s">
        <v>23</v>
      </c>
      <c r="J33" t="s">
        <v>37</v>
      </c>
      <c r="K33" t="s">
        <v>63</v>
      </c>
      <c r="L33" t="s">
        <v>72</v>
      </c>
      <c r="M33" t="s">
        <v>73</v>
      </c>
      <c r="N33" t="s">
        <v>28</v>
      </c>
      <c r="O33" t="s">
        <v>29</v>
      </c>
      <c r="P33" t="s">
        <v>195</v>
      </c>
      <c r="Q33" t="s">
        <v>31</v>
      </c>
      <c r="R33">
        <v>9</v>
      </c>
      <c r="S33">
        <v>3092.55</v>
      </c>
      <c r="T33">
        <v>0</v>
      </c>
      <c r="U33">
        <v>27832.95</v>
      </c>
      <c r="V33">
        <v>17769.75</v>
      </c>
      <c r="W33">
        <v>10063.200000000001</v>
      </c>
      <c r="X33" t="s">
        <v>155</v>
      </c>
      <c r="Y33" t="s">
        <v>103</v>
      </c>
      <c r="Z33" t="str">
        <f t="shared" si="4"/>
        <v>Unique</v>
      </c>
      <c r="AA33" t="str">
        <f t="shared" si="0"/>
        <v>Unique</v>
      </c>
      <c r="AB33" t="str">
        <f t="shared" si="5"/>
        <v>OK</v>
      </c>
      <c r="AC33">
        <f t="shared" si="6"/>
        <v>0</v>
      </c>
      <c r="AD33" t="str">
        <f t="shared" si="7"/>
        <v>OK</v>
      </c>
      <c r="AE33">
        <f t="shared" si="8"/>
        <v>27832.95</v>
      </c>
      <c r="AF33">
        <f t="shared" si="9"/>
        <v>10063.200000000001</v>
      </c>
      <c r="AG33">
        <f t="shared" si="10"/>
        <v>0.36155707533696574</v>
      </c>
      <c r="AH33" t="str">
        <f t="shared" si="1"/>
        <v>June</v>
      </c>
      <c r="AI33">
        <f t="shared" si="2"/>
        <v>2025</v>
      </c>
      <c r="AJ33" t="str">
        <f t="shared" si="11"/>
        <v>OK</v>
      </c>
      <c r="AK33" t="str">
        <f t="shared" si="12"/>
        <v>OK</v>
      </c>
      <c r="AL33" t="str">
        <f t="shared" si="13"/>
        <v>Exclude</v>
      </c>
      <c r="AM33" t="str">
        <f t="shared" si="3"/>
        <v>Clean</v>
      </c>
    </row>
    <row r="34" spans="1:39">
      <c r="A34" t="s">
        <v>196</v>
      </c>
      <c r="B34" s="4">
        <v>45618</v>
      </c>
      <c r="C34" s="4">
        <v>45622</v>
      </c>
      <c r="D34" s="6">
        <v>4</v>
      </c>
      <c r="E34" t="s">
        <v>2788</v>
      </c>
      <c r="F34" t="s">
        <v>2788</v>
      </c>
      <c r="G34" t="s">
        <v>2788</v>
      </c>
      <c r="H34" t="s">
        <v>197</v>
      </c>
      <c r="I34" t="s">
        <v>128</v>
      </c>
      <c r="J34" t="s">
        <v>90</v>
      </c>
      <c r="K34" t="s">
        <v>54</v>
      </c>
      <c r="L34" t="s">
        <v>84</v>
      </c>
      <c r="M34" t="s">
        <v>85</v>
      </c>
      <c r="N34" t="s">
        <v>74</v>
      </c>
      <c r="O34" t="s">
        <v>171</v>
      </c>
      <c r="P34" t="s">
        <v>198</v>
      </c>
      <c r="Q34" t="s">
        <v>31</v>
      </c>
      <c r="R34">
        <v>3</v>
      </c>
      <c r="S34">
        <v>4001.25</v>
      </c>
      <c r="U34">
        <v>9002.81</v>
      </c>
      <c r="V34">
        <v>7529.92</v>
      </c>
      <c r="W34">
        <v>1472.89</v>
      </c>
      <c r="X34" t="s">
        <v>32</v>
      </c>
      <c r="Y34" t="s">
        <v>33</v>
      </c>
      <c r="Z34" t="str">
        <f t="shared" si="4"/>
        <v>Unique</v>
      </c>
      <c r="AA34" t="str">
        <f t="shared" si="0"/>
        <v>Unique</v>
      </c>
      <c r="AB34" t="str">
        <f t="shared" si="5"/>
        <v>OK</v>
      </c>
      <c r="AC34">
        <f t="shared" si="6"/>
        <v>0</v>
      </c>
      <c r="AD34" t="str">
        <f t="shared" si="7"/>
        <v>OK</v>
      </c>
      <c r="AE34">
        <f t="shared" si="8"/>
        <v>12003.75</v>
      </c>
      <c r="AF34">
        <f t="shared" si="9"/>
        <v>4473.83</v>
      </c>
      <c r="AG34">
        <f t="shared" si="10"/>
        <v>0.37270269707383108</v>
      </c>
      <c r="AH34" t="str">
        <f t="shared" si="1"/>
        <v>November</v>
      </c>
      <c r="AI34">
        <f t="shared" si="2"/>
        <v>2024</v>
      </c>
      <c r="AJ34" t="str">
        <f t="shared" si="11"/>
        <v>Sales Mismatch</v>
      </c>
      <c r="AK34" t="str">
        <f t="shared" si="12"/>
        <v>Profit Mismatch</v>
      </c>
      <c r="AL34" t="str">
        <f t="shared" si="13"/>
        <v>Include</v>
      </c>
      <c r="AM34" t="str">
        <f t="shared" si="3"/>
        <v>Warning</v>
      </c>
    </row>
    <row r="35" spans="1:39">
      <c r="A35" t="s">
        <v>199</v>
      </c>
      <c r="B35" s="4">
        <v>45495</v>
      </c>
      <c r="C35" s="4">
        <v>45500</v>
      </c>
      <c r="D35" s="6">
        <v>5</v>
      </c>
      <c r="E35" t="s">
        <v>2788</v>
      </c>
      <c r="F35" t="s">
        <v>2788</v>
      </c>
      <c r="G35" t="s">
        <v>2788</v>
      </c>
      <c r="H35" t="s">
        <v>200</v>
      </c>
      <c r="I35" t="s">
        <v>114</v>
      </c>
      <c r="J35" t="s">
        <v>95</v>
      </c>
      <c r="K35" t="s">
        <v>63</v>
      </c>
      <c r="L35" t="s">
        <v>190</v>
      </c>
      <c r="M35" t="s">
        <v>191</v>
      </c>
      <c r="N35" t="s">
        <v>41</v>
      </c>
      <c r="O35" t="s">
        <v>42</v>
      </c>
      <c r="P35" t="s">
        <v>201</v>
      </c>
      <c r="Q35" t="s">
        <v>44</v>
      </c>
      <c r="R35">
        <v>7</v>
      </c>
      <c r="S35">
        <v>492.41</v>
      </c>
      <c r="T35">
        <v>0.25</v>
      </c>
      <c r="U35">
        <v>2585.15</v>
      </c>
      <c r="V35">
        <v>2070.73</v>
      </c>
      <c r="W35">
        <v>514.41999999999996</v>
      </c>
      <c r="X35" t="s">
        <v>32</v>
      </c>
      <c r="Y35" t="s">
        <v>33</v>
      </c>
      <c r="Z35" t="str">
        <f t="shared" si="4"/>
        <v>Unique</v>
      </c>
      <c r="AA35" t="str">
        <f t="shared" si="0"/>
        <v>Unique</v>
      </c>
      <c r="AB35" t="str">
        <f t="shared" si="5"/>
        <v>OK</v>
      </c>
      <c r="AC35">
        <f t="shared" si="6"/>
        <v>0.25</v>
      </c>
      <c r="AD35" t="str">
        <f t="shared" si="7"/>
        <v>OK</v>
      </c>
      <c r="AE35">
        <f t="shared" si="8"/>
        <v>2585.1525000000001</v>
      </c>
      <c r="AF35">
        <f t="shared" si="9"/>
        <v>514.42250000000013</v>
      </c>
      <c r="AG35">
        <f t="shared" si="10"/>
        <v>0.19899116203009304</v>
      </c>
      <c r="AH35" t="str">
        <f t="shared" si="1"/>
        <v>July</v>
      </c>
      <c r="AI35">
        <f t="shared" si="2"/>
        <v>2024</v>
      </c>
      <c r="AJ35" t="str">
        <f t="shared" si="11"/>
        <v>OK</v>
      </c>
      <c r="AK35" t="str">
        <f t="shared" si="12"/>
        <v>OK</v>
      </c>
      <c r="AL35" t="str">
        <f t="shared" si="13"/>
        <v>Include</v>
      </c>
      <c r="AM35" t="str">
        <f t="shared" si="3"/>
        <v>Clean</v>
      </c>
    </row>
    <row r="36" spans="1:39">
      <c r="A36" t="s">
        <v>202</v>
      </c>
      <c r="B36" s="4">
        <v>45688</v>
      </c>
      <c r="C36" s="4">
        <v>45693</v>
      </c>
      <c r="D36" s="6">
        <v>5</v>
      </c>
      <c r="E36" t="s">
        <v>2788</v>
      </c>
      <c r="F36" t="s">
        <v>2788</v>
      </c>
      <c r="G36" t="s">
        <v>2788</v>
      </c>
      <c r="H36" t="s">
        <v>203</v>
      </c>
      <c r="I36" t="s">
        <v>114</v>
      </c>
      <c r="J36" t="s">
        <v>95</v>
      </c>
      <c r="K36" t="s">
        <v>38</v>
      </c>
      <c r="L36" t="s">
        <v>99</v>
      </c>
      <c r="M36" t="s">
        <v>100</v>
      </c>
      <c r="N36" t="s">
        <v>41</v>
      </c>
      <c r="O36" t="s">
        <v>66</v>
      </c>
      <c r="P36" t="s">
        <v>204</v>
      </c>
      <c r="Q36" t="s">
        <v>2783</v>
      </c>
      <c r="R36">
        <v>2</v>
      </c>
      <c r="S36">
        <v>4159.6899999999996</v>
      </c>
      <c r="T36">
        <v>0.2</v>
      </c>
      <c r="U36">
        <v>6655.5</v>
      </c>
      <c r="V36">
        <v>4340.21</v>
      </c>
      <c r="W36">
        <v>2607.3200000000002</v>
      </c>
      <c r="X36" t="s">
        <v>32</v>
      </c>
      <c r="Y36" t="s">
        <v>33</v>
      </c>
      <c r="Z36" t="str">
        <f t="shared" si="4"/>
        <v>Unique</v>
      </c>
      <c r="AA36" t="str">
        <f t="shared" si="0"/>
        <v>Unique</v>
      </c>
      <c r="AB36" t="str">
        <f t="shared" si="5"/>
        <v>OK</v>
      </c>
      <c r="AC36">
        <f t="shared" si="6"/>
        <v>0.2</v>
      </c>
      <c r="AD36" t="str">
        <f t="shared" si="7"/>
        <v>OK</v>
      </c>
      <c r="AE36">
        <f t="shared" si="8"/>
        <v>6655.5039999999999</v>
      </c>
      <c r="AF36">
        <f t="shared" si="9"/>
        <v>2315.2939999999999</v>
      </c>
      <c r="AG36">
        <f t="shared" si="10"/>
        <v>0.34787658455317583</v>
      </c>
      <c r="AH36" t="str">
        <f t="shared" si="1"/>
        <v>January</v>
      </c>
      <c r="AI36">
        <f t="shared" si="2"/>
        <v>2025</v>
      </c>
      <c r="AJ36" t="str">
        <f t="shared" si="11"/>
        <v>OK</v>
      </c>
      <c r="AK36" t="str">
        <f t="shared" si="12"/>
        <v>Profit Mismatch</v>
      </c>
      <c r="AL36" t="str">
        <f t="shared" si="13"/>
        <v>Include</v>
      </c>
      <c r="AM36" t="str">
        <f t="shared" si="3"/>
        <v>Warning</v>
      </c>
    </row>
    <row r="37" spans="1:39">
      <c r="A37" t="s">
        <v>205</v>
      </c>
      <c r="B37" s="4">
        <v>45441</v>
      </c>
      <c r="C37" s="4">
        <v>45441</v>
      </c>
      <c r="D37" s="6">
        <v>0</v>
      </c>
      <c r="E37" t="s">
        <v>2788</v>
      </c>
      <c r="F37" t="s">
        <v>2788</v>
      </c>
      <c r="G37" t="s">
        <v>2788</v>
      </c>
      <c r="H37" t="s">
        <v>206</v>
      </c>
      <c r="I37" t="s">
        <v>132</v>
      </c>
      <c r="J37" t="s">
        <v>37</v>
      </c>
      <c r="K37" t="s">
        <v>63</v>
      </c>
      <c r="L37" t="s">
        <v>180</v>
      </c>
      <c r="M37" t="s">
        <v>181</v>
      </c>
      <c r="N37" t="s">
        <v>41</v>
      </c>
      <c r="O37" t="s">
        <v>158</v>
      </c>
      <c r="P37" t="s">
        <v>207</v>
      </c>
      <c r="Q37" t="s">
        <v>31</v>
      </c>
      <c r="R37">
        <v>8</v>
      </c>
      <c r="S37">
        <v>2507.12</v>
      </c>
      <c r="T37">
        <v>0.05</v>
      </c>
      <c r="U37">
        <v>19054.11</v>
      </c>
      <c r="V37">
        <v>15313.83</v>
      </c>
      <c r="W37">
        <v>3740.28</v>
      </c>
      <c r="X37" t="s">
        <v>111</v>
      </c>
      <c r="Y37" t="s">
        <v>103</v>
      </c>
      <c r="Z37" t="str">
        <f t="shared" si="4"/>
        <v>Unique</v>
      </c>
      <c r="AA37" t="str">
        <f t="shared" si="0"/>
        <v>Unique</v>
      </c>
      <c r="AB37" t="str">
        <f t="shared" si="5"/>
        <v>OK</v>
      </c>
      <c r="AC37">
        <f t="shared" si="6"/>
        <v>0.05</v>
      </c>
      <c r="AD37" t="str">
        <f t="shared" si="7"/>
        <v>OK</v>
      </c>
      <c r="AE37">
        <f t="shared" si="8"/>
        <v>19054.111999999997</v>
      </c>
      <c r="AF37">
        <f t="shared" si="9"/>
        <v>3740.2819999999974</v>
      </c>
      <c r="AG37">
        <f t="shared" si="10"/>
        <v>0.19629789097492437</v>
      </c>
      <c r="AH37" t="str">
        <f t="shared" si="1"/>
        <v>May</v>
      </c>
      <c r="AI37">
        <f t="shared" si="2"/>
        <v>2024</v>
      </c>
      <c r="AJ37" t="str">
        <f t="shared" si="11"/>
        <v>OK</v>
      </c>
      <c r="AK37" t="str">
        <f t="shared" si="12"/>
        <v>OK</v>
      </c>
      <c r="AL37" t="str">
        <f t="shared" si="13"/>
        <v>Exclude</v>
      </c>
      <c r="AM37" t="str">
        <f t="shared" si="3"/>
        <v>Clean</v>
      </c>
    </row>
    <row r="38" spans="1:39">
      <c r="A38" t="s">
        <v>208</v>
      </c>
      <c r="B38" s="4">
        <v>45590</v>
      </c>
      <c r="C38" s="4">
        <v>45593</v>
      </c>
      <c r="D38" s="6">
        <v>3</v>
      </c>
      <c r="E38" t="s">
        <v>2788</v>
      </c>
      <c r="F38" t="s">
        <v>2788</v>
      </c>
      <c r="G38" t="s">
        <v>2788</v>
      </c>
      <c r="H38" t="s">
        <v>209</v>
      </c>
      <c r="I38" t="s">
        <v>141</v>
      </c>
      <c r="J38" t="s">
        <v>90</v>
      </c>
      <c r="K38" t="s">
        <v>63</v>
      </c>
      <c r="L38" t="s">
        <v>64</v>
      </c>
      <c r="M38" t="s">
        <v>65</v>
      </c>
      <c r="N38" t="s">
        <v>41</v>
      </c>
      <c r="O38" t="s">
        <v>158</v>
      </c>
      <c r="P38" t="s">
        <v>210</v>
      </c>
      <c r="Q38" t="s">
        <v>31</v>
      </c>
      <c r="R38">
        <v>3</v>
      </c>
      <c r="S38">
        <v>3126.47</v>
      </c>
      <c r="T38">
        <v>0</v>
      </c>
      <c r="U38">
        <v>9379.41</v>
      </c>
      <c r="V38">
        <v>6670.85</v>
      </c>
      <c r="W38">
        <v>2708.56</v>
      </c>
      <c r="X38" t="s">
        <v>32</v>
      </c>
      <c r="Y38" t="s">
        <v>103</v>
      </c>
      <c r="Z38" t="str">
        <f t="shared" si="4"/>
        <v>Unique</v>
      </c>
      <c r="AA38" t="str">
        <f t="shared" si="0"/>
        <v>Unique</v>
      </c>
      <c r="AB38" t="str">
        <f t="shared" si="5"/>
        <v>OK</v>
      </c>
      <c r="AC38">
        <f t="shared" si="6"/>
        <v>0</v>
      </c>
      <c r="AD38" t="str">
        <f t="shared" si="7"/>
        <v>OK</v>
      </c>
      <c r="AE38">
        <f t="shared" si="8"/>
        <v>9379.41</v>
      </c>
      <c r="AF38">
        <f t="shared" si="9"/>
        <v>2708.5599999999995</v>
      </c>
      <c r="AG38">
        <f t="shared" si="10"/>
        <v>0.28877722585962223</v>
      </c>
      <c r="AH38" t="str">
        <f t="shared" si="1"/>
        <v>October</v>
      </c>
      <c r="AI38">
        <f t="shared" si="2"/>
        <v>2024</v>
      </c>
      <c r="AJ38" t="str">
        <f t="shared" si="11"/>
        <v>OK</v>
      </c>
      <c r="AK38" t="str">
        <f t="shared" si="12"/>
        <v>OK</v>
      </c>
      <c r="AL38" t="str">
        <f t="shared" si="13"/>
        <v>Exclude</v>
      </c>
      <c r="AM38" t="str">
        <f t="shared" si="3"/>
        <v>Clean</v>
      </c>
    </row>
    <row r="39" spans="1:39">
      <c r="A39" t="s">
        <v>211</v>
      </c>
      <c r="B39" s="4">
        <v>45867</v>
      </c>
      <c r="C39" s="4">
        <v>45867</v>
      </c>
      <c r="D39" s="6">
        <v>0</v>
      </c>
      <c r="E39" t="s">
        <v>2788</v>
      </c>
      <c r="F39" t="s">
        <v>2788</v>
      </c>
      <c r="G39" t="s">
        <v>2788</v>
      </c>
      <c r="H39" t="s">
        <v>212</v>
      </c>
      <c r="I39" t="s">
        <v>162</v>
      </c>
      <c r="J39" t="s">
        <v>24</v>
      </c>
      <c r="K39" t="s">
        <v>63</v>
      </c>
      <c r="L39" t="s">
        <v>64</v>
      </c>
      <c r="M39" t="s">
        <v>65</v>
      </c>
      <c r="N39" t="s">
        <v>74</v>
      </c>
      <c r="O39" t="s">
        <v>80</v>
      </c>
      <c r="P39" t="s">
        <v>213</v>
      </c>
      <c r="Q39" t="s">
        <v>59</v>
      </c>
      <c r="R39">
        <v>4</v>
      </c>
      <c r="S39">
        <v>1327.54</v>
      </c>
      <c r="T39">
        <v>0.2</v>
      </c>
      <c r="U39">
        <v>4248.13</v>
      </c>
      <c r="V39">
        <v>3321.09</v>
      </c>
      <c r="W39">
        <v>927.04</v>
      </c>
      <c r="X39" t="s">
        <v>32</v>
      </c>
      <c r="Y39" t="s">
        <v>33</v>
      </c>
      <c r="Z39" t="str">
        <f t="shared" si="4"/>
        <v>Unique</v>
      </c>
      <c r="AA39" t="str">
        <f t="shared" si="0"/>
        <v>Unique</v>
      </c>
      <c r="AB39" t="str">
        <f t="shared" si="5"/>
        <v>OK</v>
      </c>
      <c r="AC39">
        <f t="shared" si="6"/>
        <v>0.2</v>
      </c>
      <c r="AD39" t="str">
        <f t="shared" si="7"/>
        <v>OK</v>
      </c>
      <c r="AE39">
        <f t="shared" si="8"/>
        <v>4248.1279999999997</v>
      </c>
      <c r="AF39">
        <f t="shared" si="9"/>
        <v>927.03799999999956</v>
      </c>
      <c r="AG39">
        <f t="shared" si="10"/>
        <v>0.21822270892025844</v>
      </c>
      <c r="AH39" t="str">
        <f t="shared" si="1"/>
        <v>July</v>
      </c>
      <c r="AI39">
        <f t="shared" si="2"/>
        <v>2025</v>
      </c>
      <c r="AJ39" t="str">
        <f t="shared" si="11"/>
        <v>OK</v>
      </c>
      <c r="AK39" t="str">
        <f t="shared" si="12"/>
        <v>OK</v>
      </c>
      <c r="AL39" t="str">
        <f t="shared" si="13"/>
        <v>Include</v>
      </c>
      <c r="AM39" t="str">
        <f t="shared" si="3"/>
        <v>Clean</v>
      </c>
    </row>
    <row r="40" spans="1:39">
      <c r="A40" t="s">
        <v>214</v>
      </c>
      <c r="B40" s="4">
        <v>45460</v>
      </c>
      <c r="C40" s="4">
        <v>45465</v>
      </c>
      <c r="D40" s="6">
        <v>5</v>
      </c>
      <c r="E40" t="s">
        <v>2788</v>
      </c>
      <c r="F40" t="s">
        <v>2788</v>
      </c>
      <c r="G40" t="s">
        <v>2788</v>
      </c>
      <c r="H40" t="s">
        <v>215</v>
      </c>
      <c r="I40" t="s">
        <v>128</v>
      </c>
      <c r="J40" t="s">
        <v>90</v>
      </c>
      <c r="K40" t="s">
        <v>63</v>
      </c>
      <c r="L40" t="s">
        <v>180</v>
      </c>
      <c r="M40" t="s">
        <v>181</v>
      </c>
      <c r="N40" t="s">
        <v>74</v>
      </c>
      <c r="O40" t="s">
        <v>171</v>
      </c>
      <c r="P40" t="s">
        <v>216</v>
      </c>
      <c r="Q40" t="s">
        <v>50</v>
      </c>
      <c r="R40">
        <v>7</v>
      </c>
      <c r="S40">
        <v>2210.6799999999998</v>
      </c>
      <c r="T40">
        <v>0.1</v>
      </c>
      <c r="U40">
        <v>13927.28</v>
      </c>
      <c r="V40">
        <v>10504.87</v>
      </c>
      <c r="W40">
        <v>3422.41</v>
      </c>
      <c r="X40" t="s">
        <v>32</v>
      </c>
      <c r="Y40" t="s">
        <v>33</v>
      </c>
      <c r="Z40" t="str">
        <f t="shared" si="4"/>
        <v>Unique</v>
      </c>
      <c r="AA40" t="str">
        <f t="shared" si="0"/>
        <v>Unique</v>
      </c>
      <c r="AB40" t="str">
        <f t="shared" si="5"/>
        <v>OK</v>
      </c>
      <c r="AC40">
        <f t="shared" si="6"/>
        <v>0.1</v>
      </c>
      <c r="AD40" t="str">
        <f t="shared" si="7"/>
        <v>OK</v>
      </c>
      <c r="AE40">
        <f t="shared" si="8"/>
        <v>13927.284</v>
      </c>
      <c r="AF40">
        <f t="shared" si="9"/>
        <v>3422.4139999999989</v>
      </c>
      <c r="AG40">
        <f t="shared" si="10"/>
        <v>0.24573448778670692</v>
      </c>
      <c r="AH40" t="str">
        <f t="shared" si="1"/>
        <v>June</v>
      </c>
      <c r="AI40">
        <f t="shared" si="2"/>
        <v>2024</v>
      </c>
      <c r="AJ40" t="str">
        <f t="shared" si="11"/>
        <v>OK</v>
      </c>
      <c r="AK40" t="str">
        <f t="shared" si="12"/>
        <v>OK</v>
      </c>
      <c r="AL40" t="str">
        <f t="shared" si="13"/>
        <v>Include</v>
      </c>
      <c r="AM40" t="str">
        <f t="shared" si="3"/>
        <v>Clean</v>
      </c>
    </row>
    <row r="41" spans="1:39">
      <c r="A41" t="s">
        <v>217</v>
      </c>
      <c r="B41" s="4">
        <v>45637</v>
      </c>
      <c r="C41" s="4">
        <v>45637</v>
      </c>
      <c r="D41" s="6">
        <v>0</v>
      </c>
      <c r="E41" t="s">
        <v>2788</v>
      </c>
      <c r="F41" t="s">
        <v>2788</v>
      </c>
      <c r="G41" t="s">
        <v>2788</v>
      </c>
      <c r="H41" t="s">
        <v>218</v>
      </c>
      <c r="I41" t="s">
        <v>36</v>
      </c>
      <c r="J41" t="s">
        <v>37</v>
      </c>
      <c r="K41" t="s">
        <v>63</v>
      </c>
      <c r="L41" t="s">
        <v>72</v>
      </c>
      <c r="M41" t="s">
        <v>73</v>
      </c>
      <c r="N41" t="s">
        <v>74</v>
      </c>
      <c r="O41" t="s">
        <v>80</v>
      </c>
      <c r="P41" t="s">
        <v>219</v>
      </c>
      <c r="Q41" t="s">
        <v>50</v>
      </c>
      <c r="R41">
        <v>4</v>
      </c>
      <c r="S41">
        <v>1370.92</v>
      </c>
      <c r="T41">
        <v>0.1</v>
      </c>
      <c r="U41">
        <v>4935.3100000000004</v>
      </c>
      <c r="V41">
        <v>3374.77</v>
      </c>
      <c r="W41">
        <v>1560.54</v>
      </c>
      <c r="X41" t="s">
        <v>111</v>
      </c>
      <c r="Y41" t="s">
        <v>103</v>
      </c>
      <c r="Z41" t="str">
        <f t="shared" si="4"/>
        <v>Unique</v>
      </c>
      <c r="AA41" t="str">
        <f t="shared" si="0"/>
        <v>Unique</v>
      </c>
      <c r="AB41" t="str">
        <f t="shared" si="5"/>
        <v>OK</v>
      </c>
      <c r="AC41">
        <f t="shared" si="6"/>
        <v>0.1</v>
      </c>
      <c r="AD41" t="str">
        <f t="shared" si="7"/>
        <v>OK</v>
      </c>
      <c r="AE41">
        <f t="shared" si="8"/>
        <v>4935.3120000000008</v>
      </c>
      <c r="AF41">
        <f t="shared" si="9"/>
        <v>1560.5420000000008</v>
      </c>
      <c r="AG41">
        <f t="shared" si="10"/>
        <v>0.31619925954022776</v>
      </c>
      <c r="AH41" t="str">
        <f t="shared" si="1"/>
        <v>December</v>
      </c>
      <c r="AI41">
        <f t="shared" si="2"/>
        <v>2024</v>
      </c>
      <c r="AJ41" t="str">
        <f t="shared" si="11"/>
        <v>OK</v>
      </c>
      <c r="AK41" t="str">
        <f t="shared" si="12"/>
        <v>OK</v>
      </c>
      <c r="AL41" t="str">
        <f t="shared" si="13"/>
        <v>Exclude</v>
      </c>
      <c r="AM41" t="str">
        <f t="shared" si="3"/>
        <v>Clean</v>
      </c>
    </row>
    <row r="42" spans="1:39">
      <c r="A42" t="s">
        <v>220</v>
      </c>
      <c r="B42" s="4">
        <v>45575</v>
      </c>
      <c r="C42" s="4">
        <v>45581</v>
      </c>
      <c r="D42" s="6">
        <v>6</v>
      </c>
      <c r="E42" t="s">
        <v>2788</v>
      </c>
      <c r="F42" t="s">
        <v>2788</v>
      </c>
      <c r="G42" t="s">
        <v>2788</v>
      </c>
      <c r="H42" t="s">
        <v>221</v>
      </c>
      <c r="I42" t="s">
        <v>47</v>
      </c>
      <c r="J42" t="s">
        <v>95</v>
      </c>
      <c r="K42" t="s">
        <v>63</v>
      </c>
      <c r="L42" t="s">
        <v>26</v>
      </c>
      <c r="M42" t="s">
        <v>109</v>
      </c>
      <c r="N42" t="s">
        <v>74</v>
      </c>
      <c r="O42" t="s">
        <v>80</v>
      </c>
      <c r="P42" t="s">
        <v>222</v>
      </c>
      <c r="Q42" t="s">
        <v>59</v>
      </c>
      <c r="R42">
        <v>7</v>
      </c>
      <c r="S42">
        <v>2509.27</v>
      </c>
      <c r="T42">
        <v>0.2</v>
      </c>
      <c r="U42">
        <v>14051.91</v>
      </c>
      <c r="V42">
        <v>11990.37</v>
      </c>
      <c r="W42">
        <v>2061.54</v>
      </c>
      <c r="X42" t="s">
        <v>32</v>
      </c>
      <c r="Y42" t="s">
        <v>33</v>
      </c>
      <c r="Z42" t="str">
        <f t="shared" si="4"/>
        <v>Unique</v>
      </c>
      <c r="AA42" t="str">
        <f t="shared" si="0"/>
        <v>Unique</v>
      </c>
      <c r="AB42" t="str">
        <f t="shared" si="5"/>
        <v>OK</v>
      </c>
      <c r="AC42">
        <f t="shared" si="6"/>
        <v>0.2</v>
      </c>
      <c r="AD42" t="str">
        <f t="shared" si="7"/>
        <v>OK</v>
      </c>
      <c r="AE42">
        <f t="shared" si="8"/>
        <v>14051.912</v>
      </c>
      <c r="AF42">
        <f t="shared" si="9"/>
        <v>2061.5419999999995</v>
      </c>
      <c r="AG42">
        <f t="shared" si="10"/>
        <v>0.14670900301681361</v>
      </c>
      <c r="AH42" t="str">
        <f t="shared" si="1"/>
        <v>October</v>
      </c>
      <c r="AI42">
        <f t="shared" si="2"/>
        <v>2024</v>
      </c>
      <c r="AJ42" t="str">
        <f t="shared" si="11"/>
        <v>OK</v>
      </c>
      <c r="AK42" t="str">
        <f t="shared" si="12"/>
        <v>OK</v>
      </c>
      <c r="AL42" t="str">
        <f t="shared" si="13"/>
        <v>Include</v>
      </c>
      <c r="AM42" t="str">
        <f t="shared" si="3"/>
        <v>Clean</v>
      </c>
    </row>
    <row r="43" spans="1:39">
      <c r="A43" t="s">
        <v>223</v>
      </c>
      <c r="B43" s="4">
        <v>45363</v>
      </c>
      <c r="C43" s="4">
        <v>45368</v>
      </c>
      <c r="D43" s="6">
        <v>5</v>
      </c>
      <c r="E43" t="s">
        <v>2788</v>
      </c>
      <c r="F43" t="s">
        <v>2788</v>
      </c>
      <c r="G43" t="s">
        <v>2788</v>
      </c>
      <c r="H43" t="s">
        <v>224</v>
      </c>
      <c r="I43" t="s">
        <v>128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158</v>
      </c>
      <c r="P43" t="s">
        <v>225</v>
      </c>
      <c r="Q43" t="s">
        <v>44</v>
      </c>
      <c r="R43">
        <v>8</v>
      </c>
      <c r="S43">
        <v>855.81</v>
      </c>
      <c r="T43">
        <v>0</v>
      </c>
      <c r="U43">
        <v>6846.48</v>
      </c>
      <c r="V43">
        <v>4239.8900000000003</v>
      </c>
      <c r="W43">
        <v>2606.59</v>
      </c>
      <c r="X43" t="s">
        <v>111</v>
      </c>
      <c r="Y43" t="s">
        <v>68</v>
      </c>
      <c r="Z43" t="str">
        <f t="shared" si="4"/>
        <v>Unique</v>
      </c>
      <c r="AA43" t="str">
        <f t="shared" si="0"/>
        <v>Unique</v>
      </c>
      <c r="AB43" t="str">
        <f t="shared" si="5"/>
        <v>OK</v>
      </c>
      <c r="AC43">
        <f t="shared" si="6"/>
        <v>0</v>
      </c>
      <c r="AD43" t="str">
        <f t="shared" si="7"/>
        <v>OK</v>
      </c>
      <c r="AE43">
        <f t="shared" si="8"/>
        <v>6846.48</v>
      </c>
      <c r="AF43">
        <f t="shared" si="9"/>
        <v>2606.5899999999992</v>
      </c>
      <c r="AG43">
        <f t="shared" si="10"/>
        <v>0.38071972750961069</v>
      </c>
      <c r="AH43" t="str">
        <f t="shared" si="1"/>
        <v>March</v>
      </c>
      <c r="AI43">
        <f t="shared" si="2"/>
        <v>2024</v>
      </c>
      <c r="AJ43" t="str">
        <f t="shared" si="11"/>
        <v>OK</v>
      </c>
      <c r="AK43" t="str">
        <f t="shared" si="12"/>
        <v>OK</v>
      </c>
      <c r="AL43" t="str">
        <f t="shared" si="13"/>
        <v>Exclude</v>
      </c>
      <c r="AM43" t="str">
        <f t="shared" si="3"/>
        <v>Clean</v>
      </c>
    </row>
    <row r="44" spans="1:39">
      <c r="A44" t="s">
        <v>226</v>
      </c>
      <c r="B44" s="4">
        <v>45940</v>
      </c>
      <c r="C44" s="4">
        <v>45945</v>
      </c>
      <c r="D44" s="6">
        <v>5</v>
      </c>
      <c r="E44" t="s">
        <v>2788</v>
      </c>
      <c r="F44" t="s">
        <v>2788</v>
      </c>
      <c r="G44" t="s">
        <v>2788</v>
      </c>
      <c r="H44" t="s">
        <v>227</v>
      </c>
      <c r="I44" t="s">
        <v>53</v>
      </c>
      <c r="J44" t="s">
        <v>90</v>
      </c>
      <c r="K44" t="s">
        <v>38</v>
      </c>
      <c r="L44" t="s">
        <v>228</v>
      </c>
      <c r="M44" t="s">
        <v>229</v>
      </c>
      <c r="N44" t="s">
        <v>74</v>
      </c>
      <c r="O44" t="s">
        <v>171</v>
      </c>
      <c r="P44" t="s">
        <v>230</v>
      </c>
      <c r="Q44" t="s">
        <v>59</v>
      </c>
      <c r="R44">
        <v>8</v>
      </c>
      <c r="S44">
        <v>979.87</v>
      </c>
      <c r="T44">
        <v>0.05</v>
      </c>
      <c r="U44">
        <v>7447.01</v>
      </c>
      <c r="V44">
        <v>4496.22</v>
      </c>
      <c r="W44">
        <v>2950.79</v>
      </c>
      <c r="X44" t="s">
        <v>32</v>
      </c>
      <c r="Y44" t="s">
        <v>33</v>
      </c>
      <c r="Z44" t="str">
        <f t="shared" si="4"/>
        <v>Unique</v>
      </c>
      <c r="AA44" t="str">
        <f t="shared" si="0"/>
        <v>Unique</v>
      </c>
      <c r="AB44" t="str">
        <f t="shared" si="5"/>
        <v>OK</v>
      </c>
      <c r="AC44">
        <f t="shared" si="6"/>
        <v>0.05</v>
      </c>
      <c r="AD44" t="str">
        <f t="shared" si="7"/>
        <v>OK</v>
      </c>
      <c r="AE44">
        <f t="shared" si="8"/>
        <v>7447.0119999999997</v>
      </c>
      <c r="AF44">
        <f t="shared" si="9"/>
        <v>2950.7919999999995</v>
      </c>
      <c r="AG44">
        <f t="shared" si="10"/>
        <v>0.39623838393170302</v>
      </c>
      <c r="AH44" t="str">
        <f t="shared" si="1"/>
        <v>October</v>
      </c>
      <c r="AI44">
        <f t="shared" si="2"/>
        <v>2025</v>
      </c>
      <c r="AJ44" t="str">
        <f t="shared" si="11"/>
        <v>OK</v>
      </c>
      <c r="AK44" t="str">
        <f t="shared" si="12"/>
        <v>OK</v>
      </c>
      <c r="AL44" t="str">
        <f t="shared" si="13"/>
        <v>Include</v>
      </c>
      <c r="AM44" t="str">
        <f t="shared" si="3"/>
        <v>Clean</v>
      </c>
    </row>
    <row r="45" spans="1:39">
      <c r="A45" t="s">
        <v>231</v>
      </c>
      <c r="B45" s="4">
        <v>45481</v>
      </c>
      <c r="C45" s="4">
        <v>45487</v>
      </c>
      <c r="D45" s="6">
        <v>6</v>
      </c>
      <c r="E45" t="s">
        <v>2788</v>
      </c>
      <c r="F45" t="s">
        <v>2788</v>
      </c>
      <c r="G45" t="s">
        <v>2788</v>
      </c>
      <c r="H45" t="s">
        <v>232</v>
      </c>
      <c r="I45" t="s">
        <v>114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57</v>
      </c>
      <c r="P45" t="s">
        <v>233</v>
      </c>
      <c r="Q45" t="s">
        <v>44</v>
      </c>
      <c r="R45">
        <v>3</v>
      </c>
      <c r="S45">
        <v>1010.23</v>
      </c>
      <c r="T45">
        <v>0</v>
      </c>
      <c r="U45">
        <v>3030.69</v>
      </c>
      <c r="V45">
        <v>1721.08</v>
      </c>
      <c r="W45">
        <v>1309.6099999999999</v>
      </c>
      <c r="X45" t="s">
        <v>32</v>
      </c>
      <c r="Y45" t="s">
        <v>33</v>
      </c>
      <c r="Z45" t="str">
        <f t="shared" si="4"/>
        <v>Unique</v>
      </c>
      <c r="AA45" t="str">
        <f t="shared" si="0"/>
        <v>Unique</v>
      </c>
      <c r="AB45" t="str">
        <f t="shared" si="5"/>
        <v>OK</v>
      </c>
      <c r="AC45">
        <f t="shared" si="6"/>
        <v>0</v>
      </c>
      <c r="AD45" t="str">
        <f t="shared" si="7"/>
        <v>OK</v>
      </c>
      <c r="AE45">
        <f t="shared" si="8"/>
        <v>3030.69</v>
      </c>
      <c r="AF45">
        <f t="shared" si="9"/>
        <v>1309.6100000000001</v>
      </c>
      <c r="AG45">
        <f t="shared" si="10"/>
        <v>0.43211611877163292</v>
      </c>
      <c r="AH45" t="str">
        <f t="shared" si="1"/>
        <v>July</v>
      </c>
      <c r="AI45">
        <f t="shared" si="2"/>
        <v>2024</v>
      </c>
      <c r="AJ45" t="str">
        <f t="shared" si="11"/>
        <v>OK</v>
      </c>
      <c r="AK45" t="str">
        <f t="shared" si="12"/>
        <v>OK</v>
      </c>
      <c r="AL45" t="str">
        <f t="shared" si="13"/>
        <v>Include</v>
      </c>
      <c r="AM45" t="str">
        <f t="shared" si="3"/>
        <v>Clean</v>
      </c>
    </row>
    <row r="46" spans="1:39">
      <c r="A46" t="s">
        <v>234</v>
      </c>
      <c r="B46" s="4">
        <v>45465</v>
      </c>
      <c r="C46" s="4">
        <v>45468</v>
      </c>
      <c r="D46" s="6">
        <v>3</v>
      </c>
      <c r="E46" t="s">
        <v>2788</v>
      </c>
      <c r="F46" t="s">
        <v>2788</v>
      </c>
      <c r="G46" t="s">
        <v>2788</v>
      </c>
      <c r="H46" t="s">
        <v>235</v>
      </c>
      <c r="I46" t="s">
        <v>141</v>
      </c>
      <c r="J46" t="s">
        <v>37</v>
      </c>
      <c r="K46" t="s">
        <v>25</v>
      </c>
      <c r="L46" t="s">
        <v>236</v>
      </c>
      <c r="M46" t="s">
        <v>237</v>
      </c>
      <c r="N46" t="s">
        <v>41</v>
      </c>
      <c r="O46" t="s">
        <v>66</v>
      </c>
      <c r="P46" t="s">
        <v>238</v>
      </c>
      <c r="Q46" t="s">
        <v>59</v>
      </c>
      <c r="R46">
        <v>9</v>
      </c>
      <c r="S46">
        <v>3329.77</v>
      </c>
      <c r="T46">
        <v>0.1</v>
      </c>
      <c r="U46">
        <v>26971.14</v>
      </c>
      <c r="V46">
        <v>17376.2</v>
      </c>
      <c r="W46">
        <v>9594.94</v>
      </c>
      <c r="X46" t="s">
        <v>32</v>
      </c>
      <c r="Y46" t="s">
        <v>33</v>
      </c>
      <c r="Z46" t="str">
        <f t="shared" si="4"/>
        <v>Unique</v>
      </c>
      <c r="AA46" t="str">
        <f t="shared" si="0"/>
        <v>Unique</v>
      </c>
      <c r="AB46" t="str">
        <f t="shared" si="5"/>
        <v>OK</v>
      </c>
      <c r="AC46">
        <f t="shared" si="6"/>
        <v>0.1</v>
      </c>
      <c r="AD46" t="str">
        <f t="shared" si="7"/>
        <v>OK</v>
      </c>
      <c r="AE46">
        <f t="shared" si="8"/>
        <v>26971.137000000002</v>
      </c>
      <c r="AF46">
        <f t="shared" si="9"/>
        <v>9594.9370000000017</v>
      </c>
      <c r="AG46">
        <f t="shared" si="10"/>
        <v>0.35574833200394929</v>
      </c>
      <c r="AH46" t="str">
        <f t="shared" si="1"/>
        <v>June</v>
      </c>
      <c r="AI46">
        <f t="shared" si="2"/>
        <v>2024</v>
      </c>
      <c r="AJ46" t="str">
        <f t="shared" si="11"/>
        <v>OK</v>
      </c>
      <c r="AK46" t="str">
        <f t="shared" si="12"/>
        <v>OK</v>
      </c>
      <c r="AL46" t="str">
        <f t="shared" si="13"/>
        <v>Include</v>
      </c>
      <c r="AM46" t="str">
        <f t="shared" si="3"/>
        <v>Clean</v>
      </c>
    </row>
    <row r="47" spans="1:39">
      <c r="A47" t="s">
        <v>239</v>
      </c>
      <c r="B47" s="4">
        <v>45309</v>
      </c>
      <c r="C47" s="4">
        <v>45315</v>
      </c>
      <c r="D47" s="6">
        <v>6</v>
      </c>
      <c r="E47" t="s">
        <v>2788</v>
      </c>
      <c r="F47" t="s">
        <v>2788</v>
      </c>
      <c r="G47" t="s">
        <v>2788</v>
      </c>
      <c r="H47" t="s">
        <v>240</v>
      </c>
      <c r="I47" t="s">
        <v>47</v>
      </c>
      <c r="J47" t="s">
        <v>95</v>
      </c>
      <c r="K47" t="s">
        <v>38</v>
      </c>
      <c r="L47" t="s">
        <v>145</v>
      </c>
      <c r="M47" t="s">
        <v>146</v>
      </c>
      <c r="N47" t="s">
        <v>28</v>
      </c>
      <c r="O47" t="s">
        <v>48</v>
      </c>
      <c r="P47" t="s">
        <v>241</v>
      </c>
      <c r="Q47" t="s">
        <v>31</v>
      </c>
      <c r="R47">
        <v>8</v>
      </c>
      <c r="S47">
        <v>3927.82</v>
      </c>
      <c r="T47">
        <v>0.05</v>
      </c>
      <c r="U47">
        <v>29851.43</v>
      </c>
      <c r="V47">
        <v>17487.48</v>
      </c>
      <c r="W47">
        <v>12363.95</v>
      </c>
      <c r="X47" t="s">
        <v>111</v>
      </c>
      <c r="Y47" t="s">
        <v>103</v>
      </c>
      <c r="Z47" t="str">
        <f t="shared" si="4"/>
        <v>Unique</v>
      </c>
      <c r="AA47" t="str">
        <f t="shared" si="0"/>
        <v>Unique</v>
      </c>
      <c r="AB47" t="str">
        <f t="shared" si="5"/>
        <v>OK</v>
      </c>
      <c r="AC47">
        <f t="shared" si="6"/>
        <v>0.05</v>
      </c>
      <c r="AD47" t="str">
        <f t="shared" si="7"/>
        <v>OK</v>
      </c>
      <c r="AE47">
        <f t="shared" si="8"/>
        <v>29851.432000000001</v>
      </c>
      <c r="AF47">
        <f t="shared" si="9"/>
        <v>12363.952000000001</v>
      </c>
      <c r="AG47">
        <f t="shared" si="10"/>
        <v>0.41418287739094062</v>
      </c>
      <c r="AH47" t="str">
        <f t="shared" si="1"/>
        <v>January</v>
      </c>
      <c r="AI47">
        <f t="shared" si="2"/>
        <v>2024</v>
      </c>
      <c r="AJ47" t="str">
        <f t="shared" si="11"/>
        <v>OK</v>
      </c>
      <c r="AK47" t="str">
        <f t="shared" si="12"/>
        <v>OK</v>
      </c>
      <c r="AL47" t="str">
        <f t="shared" si="13"/>
        <v>Exclude</v>
      </c>
      <c r="AM47" t="str">
        <f t="shared" si="3"/>
        <v>Clean</v>
      </c>
    </row>
    <row r="48" spans="1:39">
      <c r="A48" t="s">
        <v>242</v>
      </c>
      <c r="B48" s="4">
        <v>45492</v>
      </c>
      <c r="C48" s="4">
        <v>45492</v>
      </c>
      <c r="D48" s="6">
        <v>0</v>
      </c>
      <c r="E48" t="s">
        <v>2788</v>
      </c>
      <c r="F48" t="s">
        <v>2788</v>
      </c>
      <c r="G48" t="s">
        <v>2788</v>
      </c>
      <c r="H48" t="s">
        <v>243</v>
      </c>
      <c r="I48" t="s">
        <v>62</v>
      </c>
      <c r="J48" t="s">
        <v>37</v>
      </c>
      <c r="K48" t="s">
        <v>54</v>
      </c>
      <c r="L48" t="s">
        <v>185</v>
      </c>
      <c r="M48" t="s">
        <v>186</v>
      </c>
      <c r="N48" t="s">
        <v>41</v>
      </c>
      <c r="O48" t="s">
        <v>158</v>
      </c>
      <c r="P48" t="s">
        <v>244</v>
      </c>
      <c r="Q48" t="s">
        <v>59</v>
      </c>
      <c r="R48">
        <v>9</v>
      </c>
      <c r="S48">
        <v>2386.79</v>
      </c>
      <c r="T48">
        <v>0.25</v>
      </c>
      <c r="U48">
        <v>16110.83</v>
      </c>
      <c r="V48">
        <v>10680.03</v>
      </c>
      <c r="W48">
        <v>5430.8</v>
      </c>
      <c r="X48" t="s">
        <v>102</v>
      </c>
      <c r="Y48" t="s">
        <v>103</v>
      </c>
      <c r="Z48" t="str">
        <f t="shared" si="4"/>
        <v>Unique</v>
      </c>
      <c r="AA48" t="str">
        <f t="shared" si="0"/>
        <v>Unique</v>
      </c>
      <c r="AB48" t="str">
        <f t="shared" si="5"/>
        <v>OK</v>
      </c>
      <c r="AC48">
        <f t="shared" si="6"/>
        <v>0.25</v>
      </c>
      <c r="AD48" t="str">
        <f t="shared" si="7"/>
        <v>OK</v>
      </c>
      <c r="AE48">
        <f t="shared" si="8"/>
        <v>16110.8325</v>
      </c>
      <c r="AF48">
        <f t="shared" si="9"/>
        <v>5430.8024999999998</v>
      </c>
      <c r="AG48">
        <f t="shared" si="10"/>
        <v>0.33709012243780695</v>
      </c>
      <c r="AH48" t="str">
        <f t="shared" si="1"/>
        <v>July</v>
      </c>
      <c r="AI48">
        <f t="shared" si="2"/>
        <v>2024</v>
      </c>
      <c r="AJ48" t="str">
        <f t="shared" si="11"/>
        <v>OK</v>
      </c>
      <c r="AK48" t="str">
        <f t="shared" si="12"/>
        <v>OK</v>
      </c>
      <c r="AL48" t="str">
        <f t="shared" si="13"/>
        <v>Exclude</v>
      </c>
      <c r="AM48" t="str">
        <f t="shared" si="3"/>
        <v>Clean</v>
      </c>
    </row>
    <row r="49" spans="1:39">
      <c r="A49" t="s">
        <v>245</v>
      </c>
      <c r="B49" s="4">
        <v>45516</v>
      </c>
      <c r="C49" s="4">
        <v>45516</v>
      </c>
      <c r="D49" s="6">
        <v>0</v>
      </c>
      <c r="E49" t="s">
        <v>2788</v>
      </c>
      <c r="F49" t="s">
        <v>2788</v>
      </c>
      <c r="G49" t="s">
        <v>2788</v>
      </c>
      <c r="H49" t="s">
        <v>246</v>
      </c>
      <c r="I49" t="s">
        <v>118</v>
      </c>
      <c r="J49" t="s">
        <v>90</v>
      </c>
      <c r="K49" t="s">
        <v>54</v>
      </c>
      <c r="L49" t="s">
        <v>247</v>
      </c>
      <c r="M49" t="s">
        <v>248</v>
      </c>
      <c r="N49" t="s">
        <v>28</v>
      </c>
      <c r="O49" t="s">
        <v>124</v>
      </c>
      <c r="P49" t="s">
        <v>249</v>
      </c>
      <c r="Q49" t="s">
        <v>59</v>
      </c>
      <c r="R49">
        <v>8</v>
      </c>
      <c r="S49">
        <v>2445.31</v>
      </c>
      <c r="T49">
        <v>0.1</v>
      </c>
      <c r="U49">
        <v>17606.23</v>
      </c>
      <c r="V49">
        <v>12438.96</v>
      </c>
      <c r="W49">
        <v>5167.2700000000004</v>
      </c>
      <c r="X49" t="s">
        <v>32</v>
      </c>
      <c r="Y49" t="s">
        <v>33</v>
      </c>
      <c r="Z49" t="str">
        <f t="shared" si="4"/>
        <v>Unique</v>
      </c>
      <c r="AA49" t="str">
        <f t="shared" si="0"/>
        <v>Unique</v>
      </c>
      <c r="AB49" t="str">
        <f t="shared" si="5"/>
        <v>OK</v>
      </c>
      <c r="AC49">
        <f t="shared" si="6"/>
        <v>0.1</v>
      </c>
      <c r="AD49" t="str">
        <f t="shared" si="7"/>
        <v>OK</v>
      </c>
      <c r="AE49">
        <f t="shared" si="8"/>
        <v>17606.232</v>
      </c>
      <c r="AF49">
        <f t="shared" si="9"/>
        <v>5167.2720000000008</v>
      </c>
      <c r="AG49">
        <f t="shared" si="10"/>
        <v>0.29349107747756592</v>
      </c>
      <c r="AH49" t="str">
        <f t="shared" si="1"/>
        <v>August</v>
      </c>
      <c r="AI49">
        <f t="shared" si="2"/>
        <v>2024</v>
      </c>
      <c r="AJ49" t="str">
        <f t="shared" si="11"/>
        <v>OK</v>
      </c>
      <c r="AK49" t="str">
        <f t="shared" si="12"/>
        <v>OK</v>
      </c>
      <c r="AL49" t="str">
        <f t="shared" si="13"/>
        <v>Include</v>
      </c>
      <c r="AM49" t="str">
        <f t="shared" si="3"/>
        <v>Clean</v>
      </c>
    </row>
    <row r="50" spans="1:39">
      <c r="A50" t="s">
        <v>250</v>
      </c>
      <c r="B50" s="4">
        <v>45687</v>
      </c>
      <c r="C50" s="4">
        <v>45693</v>
      </c>
      <c r="D50" s="6">
        <v>6</v>
      </c>
      <c r="E50" t="s">
        <v>2788</v>
      </c>
      <c r="F50" t="s">
        <v>2788</v>
      </c>
      <c r="G50" t="s">
        <v>2788</v>
      </c>
      <c r="H50" t="s">
        <v>251</v>
      </c>
      <c r="I50" t="s">
        <v>79</v>
      </c>
      <c r="J50" t="s">
        <v>90</v>
      </c>
      <c r="K50" t="s">
        <v>63</v>
      </c>
      <c r="L50" t="s">
        <v>64</v>
      </c>
      <c r="M50" t="s">
        <v>65</v>
      </c>
      <c r="N50" t="s">
        <v>41</v>
      </c>
      <c r="O50" t="s">
        <v>66</v>
      </c>
      <c r="P50" t="s">
        <v>252</v>
      </c>
      <c r="Q50" t="s">
        <v>31</v>
      </c>
      <c r="R50">
        <v>7</v>
      </c>
      <c r="S50">
        <v>4063.66</v>
      </c>
      <c r="T50">
        <v>0</v>
      </c>
      <c r="U50">
        <v>28445.62</v>
      </c>
      <c r="V50">
        <v>20938.59</v>
      </c>
      <c r="W50">
        <v>7507.03</v>
      </c>
      <c r="X50" t="s">
        <v>32</v>
      </c>
      <c r="Y50" t="s">
        <v>33</v>
      </c>
      <c r="Z50" t="str">
        <f t="shared" si="4"/>
        <v>Unique</v>
      </c>
      <c r="AA50" t="str">
        <f t="shared" si="0"/>
        <v>Unique</v>
      </c>
      <c r="AB50" t="str">
        <f t="shared" si="5"/>
        <v>OK</v>
      </c>
      <c r="AC50">
        <f t="shared" si="6"/>
        <v>0</v>
      </c>
      <c r="AD50" t="str">
        <f t="shared" si="7"/>
        <v>OK</v>
      </c>
      <c r="AE50">
        <f t="shared" si="8"/>
        <v>28445.62</v>
      </c>
      <c r="AF50">
        <f t="shared" si="9"/>
        <v>7507.0299999999988</v>
      </c>
      <c r="AG50">
        <f t="shared" si="10"/>
        <v>0.26390811660986818</v>
      </c>
      <c r="AH50" t="str">
        <f t="shared" si="1"/>
        <v>January</v>
      </c>
      <c r="AI50">
        <f t="shared" si="2"/>
        <v>2025</v>
      </c>
      <c r="AJ50" t="str">
        <f t="shared" si="11"/>
        <v>OK</v>
      </c>
      <c r="AK50" t="str">
        <f t="shared" si="12"/>
        <v>OK</v>
      </c>
      <c r="AL50" t="str">
        <f t="shared" si="13"/>
        <v>Include</v>
      </c>
      <c r="AM50" t="str">
        <f t="shared" si="3"/>
        <v>Clean</v>
      </c>
    </row>
    <row r="51" spans="1:39">
      <c r="A51" t="s">
        <v>253</v>
      </c>
      <c r="B51" s="4">
        <v>45388</v>
      </c>
      <c r="C51" s="4">
        <v>45395</v>
      </c>
      <c r="D51" s="6">
        <v>7</v>
      </c>
      <c r="E51" t="s">
        <v>2788</v>
      </c>
      <c r="F51" t="s">
        <v>2788</v>
      </c>
      <c r="G51" t="s">
        <v>2788</v>
      </c>
      <c r="H51" t="s">
        <v>254</v>
      </c>
      <c r="I51" t="s">
        <v>128</v>
      </c>
      <c r="J51" t="s">
        <v>95</v>
      </c>
      <c r="K51" t="s">
        <v>25</v>
      </c>
      <c r="L51" t="s">
        <v>136</v>
      </c>
      <c r="M51" t="s">
        <v>137</v>
      </c>
      <c r="N51" t="s">
        <v>74</v>
      </c>
      <c r="O51" t="s">
        <v>80</v>
      </c>
      <c r="P51" t="s">
        <v>255</v>
      </c>
      <c r="Q51" t="s">
        <v>31</v>
      </c>
      <c r="R51">
        <v>9</v>
      </c>
      <c r="S51">
        <v>792.11</v>
      </c>
      <c r="T51">
        <v>0.05</v>
      </c>
      <c r="U51">
        <v>6772.54</v>
      </c>
      <c r="V51">
        <v>5755.46</v>
      </c>
      <c r="W51">
        <v>1017.08</v>
      </c>
      <c r="X51" t="s">
        <v>32</v>
      </c>
      <c r="Y51" t="s">
        <v>33</v>
      </c>
      <c r="Z51" t="str">
        <f t="shared" si="4"/>
        <v>Unique</v>
      </c>
      <c r="AA51" t="str">
        <f t="shared" si="0"/>
        <v>Unique</v>
      </c>
      <c r="AB51" t="str">
        <f t="shared" si="5"/>
        <v>OK</v>
      </c>
      <c r="AC51">
        <f t="shared" si="6"/>
        <v>0.05</v>
      </c>
      <c r="AD51" t="str">
        <f t="shared" si="7"/>
        <v>OK</v>
      </c>
      <c r="AE51">
        <f t="shared" si="8"/>
        <v>6772.5404999999992</v>
      </c>
      <c r="AF51">
        <f t="shared" si="9"/>
        <v>1017.0804999999991</v>
      </c>
      <c r="AG51">
        <f t="shared" si="10"/>
        <v>0.15017710119267641</v>
      </c>
      <c r="AH51" t="str">
        <f t="shared" si="1"/>
        <v>April</v>
      </c>
      <c r="AI51">
        <f t="shared" si="2"/>
        <v>2024</v>
      </c>
      <c r="AJ51" t="str">
        <f t="shared" si="11"/>
        <v>OK</v>
      </c>
      <c r="AK51" t="str">
        <f t="shared" si="12"/>
        <v>OK</v>
      </c>
      <c r="AL51" t="str">
        <f t="shared" si="13"/>
        <v>Include</v>
      </c>
      <c r="AM51" t="str">
        <f t="shared" si="3"/>
        <v>Clean</v>
      </c>
    </row>
    <row r="52" spans="1:39">
      <c r="A52" t="s">
        <v>256</v>
      </c>
      <c r="B52" s="4">
        <v>45788</v>
      </c>
      <c r="C52" s="4">
        <v>45796</v>
      </c>
      <c r="D52" s="6">
        <v>8</v>
      </c>
      <c r="E52" t="s">
        <v>2788</v>
      </c>
      <c r="F52" t="s">
        <v>2788</v>
      </c>
      <c r="G52" t="s">
        <v>2788</v>
      </c>
      <c r="H52" t="s">
        <v>257</v>
      </c>
      <c r="I52" t="s">
        <v>132</v>
      </c>
      <c r="J52" t="s">
        <v>24</v>
      </c>
      <c r="K52" t="s">
        <v>38</v>
      </c>
      <c r="L52" t="s">
        <v>99</v>
      </c>
      <c r="M52" t="s">
        <v>100</v>
      </c>
      <c r="N52" t="s">
        <v>74</v>
      </c>
      <c r="O52" t="s">
        <v>80</v>
      </c>
      <c r="P52" t="s">
        <v>258</v>
      </c>
      <c r="Q52" t="s">
        <v>59</v>
      </c>
      <c r="R52">
        <v>1</v>
      </c>
      <c r="S52">
        <v>2382.8000000000002</v>
      </c>
      <c r="T52">
        <v>0.15</v>
      </c>
      <c r="U52">
        <v>2025.38</v>
      </c>
      <c r="V52">
        <v>1140.6500000000001</v>
      </c>
      <c r="W52">
        <v>884.73</v>
      </c>
      <c r="X52" t="s">
        <v>32</v>
      </c>
      <c r="Y52" t="s">
        <v>33</v>
      </c>
      <c r="Z52" t="str">
        <f t="shared" si="4"/>
        <v>Unique</v>
      </c>
      <c r="AA52" t="str">
        <f t="shared" si="0"/>
        <v>Unique</v>
      </c>
      <c r="AB52" t="str">
        <f t="shared" si="5"/>
        <v>OK</v>
      </c>
      <c r="AC52">
        <f t="shared" si="6"/>
        <v>0.15</v>
      </c>
      <c r="AD52" t="str">
        <f t="shared" si="7"/>
        <v>OK</v>
      </c>
      <c r="AE52">
        <f t="shared" si="8"/>
        <v>2025.38</v>
      </c>
      <c r="AF52">
        <f t="shared" si="9"/>
        <v>884.73</v>
      </c>
      <c r="AG52">
        <f t="shared" si="10"/>
        <v>0.43682173221815163</v>
      </c>
      <c r="AH52" t="str">
        <f t="shared" si="1"/>
        <v>May</v>
      </c>
      <c r="AI52">
        <f t="shared" si="2"/>
        <v>2025</v>
      </c>
      <c r="AJ52" t="str">
        <f t="shared" si="11"/>
        <v>OK</v>
      </c>
      <c r="AK52" t="str">
        <f t="shared" si="12"/>
        <v>OK</v>
      </c>
      <c r="AL52" t="str">
        <f t="shared" si="13"/>
        <v>Include</v>
      </c>
      <c r="AM52" t="str">
        <f t="shared" si="3"/>
        <v>Clean</v>
      </c>
    </row>
    <row r="53" spans="1:39">
      <c r="A53" t="s">
        <v>259</v>
      </c>
      <c r="B53" s="4">
        <v>45406</v>
      </c>
      <c r="C53" s="4">
        <v>45411</v>
      </c>
      <c r="D53" s="6">
        <v>5</v>
      </c>
      <c r="E53" t="s">
        <v>2788</v>
      </c>
      <c r="F53" t="s">
        <v>2788</v>
      </c>
      <c r="G53" t="s">
        <v>2788</v>
      </c>
      <c r="H53" t="s">
        <v>260</v>
      </c>
      <c r="I53" t="s">
        <v>62</v>
      </c>
      <c r="J53" t="s">
        <v>90</v>
      </c>
      <c r="K53" t="s">
        <v>54</v>
      </c>
      <c r="L53" t="s">
        <v>55</v>
      </c>
      <c r="M53" t="s">
        <v>56</v>
      </c>
      <c r="N53" t="s">
        <v>28</v>
      </c>
      <c r="O53" t="s">
        <v>48</v>
      </c>
      <c r="P53" t="s">
        <v>261</v>
      </c>
      <c r="Q53" t="s">
        <v>59</v>
      </c>
      <c r="R53">
        <v>6</v>
      </c>
      <c r="S53">
        <v>1528.08</v>
      </c>
      <c r="T53">
        <v>0</v>
      </c>
      <c r="U53">
        <v>9168.48</v>
      </c>
      <c r="V53">
        <v>7439.77</v>
      </c>
      <c r="W53">
        <v>1728.71</v>
      </c>
      <c r="X53" t="s">
        <v>32</v>
      </c>
      <c r="Y53" t="s">
        <v>33</v>
      </c>
      <c r="Z53" t="str">
        <f t="shared" si="4"/>
        <v>Unique</v>
      </c>
      <c r="AA53" t="str">
        <f t="shared" si="0"/>
        <v>Unique</v>
      </c>
      <c r="AB53" t="str">
        <f t="shared" si="5"/>
        <v>OK</v>
      </c>
      <c r="AC53">
        <f t="shared" si="6"/>
        <v>0</v>
      </c>
      <c r="AD53" t="str">
        <f t="shared" si="7"/>
        <v>OK</v>
      </c>
      <c r="AE53">
        <f t="shared" si="8"/>
        <v>9168.48</v>
      </c>
      <c r="AF53">
        <f t="shared" si="9"/>
        <v>1728.7099999999991</v>
      </c>
      <c r="AG53">
        <f t="shared" si="10"/>
        <v>0.18854924698532355</v>
      </c>
      <c r="AH53" t="str">
        <f t="shared" si="1"/>
        <v>April</v>
      </c>
      <c r="AI53">
        <f t="shared" si="2"/>
        <v>2024</v>
      </c>
      <c r="AJ53" t="str">
        <f t="shared" si="11"/>
        <v>OK</v>
      </c>
      <c r="AK53" t="str">
        <f t="shared" si="12"/>
        <v>OK</v>
      </c>
      <c r="AL53" t="str">
        <f t="shared" si="13"/>
        <v>Include</v>
      </c>
      <c r="AM53" t="str">
        <f t="shared" si="3"/>
        <v>Clean</v>
      </c>
    </row>
    <row r="54" spans="1:39">
      <c r="A54" t="s">
        <v>262</v>
      </c>
      <c r="B54" s="4">
        <v>45591</v>
      </c>
      <c r="C54" s="4">
        <v>45593</v>
      </c>
      <c r="D54" s="6">
        <v>2</v>
      </c>
      <c r="E54" t="s">
        <v>2788</v>
      </c>
      <c r="F54" t="s">
        <v>2788</v>
      </c>
      <c r="G54" t="s">
        <v>2788</v>
      </c>
      <c r="H54" t="s">
        <v>263</v>
      </c>
      <c r="I54" t="s">
        <v>264</v>
      </c>
      <c r="J54" t="s">
        <v>37</v>
      </c>
      <c r="K54" t="s">
        <v>25</v>
      </c>
      <c r="L54" t="s">
        <v>26</v>
      </c>
      <c r="M54" t="s">
        <v>27</v>
      </c>
      <c r="N54" t="s">
        <v>41</v>
      </c>
      <c r="O54" t="s">
        <v>66</v>
      </c>
      <c r="P54" t="s">
        <v>265</v>
      </c>
      <c r="Q54" t="s">
        <v>50</v>
      </c>
      <c r="R54">
        <v>9</v>
      </c>
      <c r="S54">
        <v>1399.63</v>
      </c>
      <c r="T54">
        <v>0</v>
      </c>
      <c r="U54">
        <v>12596.67</v>
      </c>
      <c r="V54">
        <v>10603.29</v>
      </c>
      <c r="W54">
        <v>1993.38</v>
      </c>
      <c r="X54" t="s">
        <v>155</v>
      </c>
      <c r="Y54" t="s">
        <v>68</v>
      </c>
      <c r="Z54" t="str">
        <f t="shared" si="4"/>
        <v>Unique</v>
      </c>
      <c r="AA54" t="str">
        <f t="shared" si="0"/>
        <v>Unique</v>
      </c>
      <c r="AB54" t="str">
        <f t="shared" si="5"/>
        <v>OK</v>
      </c>
      <c r="AC54">
        <f t="shared" si="6"/>
        <v>0</v>
      </c>
      <c r="AD54" t="str">
        <f t="shared" si="7"/>
        <v>OK</v>
      </c>
      <c r="AE54">
        <f t="shared" si="8"/>
        <v>12596.670000000002</v>
      </c>
      <c r="AF54">
        <f t="shared" si="9"/>
        <v>1993.380000000001</v>
      </c>
      <c r="AG54">
        <f t="shared" si="10"/>
        <v>0.15824658421630483</v>
      </c>
      <c r="AH54" t="str">
        <f t="shared" si="1"/>
        <v>October</v>
      </c>
      <c r="AI54">
        <f t="shared" si="2"/>
        <v>2024</v>
      </c>
      <c r="AJ54" t="str">
        <f t="shared" si="11"/>
        <v>OK</v>
      </c>
      <c r="AK54" t="str">
        <f t="shared" si="12"/>
        <v>OK</v>
      </c>
      <c r="AL54" t="str">
        <f t="shared" si="13"/>
        <v>Exclude</v>
      </c>
      <c r="AM54" t="str">
        <f t="shared" si="3"/>
        <v>Clean</v>
      </c>
    </row>
    <row r="55" spans="1:39">
      <c r="A55" t="s">
        <v>266</v>
      </c>
      <c r="B55" s="4">
        <v>45747</v>
      </c>
      <c r="C55" s="4">
        <v>45747</v>
      </c>
      <c r="D55" s="6">
        <v>0</v>
      </c>
      <c r="E55" t="s">
        <v>2788</v>
      </c>
      <c r="F55" t="s">
        <v>2788</v>
      </c>
      <c r="G55" t="s">
        <v>2788</v>
      </c>
      <c r="H55" t="s">
        <v>267</v>
      </c>
      <c r="I55" t="s">
        <v>264</v>
      </c>
      <c r="J55" t="s">
        <v>95</v>
      </c>
      <c r="K55" t="s">
        <v>63</v>
      </c>
      <c r="L55" t="s">
        <v>180</v>
      </c>
      <c r="M55" t="s">
        <v>181</v>
      </c>
      <c r="N55" t="s">
        <v>28</v>
      </c>
      <c r="O55" t="s">
        <v>124</v>
      </c>
      <c r="P55" t="s">
        <v>268</v>
      </c>
      <c r="Q55" t="s">
        <v>50</v>
      </c>
      <c r="R55">
        <v>5</v>
      </c>
      <c r="S55">
        <v>1207.47</v>
      </c>
      <c r="T55">
        <v>0.15</v>
      </c>
      <c r="U55">
        <v>5131.75</v>
      </c>
      <c r="V55">
        <v>2838.68</v>
      </c>
      <c r="W55">
        <v>2293.0700000000002</v>
      </c>
      <c r="X55" t="s">
        <v>32</v>
      </c>
      <c r="Y55" t="s">
        <v>33</v>
      </c>
      <c r="Z55" t="str">
        <f t="shared" si="4"/>
        <v>Unique</v>
      </c>
      <c r="AA55" t="str">
        <f t="shared" si="0"/>
        <v>Unique</v>
      </c>
      <c r="AB55" t="str">
        <f t="shared" si="5"/>
        <v>OK</v>
      </c>
      <c r="AC55">
        <f t="shared" si="6"/>
        <v>0.15</v>
      </c>
      <c r="AD55" t="str">
        <f t="shared" si="7"/>
        <v>OK</v>
      </c>
      <c r="AE55">
        <f t="shared" si="8"/>
        <v>5131.7475000000004</v>
      </c>
      <c r="AF55">
        <f t="shared" si="9"/>
        <v>2293.0675000000006</v>
      </c>
      <c r="AG55">
        <f t="shared" si="10"/>
        <v>0.44683950252813498</v>
      </c>
      <c r="AH55" t="str">
        <f t="shared" si="1"/>
        <v>March</v>
      </c>
      <c r="AI55">
        <f t="shared" si="2"/>
        <v>2025</v>
      </c>
      <c r="AJ55" t="str">
        <f t="shared" si="11"/>
        <v>OK</v>
      </c>
      <c r="AK55" t="str">
        <f t="shared" si="12"/>
        <v>OK</v>
      </c>
      <c r="AL55" t="str">
        <f t="shared" si="13"/>
        <v>Include</v>
      </c>
      <c r="AM55" t="str">
        <f t="shared" si="3"/>
        <v>Clean</v>
      </c>
    </row>
    <row r="56" spans="1:39">
      <c r="A56" t="s">
        <v>269</v>
      </c>
      <c r="B56" s="4">
        <v>45807</v>
      </c>
      <c r="C56" s="4">
        <v>45810</v>
      </c>
      <c r="D56" s="6">
        <v>3</v>
      </c>
      <c r="E56" t="s">
        <v>2788</v>
      </c>
      <c r="F56" t="s">
        <v>2788</v>
      </c>
      <c r="G56" t="s">
        <v>2788</v>
      </c>
      <c r="H56" t="s">
        <v>270</v>
      </c>
      <c r="I56" t="s">
        <v>53</v>
      </c>
      <c r="J56" t="s">
        <v>90</v>
      </c>
      <c r="K56" t="s">
        <v>54</v>
      </c>
      <c r="L56" t="s">
        <v>247</v>
      </c>
      <c r="M56" t="s">
        <v>248</v>
      </c>
      <c r="N56" t="s">
        <v>28</v>
      </c>
      <c r="O56" t="s">
        <v>91</v>
      </c>
      <c r="P56" t="s">
        <v>271</v>
      </c>
      <c r="Q56" t="s">
        <v>44</v>
      </c>
      <c r="R56">
        <v>8</v>
      </c>
      <c r="S56">
        <v>474.37</v>
      </c>
      <c r="T56">
        <v>0.1</v>
      </c>
      <c r="U56">
        <v>3415.46</v>
      </c>
      <c r="V56">
        <v>1993.23</v>
      </c>
      <c r="W56">
        <v>1422.23</v>
      </c>
      <c r="X56" t="s">
        <v>155</v>
      </c>
      <c r="Y56" t="s">
        <v>68</v>
      </c>
      <c r="Z56" t="str">
        <f t="shared" si="4"/>
        <v>Unique</v>
      </c>
      <c r="AA56" t="str">
        <f t="shared" si="0"/>
        <v>Unique</v>
      </c>
      <c r="AB56" t="str">
        <f t="shared" si="5"/>
        <v>OK</v>
      </c>
      <c r="AC56">
        <f t="shared" si="6"/>
        <v>0.1</v>
      </c>
      <c r="AD56" t="str">
        <f t="shared" si="7"/>
        <v>OK</v>
      </c>
      <c r="AE56">
        <f t="shared" si="8"/>
        <v>3415.4639999999999</v>
      </c>
      <c r="AF56">
        <f t="shared" si="9"/>
        <v>1422.2339999999999</v>
      </c>
      <c r="AG56">
        <f t="shared" si="10"/>
        <v>0.4164101861416194</v>
      </c>
      <c r="AH56" t="str">
        <f t="shared" si="1"/>
        <v>May</v>
      </c>
      <c r="AI56">
        <f t="shared" si="2"/>
        <v>2025</v>
      </c>
      <c r="AJ56" t="str">
        <f t="shared" si="11"/>
        <v>OK</v>
      </c>
      <c r="AK56" t="str">
        <f t="shared" si="12"/>
        <v>OK</v>
      </c>
      <c r="AL56" t="str">
        <f t="shared" si="13"/>
        <v>Exclude</v>
      </c>
      <c r="AM56" t="str">
        <f t="shared" si="3"/>
        <v>Clean</v>
      </c>
    </row>
    <row r="57" spans="1:39">
      <c r="A57" t="s">
        <v>272</v>
      </c>
      <c r="B57" s="4">
        <v>45839</v>
      </c>
      <c r="C57" s="4">
        <v>45841</v>
      </c>
      <c r="D57" s="6">
        <v>2</v>
      </c>
      <c r="E57" t="s">
        <v>2788</v>
      </c>
      <c r="F57" t="s">
        <v>2788</v>
      </c>
      <c r="G57" t="s">
        <v>2788</v>
      </c>
      <c r="H57" t="s">
        <v>273</v>
      </c>
      <c r="I57" t="s">
        <v>36</v>
      </c>
      <c r="J57" t="s">
        <v>37</v>
      </c>
      <c r="K57" t="s">
        <v>54</v>
      </c>
      <c r="L57" t="s">
        <v>84</v>
      </c>
      <c r="M57" t="s">
        <v>85</v>
      </c>
      <c r="N57" t="s">
        <v>74</v>
      </c>
      <c r="O57" t="s">
        <v>274</v>
      </c>
      <c r="P57" t="s">
        <v>275</v>
      </c>
      <c r="Q57" t="s">
        <v>44</v>
      </c>
      <c r="R57">
        <v>3</v>
      </c>
      <c r="S57">
        <v>1516.24</v>
      </c>
      <c r="T57">
        <v>0.25</v>
      </c>
      <c r="U57">
        <v>3411.54</v>
      </c>
      <c r="V57">
        <v>2803.13</v>
      </c>
      <c r="W57">
        <v>608.41</v>
      </c>
      <c r="X57" t="s">
        <v>32</v>
      </c>
      <c r="Y57" t="s">
        <v>33</v>
      </c>
      <c r="Z57" t="str">
        <f t="shared" si="4"/>
        <v>Unique</v>
      </c>
      <c r="AA57" t="str">
        <f t="shared" si="0"/>
        <v>Unique</v>
      </c>
      <c r="AB57" t="str">
        <f t="shared" si="5"/>
        <v>OK</v>
      </c>
      <c r="AC57">
        <f t="shared" si="6"/>
        <v>0.25</v>
      </c>
      <c r="AD57" t="str">
        <f t="shared" si="7"/>
        <v>OK</v>
      </c>
      <c r="AE57">
        <f t="shared" si="8"/>
        <v>3411.54</v>
      </c>
      <c r="AF57">
        <f t="shared" si="9"/>
        <v>608.40999999999985</v>
      </c>
      <c r="AG57">
        <f t="shared" si="10"/>
        <v>0.17833881472883209</v>
      </c>
      <c r="AH57" t="str">
        <f t="shared" si="1"/>
        <v>July</v>
      </c>
      <c r="AI57">
        <f t="shared" si="2"/>
        <v>2025</v>
      </c>
      <c r="AJ57" t="str">
        <f t="shared" si="11"/>
        <v>OK</v>
      </c>
      <c r="AK57" t="str">
        <f t="shared" si="12"/>
        <v>OK</v>
      </c>
      <c r="AL57" t="str">
        <f t="shared" si="13"/>
        <v>Include</v>
      </c>
      <c r="AM57" t="str">
        <f t="shared" si="3"/>
        <v>Clean</v>
      </c>
    </row>
    <row r="58" spans="1:39">
      <c r="A58" t="s">
        <v>276</v>
      </c>
      <c r="B58" s="4">
        <v>45662</v>
      </c>
      <c r="C58" s="4">
        <v>45663</v>
      </c>
      <c r="D58" s="6">
        <v>1</v>
      </c>
      <c r="E58" t="s">
        <v>2788</v>
      </c>
      <c r="F58" t="s">
        <v>2788</v>
      </c>
      <c r="G58" t="s">
        <v>2788</v>
      </c>
      <c r="H58" t="s">
        <v>277</v>
      </c>
      <c r="I58" t="s">
        <v>23</v>
      </c>
      <c r="J58" t="s">
        <v>24</v>
      </c>
      <c r="K58" t="s">
        <v>54</v>
      </c>
      <c r="L58" t="s">
        <v>175</v>
      </c>
      <c r="M58" t="s">
        <v>176</v>
      </c>
      <c r="N58" t="s">
        <v>28</v>
      </c>
      <c r="O58" t="s">
        <v>153</v>
      </c>
      <c r="P58" t="s">
        <v>278</v>
      </c>
      <c r="Q58" t="s">
        <v>31</v>
      </c>
      <c r="R58">
        <v>3</v>
      </c>
      <c r="S58">
        <v>3155.61</v>
      </c>
      <c r="T58">
        <v>0</v>
      </c>
      <c r="U58">
        <v>9466.83</v>
      </c>
      <c r="V58">
        <v>6557.83</v>
      </c>
      <c r="W58">
        <v>2909</v>
      </c>
      <c r="X58" t="s">
        <v>102</v>
      </c>
      <c r="Y58" t="s">
        <v>68</v>
      </c>
      <c r="Z58" t="str">
        <f t="shared" si="4"/>
        <v>Unique</v>
      </c>
      <c r="AA58" t="str">
        <f t="shared" si="0"/>
        <v>Unique</v>
      </c>
      <c r="AB58" t="str">
        <f t="shared" si="5"/>
        <v>OK</v>
      </c>
      <c r="AC58">
        <f t="shared" si="6"/>
        <v>0</v>
      </c>
      <c r="AD58" t="str">
        <f t="shared" si="7"/>
        <v>OK</v>
      </c>
      <c r="AE58">
        <f t="shared" si="8"/>
        <v>9466.83</v>
      </c>
      <c r="AF58">
        <f t="shared" si="9"/>
        <v>2909</v>
      </c>
      <c r="AG58">
        <f t="shared" si="10"/>
        <v>0.30728343067320318</v>
      </c>
      <c r="AH58" t="str">
        <f t="shared" si="1"/>
        <v>January</v>
      </c>
      <c r="AI58">
        <f t="shared" si="2"/>
        <v>2025</v>
      </c>
      <c r="AJ58" t="str">
        <f t="shared" si="11"/>
        <v>OK</v>
      </c>
      <c r="AK58" t="str">
        <f t="shared" si="12"/>
        <v>OK</v>
      </c>
      <c r="AL58" t="str">
        <f t="shared" si="13"/>
        <v>Exclude</v>
      </c>
      <c r="AM58" t="str">
        <f t="shared" si="3"/>
        <v>Clean</v>
      </c>
    </row>
    <row r="59" spans="1:39">
      <c r="A59" t="s">
        <v>279</v>
      </c>
      <c r="B59" s="4">
        <v>45329</v>
      </c>
      <c r="C59" s="4">
        <v>45337</v>
      </c>
      <c r="D59" s="6">
        <v>8</v>
      </c>
      <c r="E59" t="s">
        <v>2788</v>
      </c>
      <c r="F59" t="s">
        <v>2788</v>
      </c>
      <c r="G59" t="s">
        <v>2788</v>
      </c>
      <c r="H59" t="s">
        <v>280</v>
      </c>
      <c r="I59" t="s">
        <v>114</v>
      </c>
      <c r="J59" t="s">
        <v>24</v>
      </c>
      <c r="K59" t="s">
        <v>63</v>
      </c>
      <c r="L59" t="s">
        <v>190</v>
      </c>
      <c r="M59" t="s">
        <v>191</v>
      </c>
      <c r="N59" t="s">
        <v>41</v>
      </c>
      <c r="O59" t="s">
        <v>66</v>
      </c>
      <c r="P59" t="s">
        <v>281</v>
      </c>
      <c r="Q59" t="s">
        <v>44</v>
      </c>
      <c r="R59">
        <v>5</v>
      </c>
      <c r="S59">
        <v>255.87</v>
      </c>
      <c r="T59">
        <v>0</v>
      </c>
      <c r="U59">
        <v>1279.3499999999999</v>
      </c>
      <c r="V59">
        <v>1091.54</v>
      </c>
      <c r="W59">
        <v>187.81</v>
      </c>
      <c r="X59" t="s">
        <v>32</v>
      </c>
      <c r="Y59" t="s">
        <v>33</v>
      </c>
      <c r="Z59" t="str">
        <f t="shared" si="4"/>
        <v>Unique</v>
      </c>
      <c r="AA59" t="str">
        <f t="shared" si="0"/>
        <v>Unique</v>
      </c>
      <c r="AB59" t="str">
        <f t="shared" si="5"/>
        <v>OK</v>
      </c>
      <c r="AC59">
        <f t="shared" si="6"/>
        <v>0</v>
      </c>
      <c r="AD59" t="str">
        <f t="shared" si="7"/>
        <v>OK</v>
      </c>
      <c r="AE59">
        <f t="shared" si="8"/>
        <v>1279.3499999999999</v>
      </c>
      <c r="AF59">
        <f t="shared" si="9"/>
        <v>187.80999999999995</v>
      </c>
      <c r="AG59">
        <f t="shared" si="10"/>
        <v>0.14680110993864068</v>
      </c>
      <c r="AH59" t="str">
        <f t="shared" si="1"/>
        <v>February</v>
      </c>
      <c r="AI59">
        <f t="shared" si="2"/>
        <v>2024</v>
      </c>
      <c r="AJ59" t="str">
        <f t="shared" si="11"/>
        <v>OK</v>
      </c>
      <c r="AK59" t="str">
        <f t="shared" si="12"/>
        <v>OK</v>
      </c>
      <c r="AL59" t="str">
        <f t="shared" si="13"/>
        <v>Include</v>
      </c>
      <c r="AM59" t="str">
        <f t="shared" si="3"/>
        <v>Clean</v>
      </c>
    </row>
    <row r="60" spans="1:39">
      <c r="A60" t="s">
        <v>282</v>
      </c>
      <c r="B60" s="4">
        <v>45536</v>
      </c>
      <c r="C60" s="4">
        <v>45542</v>
      </c>
      <c r="D60" s="6">
        <v>6</v>
      </c>
      <c r="E60" t="s">
        <v>2788</v>
      </c>
      <c r="F60" t="s">
        <v>2788</v>
      </c>
      <c r="G60" t="s">
        <v>2788</v>
      </c>
      <c r="H60" t="s">
        <v>283</v>
      </c>
      <c r="I60" t="s">
        <v>47</v>
      </c>
      <c r="J60" t="s">
        <v>95</v>
      </c>
      <c r="K60" t="s">
        <v>25</v>
      </c>
      <c r="L60" t="s">
        <v>26</v>
      </c>
      <c r="M60" t="s">
        <v>27</v>
      </c>
      <c r="N60" t="s">
        <v>28</v>
      </c>
      <c r="O60" t="s">
        <v>124</v>
      </c>
      <c r="P60" t="s">
        <v>284</v>
      </c>
      <c r="Q60" t="s">
        <v>2783</v>
      </c>
      <c r="R60">
        <v>9</v>
      </c>
      <c r="S60">
        <v>1389.48</v>
      </c>
      <c r="T60">
        <v>0.1</v>
      </c>
      <c r="U60">
        <v>11254.79</v>
      </c>
      <c r="V60">
        <v>6578.06</v>
      </c>
      <c r="W60">
        <v>4676.7299999999996</v>
      </c>
      <c r="X60" t="s">
        <v>111</v>
      </c>
      <c r="Y60" t="s">
        <v>103</v>
      </c>
      <c r="Z60" t="str">
        <f t="shared" si="4"/>
        <v>Unique</v>
      </c>
      <c r="AA60" t="str">
        <f t="shared" si="0"/>
        <v>Unique</v>
      </c>
      <c r="AB60" t="str">
        <f t="shared" si="5"/>
        <v>OK</v>
      </c>
      <c r="AC60">
        <f t="shared" si="6"/>
        <v>0.1</v>
      </c>
      <c r="AD60" t="str">
        <f t="shared" si="7"/>
        <v>OK</v>
      </c>
      <c r="AE60">
        <f t="shared" si="8"/>
        <v>11254.788</v>
      </c>
      <c r="AF60">
        <f t="shared" si="9"/>
        <v>4676.7280000000001</v>
      </c>
      <c r="AG60">
        <f t="shared" si="10"/>
        <v>0.41553230500654476</v>
      </c>
      <c r="AH60" t="str">
        <f t="shared" si="1"/>
        <v>September</v>
      </c>
      <c r="AI60">
        <f t="shared" si="2"/>
        <v>2024</v>
      </c>
      <c r="AJ60" t="str">
        <f t="shared" si="11"/>
        <v>OK</v>
      </c>
      <c r="AK60" t="str">
        <f t="shared" si="12"/>
        <v>OK</v>
      </c>
      <c r="AL60" t="str">
        <f t="shared" si="13"/>
        <v>Exclude</v>
      </c>
      <c r="AM60" t="str">
        <f t="shared" si="3"/>
        <v>Clean</v>
      </c>
    </row>
    <row r="61" spans="1:39">
      <c r="A61" t="s">
        <v>285</v>
      </c>
      <c r="B61" s="4">
        <v>45493</v>
      </c>
      <c r="C61" s="4">
        <v>45498</v>
      </c>
      <c r="D61" s="6">
        <v>5</v>
      </c>
      <c r="E61" t="s">
        <v>2788</v>
      </c>
      <c r="F61" t="s">
        <v>2788</v>
      </c>
      <c r="G61" t="s">
        <v>2788</v>
      </c>
      <c r="H61" t="s">
        <v>286</v>
      </c>
      <c r="I61" t="s">
        <v>114</v>
      </c>
      <c r="J61" t="s">
        <v>90</v>
      </c>
      <c r="K61" t="s">
        <v>38</v>
      </c>
      <c r="L61" t="s">
        <v>166</v>
      </c>
      <c r="M61" t="s">
        <v>167</v>
      </c>
      <c r="N61" t="s">
        <v>28</v>
      </c>
      <c r="O61" t="s">
        <v>91</v>
      </c>
      <c r="P61" t="s">
        <v>287</v>
      </c>
      <c r="Q61" t="s">
        <v>44</v>
      </c>
      <c r="R61">
        <v>5</v>
      </c>
      <c r="S61">
        <v>4133.8500000000004</v>
      </c>
      <c r="T61">
        <v>0.2</v>
      </c>
      <c r="U61">
        <v>16535.400000000001</v>
      </c>
      <c r="V61">
        <v>12990.21</v>
      </c>
      <c r="W61">
        <v>3545.19</v>
      </c>
      <c r="X61" t="s">
        <v>32</v>
      </c>
      <c r="Y61" t="s">
        <v>68</v>
      </c>
      <c r="Z61" t="str">
        <f t="shared" si="4"/>
        <v>Unique</v>
      </c>
      <c r="AA61" t="str">
        <f t="shared" si="0"/>
        <v>Unique</v>
      </c>
      <c r="AB61" t="str">
        <f t="shared" si="5"/>
        <v>OK</v>
      </c>
      <c r="AC61">
        <f t="shared" si="6"/>
        <v>0.2</v>
      </c>
      <c r="AD61" t="str">
        <f t="shared" si="7"/>
        <v>OK</v>
      </c>
      <c r="AE61">
        <f t="shared" si="8"/>
        <v>16535.400000000001</v>
      </c>
      <c r="AF61">
        <f t="shared" si="9"/>
        <v>3545.1900000000023</v>
      </c>
      <c r="AG61">
        <f t="shared" si="10"/>
        <v>0.21440001451431487</v>
      </c>
      <c r="AH61" t="str">
        <f t="shared" si="1"/>
        <v>July</v>
      </c>
      <c r="AI61">
        <f t="shared" si="2"/>
        <v>2024</v>
      </c>
      <c r="AJ61" t="str">
        <f t="shared" si="11"/>
        <v>OK</v>
      </c>
      <c r="AK61" t="str">
        <f t="shared" si="12"/>
        <v>OK</v>
      </c>
      <c r="AL61" t="str">
        <f t="shared" si="13"/>
        <v>Exclude</v>
      </c>
      <c r="AM61" t="str">
        <f t="shared" si="3"/>
        <v>Clean</v>
      </c>
    </row>
    <row r="62" spans="1:39">
      <c r="A62" t="s">
        <v>288</v>
      </c>
      <c r="B62" s="4">
        <v>45486</v>
      </c>
      <c r="C62" s="4">
        <v>45492</v>
      </c>
      <c r="D62" s="6">
        <v>6</v>
      </c>
      <c r="E62" t="s">
        <v>2788</v>
      </c>
      <c r="F62" t="s">
        <v>2788</v>
      </c>
      <c r="G62" t="s">
        <v>2788</v>
      </c>
      <c r="H62" t="s">
        <v>289</v>
      </c>
      <c r="I62" t="s">
        <v>62</v>
      </c>
      <c r="J62" t="s">
        <v>90</v>
      </c>
      <c r="K62" t="s">
        <v>38</v>
      </c>
      <c r="L62" t="s">
        <v>166</v>
      </c>
      <c r="M62" t="s">
        <v>167</v>
      </c>
      <c r="N62" t="s">
        <v>28</v>
      </c>
      <c r="O62" t="s">
        <v>91</v>
      </c>
      <c r="P62" t="s">
        <v>290</v>
      </c>
      <c r="Q62" t="s">
        <v>44</v>
      </c>
      <c r="R62">
        <v>3</v>
      </c>
      <c r="S62">
        <v>275.76</v>
      </c>
      <c r="T62">
        <v>0.2</v>
      </c>
      <c r="U62">
        <v>661.82</v>
      </c>
      <c r="V62">
        <v>481.47</v>
      </c>
      <c r="W62">
        <v>180.35</v>
      </c>
      <c r="X62" t="s">
        <v>102</v>
      </c>
      <c r="Y62" t="s">
        <v>68</v>
      </c>
      <c r="Z62" t="str">
        <f t="shared" si="4"/>
        <v>Unique</v>
      </c>
      <c r="AA62" t="str">
        <f t="shared" si="0"/>
        <v>Unique</v>
      </c>
      <c r="AB62" t="str">
        <f t="shared" si="5"/>
        <v>OK</v>
      </c>
      <c r="AC62">
        <f t="shared" si="6"/>
        <v>0.2</v>
      </c>
      <c r="AD62" t="str">
        <f t="shared" si="7"/>
        <v>OK</v>
      </c>
      <c r="AE62">
        <f t="shared" si="8"/>
        <v>661.82400000000007</v>
      </c>
      <c r="AF62">
        <f t="shared" si="9"/>
        <v>180.35400000000004</v>
      </c>
      <c r="AG62">
        <f t="shared" si="10"/>
        <v>0.27251051639106472</v>
      </c>
      <c r="AH62" t="str">
        <f t="shared" si="1"/>
        <v>July</v>
      </c>
      <c r="AI62">
        <f t="shared" si="2"/>
        <v>2024</v>
      </c>
      <c r="AJ62" t="str">
        <f t="shared" si="11"/>
        <v>OK</v>
      </c>
      <c r="AK62" t="str">
        <f t="shared" si="12"/>
        <v>OK</v>
      </c>
      <c r="AL62" t="str">
        <f t="shared" si="13"/>
        <v>Exclude</v>
      </c>
      <c r="AM62" t="str">
        <f t="shared" si="3"/>
        <v>Clean</v>
      </c>
    </row>
    <row r="63" spans="1:39">
      <c r="A63" t="s">
        <v>291</v>
      </c>
      <c r="B63" s="4">
        <v>45398</v>
      </c>
      <c r="C63" s="4">
        <v>45398</v>
      </c>
      <c r="D63" s="6">
        <v>0</v>
      </c>
      <c r="E63" t="s">
        <v>2788</v>
      </c>
      <c r="F63" t="s">
        <v>2788</v>
      </c>
      <c r="G63" t="s">
        <v>2788</v>
      </c>
      <c r="H63" t="s">
        <v>292</v>
      </c>
      <c r="I63" t="s">
        <v>71</v>
      </c>
      <c r="J63" t="s">
        <v>95</v>
      </c>
      <c r="K63" t="s">
        <v>38</v>
      </c>
      <c r="L63" t="s">
        <v>145</v>
      </c>
      <c r="M63" t="s">
        <v>146</v>
      </c>
      <c r="N63" t="s">
        <v>41</v>
      </c>
      <c r="O63" t="s">
        <v>158</v>
      </c>
      <c r="P63" t="s">
        <v>293</v>
      </c>
      <c r="Q63" t="s">
        <v>59</v>
      </c>
      <c r="R63">
        <v>1</v>
      </c>
      <c r="S63">
        <v>949.59</v>
      </c>
      <c r="T63">
        <v>0</v>
      </c>
      <c r="U63">
        <v>949.59</v>
      </c>
      <c r="V63">
        <v>751.25</v>
      </c>
      <c r="W63">
        <v>198.34</v>
      </c>
      <c r="X63" t="s">
        <v>32</v>
      </c>
      <c r="Y63" t="s">
        <v>33</v>
      </c>
      <c r="Z63" t="str">
        <f t="shared" si="4"/>
        <v>Unique</v>
      </c>
      <c r="AA63" t="str">
        <f t="shared" si="0"/>
        <v>Unique</v>
      </c>
      <c r="AB63" t="str">
        <f t="shared" si="5"/>
        <v>OK</v>
      </c>
      <c r="AC63">
        <f t="shared" si="6"/>
        <v>0</v>
      </c>
      <c r="AD63" t="str">
        <f t="shared" si="7"/>
        <v>OK</v>
      </c>
      <c r="AE63">
        <f t="shared" si="8"/>
        <v>949.59</v>
      </c>
      <c r="AF63">
        <f t="shared" si="9"/>
        <v>198.34000000000003</v>
      </c>
      <c r="AG63">
        <f t="shared" si="10"/>
        <v>0.20886909087079689</v>
      </c>
      <c r="AH63" t="str">
        <f t="shared" si="1"/>
        <v>April</v>
      </c>
      <c r="AI63">
        <f t="shared" si="2"/>
        <v>2024</v>
      </c>
      <c r="AJ63" t="str">
        <f t="shared" si="11"/>
        <v>OK</v>
      </c>
      <c r="AK63" t="str">
        <f t="shared" si="12"/>
        <v>OK</v>
      </c>
      <c r="AL63" t="str">
        <f t="shared" si="13"/>
        <v>Include</v>
      </c>
      <c r="AM63" t="str">
        <f t="shared" si="3"/>
        <v>Clean</v>
      </c>
    </row>
    <row r="64" spans="1:39">
      <c r="A64" t="s">
        <v>294</v>
      </c>
      <c r="B64" s="4">
        <v>45595</v>
      </c>
      <c r="C64" s="4">
        <v>45598</v>
      </c>
      <c r="D64" s="6">
        <v>3</v>
      </c>
      <c r="E64" t="s">
        <v>2788</v>
      </c>
      <c r="F64" t="s">
        <v>2788</v>
      </c>
      <c r="G64" t="s">
        <v>2788</v>
      </c>
      <c r="H64" t="s">
        <v>295</v>
      </c>
      <c r="I64" t="s">
        <v>132</v>
      </c>
      <c r="J64" t="s">
        <v>95</v>
      </c>
      <c r="K64" t="s">
        <v>25</v>
      </c>
      <c r="L64" t="s">
        <v>26</v>
      </c>
      <c r="M64" t="s">
        <v>27</v>
      </c>
      <c r="N64" t="s">
        <v>74</v>
      </c>
      <c r="O64" t="s">
        <v>171</v>
      </c>
      <c r="P64" t="s">
        <v>296</v>
      </c>
      <c r="Q64" t="s">
        <v>59</v>
      </c>
      <c r="R64">
        <v>9</v>
      </c>
      <c r="S64">
        <v>3042.29</v>
      </c>
      <c r="T64">
        <v>0.2</v>
      </c>
      <c r="U64">
        <v>21904.49</v>
      </c>
      <c r="V64">
        <v>13570.55</v>
      </c>
      <c r="W64">
        <v>8333.94</v>
      </c>
      <c r="X64" t="s">
        <v>32</v>
      </c>
      <c r="Y64" t="s">
        <v>33</v>
      </c>
      <c r="Z64" t="str">
        <f t="shared" si="4"/>
        <v>Unique</v>
      </c>
      <c r="AA64" t="str">
        <f t="shared" si="0"/>
        <v>Unique</v>
      </c>
      <c r="AB64" t="str">
        <f t="shared" si="5"/>
        <v>OK</v>
      </c>
      <c r="AC64">
        <f t="shared" si="6"/>
        <v>0.2</v>
      </c>
      <c r="AD64" t="str">
        <f t="shared" si="7"/>
        <v>OK</v>
      </c>
      <c r="AE64">
        <f t="shared" si="8"/>
        <v>21904.488000000001</v>
      </c>
      <c r="AF64">
        <f t="shared" si="9"/>
        <v>8333.9380000000019</v>
      </c>
      <c r="AG64">
        <f t="shared" si="10"/>
        <v>0.38046714445003244</v>
      </c>
      <c r="AH64" t="str">
        <f t="shared" si="1"/>
        <v>October</v>
      </c>
      <c r="AI64">
        <f t="shared" si="2"/>
        <v>2024</v>
      </c>
      <c r="AJ64" t="str">
        <f t="shared" si="11"/>
        <v>OK</v>
      </c>
      <c r="AK64" t="str">
        <f t="shared" si="12"/>
        <v>OK</v>
      </c>
      <c r="AL64" t="str">
        <f t="shared" si="13"/>
        <v>Include</v>
      </c>
      <c r="AM64" t="str">
        <f t="shared" si="3"/>
        <v>Clean</v>
      </c>
    </row>
    <row r="65" spans="1:39">
      <c r="A65" t="s">
        <v>297</v>
      </c>
      <c r="B65" s="4">
        <v>45316</v>
      </c>
      <c r="C65" s="4">
        <v>45323</v>
      </c>
      <c r="D65" s="6">
        <v>7</v>
      </c>
      <c r="E65" t="s">
        <v>2788</v>
      </c>
      <c r="F65" t="s">
        <v>2788</v>
      </c>
      <c r="G65" t="s">
        <v>2788</v>
      </c>
      <c r="H65" t="s">
        <v>298</v>
      </c>
      <c r="I65" t="s">
        <v>132</v>
      </c>
      <c r="J65" t="s">
        <v>95</v>
      </c>
      <c r="K65" t="s">
        <v>25</v>
      </c>
      <c r="L65" t="s">
        <v>236</v>
      </c>
      <c r="M65" t="s">
        <v>237</v>
      </c>
      <c r="N65" t="s">
        <v>28</v>
      </c>
      <c r="O65" t="s">
        <v>153</v>
      </c>
      <c r="P65" t="s">
        <v>299</v>
      </c>
      <c r="Q65" t="s">
        <v>44</v>
      </c>
      <c r="R65">
        <v>2</v>
      </c>
      <c r="S65">
        <v>2832.77</v>
      </c>
      <c r="T65">
        <v>0.15</v>
      </c>
      <c r="U65">
        <v>4815.71</v>
      </c>
      <c r="V65">
        <v>3027.75</v>
      </c>
      <c r="W65">
        <v>1917.47</v>
      </c>
      <c r="X65" t="s">
        <v>32</v>
      </c>
      <c r="Y65" t="s">
        <v>33</v>
      </c>
      <c r="Z65" t="str">
        <f t="shared" si="4"/>
        <v>Unique</v>
      </c>
      <c r="AA65" t="str">
        <f t="shared" si="0"/>
        <v>Unique</v>
      </c>
      <c r="AB65" t="str">
        <f t="shared" si="5"/>
        <v>OK</v>
      </c>
      <c r="AC65">
        <f t="shared" si="6"/>
        <v>0.15</v>
      </c>
      <c r="AD65" t="str">
        <f t="shared" si="7"/>
        <v>OK</v>
      </c>
      <c r="AE65">
        <f t="shared" si="8"/>
        <v>4815.7089999999998</v>
      </c>
      <c r="AF65">
        <f t="shared" si="9"/>
        <v>1787.9589999999998</v>
      </c>
      <c r="AG65">
        <f t="shared" si="10"/>
        <v>0.37127637903369992</v>
      </c>
      <c r="AH65" t="str">
        <f t="shared" si="1"/>
        <v>January</v>
      </c>
      <c r="AI65">
        <f t="shared" si="2"/>
        <v>2024</v>
      </c>
      <c r="AJ65" t="str">
        <f t="shared" si="11"/>
        <v>OK</v>
      </c>
      <c r="AK65" t="str">
        <f t="shared" si="12"/>
        <v>Profit Mismatch</v>
      </c>
      <c r="AL65" t="str">
        <f t="shared" si="13"/>
        <v>Include</v>
      </c>
      <c r="AM65" t="str">
        <f t="shared" si="3"/>
        <v>Warning</v>
      </c>
    </row>
    <row r="66" spans="1:39">
      <c r="A66" t="s">
        <v>300</v>
      </c>
      <c r="B66" s="4">
        <v>45649</v>
      </c>
      <c r="C66" s="4">
        <v>45655</v>
      </c>
      <c r="D66" s="6">
        <v>6</v>
      </c>
      <c r="E66" t="s">
        <v>2788</v>
      </c>
      <c r="F66" t="s">
        <v>2788</v>
      </c>
      <c r="G66" t="s">
        <v>2788</v>
      </c>
      <c r="H66" t="s">
        <v>301</v>
      </c>
      <c r="I66" t="s">
        <v>128</v>
      </c>
      <c r="J66" t="s">
        <v>90</v>
      </c>
      <c r="K66" t="s">
        <v>38</v>
      </c>
      <c r="L66" t="s">
        <v>228</v>
      </c>
      <c r="M66" t="s">
        <v>229</v>
      </c>
      <c r="N66" t="s">
        <v>28</v>
      </c>
      <c r="O66" t="s">
        <v>29</v>
      </c>
      <c r="P66" t="s">
        <v>302</v>
      </c>
      <c r="Q66" t="s">
        <v>50</v>
      </c>
      <c r="R66">
        <v>7</v>
      </c>
      <c r="S66">
        <v>447.84</v>
      </c>
      <c r="T66">
        <v>0</v>
      </c>
      <c r="U66">
        <v>3134.88</v>
      </c>
      <c r="V66">
        <v>2367.63</v>
      </c>
      <c r="W66">
        <v>767.25</v>
      </c>
      <c r="X66" t="s">
        <v>102</v>
      </c>
      <c r="Y66" t="s">
        <v>103</v>
      </c>
      <c r="Z66" t="str">
        <f t="shared" ref="Z66:Z129" si="14">IF(COUNTIFS($A:$A,A66,$B:$B,B66,$C:$C,C66,$H:$H,H66,$U:$U,U66,$W:$W,W66)&gt;1,"Exact Duplicate","Unique")</f>
        <v>Unique</v>
      </c>
      <c r="AA66" t="str">
        <f t="shared" ref="AA66:AA129" si="15">IF(COUNTIF($A:$A,A66)&gt;1,"Duplicate Order ID","Unique")</f>
        <v>Unique</v>
      </c>
      <c r="AB66" t="str">
        <f t="shared" si="5"/>
        <v>OK</v>
      </c>
      <c r="AC66">
        <f t="shared" si="6"/>
        <v>0</v>
      </c>
      <c r="AD66" t="str">
        <f t="shared" si="7"/>
        <v>OK</v>
      </c>
      <c r="AE66">
        <f t="shared" si="8"/>
        <v>3134.8799999999997</v>
      </c>
      <c r="AF66">
        <f t="shared" si="9"/>
        <v>767.24999999999955</v>
      </c>
      <c r="AG66">
        <f t="shared" si="10"/>
        <v>0.24474621038125849</v>
      </c>
      <c r="AH66" t="str">
        <f t="shared" ref="AH66:AH129" si="16">IFERROR(TEXT(B66,"mmmm"),"")</f>
        <v>December</v>
      </c>
      <c r="AI66">
        <f t="shared" ref="AI66:AI129" si="17">IFERROR(YEAR(B66),"")</f>
        <v>2024</v>
      </c>
      <c r="AJ66" t="str">
        <f t="shared" si="11"/>
        <v>OK</v>
      </c>
      <c r="AK66" t="str">
        <f t="shared" si="12"/>
        <v>OK</v>
      </c>
      <c r="AL66" t="str">
        <f t="shared" si="13"/>
        <v>Exclude</v>
      </c>
      <c r="AM66" t="str">
        <f t="shared" ref="AM66:AM129" si="18">IF(OR(E66&lt;&gt;"OK",F66&lt;&gt;"OK",AD66&lt;&gt;"OK",AB66="Conflicting Duplicate"),"Invalid",IF(OR(G66&lt;&gt;"OK",AJ66&lt;&gt;"OK",AK66&lt;&gt;"OK"),"Warning","Clean"))</f>
        <v>Clean</v>
      </c>
    </row>
    <row r="67" spans="1:39">
      <c r="A67" t="s">
        <v>303</v>
      </c>
      <c r="B67" s="4">
        <v>45404</v>
      </c>
      <c r="C67" s="4">
        <v>45409</v>
      </c>
      <c r="D67" s="6">
        <v>5</v>
      </c>
      <c r="E67" t="s">
        <v>2788</v>
      </c>
      <c r="F67" t="s">
        <v>2788</v>
      </c>
      <c r="G67" t="s">
        <v>2788</v>
      </c>
      <c r="H67" t="s">
        <v>304</v>
      </c>
      <c r="I67" t="s">
        <v>36</v>
      </c>
      <c r="J67" t="s">
        <v>95</v>
      </c>
      <c r="K67" t="s">
        <v>63</v>
      </c>
      <c r="L67" t="s">
        <v>64</v>
      </c>
      <c r="M67" t="s">
        <v>65</v>
      </c>
      <c r="N67" t="s">
        <v>28</v>
      </c>
      <c r="O67" t="s">
        <v>29</v>
      </c>
      <c r="P67" t="s">
        <v>305</v>
      </c>
      <c r="Q67" t="s">
        <v>31</v>
      </c>
      <c r="R67">
        <v>1</v>
      </c>
      <c r="S67">
        <v>4280.1899999999996</v>
      </c>
      <c r="T67">
        <v>0.05</v>
      </c>
      <c r="U67">
        <v>4066.18</v>
      </c>
      <c r="V67">
        <v>2628.92</v>
      </c>
      <c r="W67">
        <v>1437.26</v>
      </c>
      <c r="X67" t="s">
        <v>32</v>
      </c>
      <c r="Y67" t="s">
        <v>33</v>
      </c>
      <c r="Z67" t="str">
        <f t="shared" si="14"/>
        <v>Unique</v>
      </c>
      <c r="AA67" t="str">
        <f t="shared" si="15"/>
        <v>Unique</v>
      </c>
      <c r="AB67" t="str">
        <f t="shared" ref="AB67:AB130" si="19">IF(AND(AA67="Duplicate Order ID",Z67&lt;&gt;"Exact Duplicate"),"Conflicting Duplicate","OK")</f>
        <v>OK</v>
      </c>
      <c r="AC67">
        <f t="shared" ref="AC67:AC130" si="20">IF(OR(T67="",ISBLANK(T67)),0,T67)</f>
        <v>0.05</v>
      </c>
      <c r="AD67" t="str">
        <f t="shared" ref="AD67:AD130" si="21">IF(AC67&lt;0,"Invalid Negative Discount",IF(AC67&gt;1,"Invalid High Discount","OK"))</f>
        <v>OK</v>
      </c>
      <c r="AE67">
        <f t="shared" ref="AE67:AE130" si="22">R67*S67*(1-AC67)</f>
        <v>4066.1804999999995</v>
      </c>
      <c r="AF67">
        <f t="shared" ref="AF67:AF130" si="23">AE67-V67</f>
        <v>1437.2604999999994</v>
      </c>
      <c r="AG67">
        <f t="shared" ref="AG67:AG130" si="24">IF(AE67=0,0,AF67/AE67)</f>
        <v>0.35346696980126674</v>
      </c>
      <c r="AH67" t="str">
        <f t="shared" si="16"/>
        <v>April</v>
      </c>
      <c r="AI67">
        <f t="shared" si="17"/>
        <v>2024</v>
      </c>
      <c r="AJ67" t="str">
        <f t="shared" ref="AJ67:AJ130" si="25">IF(ABS(U67-AE67)&gt;1,"Sales Mismatch","OK")</f>
        <v>OK</v>
      </c>
      <c r="AK67" t="str">
        <f t="shared" ref="AK67:AK130" si="26">IF(ABS(W67-AF67)&gt;1,"Profit Mismatch","OK")</f>
        <v>OK</v>
      </c>
      <c r="AL67" t="str">
        <f t="shared" ref="AL67:AL130" si="27">IF(AND(X67="Paid",Y67="Completed"),"Include","Exclude")</f>
        <v>Include</v>
      </c>
      <c r="AM67" t="str">
        <f t="shared" si="18"/>
        <v>Clean</v>
      </c>
    </row>
    <row r="68" spans="1:39">
      <c r="A68" t="s">
        <v>306</v>
      </c>
      <c r="B68" s="4">
        <v>45897</v>
      </c>
      <c r="C68" s="4">
        <v>45901</v>
      </c>
      <c r="D68" s="6">
        <v>4</v>
      </c>
      <c r="E68" t="s">
        <v>2788</v>
      </c>
      <c r="F68" t="s">
        <v>2788</v>
      </c>
      <c r="G68" t="s">
        <v>2788</v>
      </c>
      <c r="H68" t="s">
        <v>307</v>
      </c>
      <c r="I68" t="s">
        <v>23</v>
      </c>
      <c r="J68" t="s">
        <v>37</v>
      </c>
      <c r="K68" t="s">
        <v>54</v>
      </c>
      <c r="L68" t="s">
        <v>247</v>
      </c>
      <c r="M68" t="s">
        <v>248</v>
      </c>
      <c r="N68" t="s">
        <v>74</v>
      </c>
      <c r="O68" t="s">
        <v>75</v>
      </c>
      <c r="P68" t="s">
        <v>308</v>
      </c>
      <c r="Q68" t="s">
        <v>44</v>
      </c>
      <c r="R68">
        <v>7</v>
      </c>
      <c r="S68">
        <v>1057.46</v>
      </c>
      <c r="T68">
        <v>0.05</v>
      </c>
      <c r="U68">
        <v>7032.11</v>
      </c>
      <c r="V68">
        <v>4610.34</v>
      </c>
      <c r="W68">
        <v>2421.77</v>
      </c>
      <c r="X68" t="s">
        <v>32</v>
      </c>
      <c r="Y68" t="s">
        <v>33</v>
      </c>
      <c r="Z68" t="str">
        <f t="shared" si="14"/>
        <v>Unique</v>
      </c>
      <c r="AA68" t="str">
        <f t="shared" si="15"/>
        <v>Unique</v>
      </c>
      <c r="AB68" t="str">
        <f t="shared" si="19"/>
        <v>OK</v>
      </c>
      <c r="AC68">
        <f t="shared" si="20"/>
        <v>0.05</v>
      </c>
      <c r="AD68" t="str">
        <f t="shared" si="21"/>
        <v>OK</v>
      </c>
      <c r="AE68">
        <f t="shared" si="22"/>
        <v>7032.1089999999995</v>
      </c>
      <c r="AF68">
        <f t="shared" si="23"/>
        <v>2421.7689999999993</v>
      </c>
      <c r="AG68">
        <f t="shared" si="24"/>
        <v>0.34438729547565311</v>
      </c>
      <c r="AH68" t="str">
        <f t="shared" si="16"/>
        <v>August</v>
      </c>
      <c r="AI68">
        <f t="shared" si="17"/>
        <v>2025</v>
      </c>
      <c r="AJ68" t="str">
        <f t="shared" si="25"/>
        <v>OK</v>
      </c>
      <c r="AK68" t="str">
        <f t="shared" si="26"/>
        <v>OK</v>
      </c>
      <c r="AL68" t="str">
        <f t="shared" si="27"/>
        <v>Include</v>
      </c>
      <c r="AM68" t="str">
        <f t="shared" si="18"/>
        <v>Clean</v>
      </c>
    </row>
    <row r="69" spans="1:39">
      <c r="A69" t="s">
        <v>309</v>
      </c>
      <c r="B69" s="4">
        <v>45691</v>
      </c>
      <c r="C69" s="4">
        <v>45695</v>
      </c>
      <c r="D69" s="6">
        <v>4</v>
      </c>
      <c r="E69" t="s">
        <v>2788</v>
      </c>
      <c r="F69" t="s">
        <v>2788</v>
      </c>
      <c r="G69" t="s">
        <v>2788</v>
      </c>
      <c r="H69" t="s">
        <v>310</v>
      </c>
      <c r="I69" t="s">
        <v>264</v>
      </c>
      <c r="J69" t="s">
        <v>24</v>
      </c>
      <c r="K69" t="s">
        <v>25</v>
      </c>
      <c r="L69" t="s">
        <v>236</v>
      </c>
      <c r="M69" t="s">
        <v>237</v>
      </c>
      <c r="N69" t="s">
        <v>28</v>
      </c>
      <c r="O69" t="s">
        <v>29</v>
      </c>
      <c r="P69" t="s">
        <v>311</v>
      </c>
      <c r="Q69" t="s">
        <v>50</v>
      </c>
      <c r="R69">
        <v>7</v>
      </c>
      <c r="S69">
        <v>3609.34</v>
      </c>
      <c r="T69">
        <v>0.05</v>
      </c>
      <c r="U69">
        <v>24002.11</v>
      </c>
      <c r="V69">
        <v>18707.57</v>
      </c>
      <c r="W69">
        <v>5294.54</v>
      </c>
      <c r="X69" t="s">
        <v>32</v>
      </c>
      <c r="Y69" t="s">
        <v>33</v>
      </c>
      <c r="Z69" t="str">
        <f t="shared" si="14"/>
        <v>Unique</v>
      </c>
      <c r="AA69" t="str">
        <f t="shared" si="15"/>
        <v>Unique</v>
      </c>
      <c r="AB69" t="str">
        <f t="shared" si="19"/>
        <v>OK</v>
      </c>
      <c r="AC69">
        <f t="shared" si="20"/>
        <v>0.05</v>
      </c>
      <c r="AD69" t="str">
        <f t="shared" si="21"/>
        <v>OK</v>
      </c>
      <c r="AE69">
        <f t="shared" si="22"/>
        <v>24002.111000000001</v>
      </c>
      <c r="AF69">
        <f t="shared" si="23"/>
        <v>5294.5410000000011</v>
      </c>
      <c r="AG69">
        <f t="shared" si="24"/>
        <v>0.2205864725815159</v>
      </c>
      <c r="AH69" t="str">
        <f t="shared" si="16"/>
        <v>February</v>
      </c>
      <c r="AI69">
        <f t="shared" si="17"/>
        <v>2025</v>
      </c>
      <c r="AJ69" t="str">
        <f t="shared" si="25"/>
        <v>OK</v>
      </c>
      <c r="AK69" t="str">
        <f t="shared" si="26"/>
        <v>OK</v>
      </c>
      <c r="AL69" t="str">
        <f t="shared" si="27"/>
        <v>Include</v>
      </c>
      <c r="AM69" t="str">
        <f t="shared" si="18"/>
        <v>Clean</v>
      </c>
    </row>
    <row r="70" spans="1:39">
      <c r="A70" t="s">
        <v>312</v>
      </c>
      <c r="B70" s="4">
        <v>45606</v>
      </c>
      <c r="C70" s="4">
        <v>45609</v>
      </c>
      <c r="D70" s="6">
        <v>3</v>
      </c>
      <c r="E70" t="s">
        <v>2788</v>
      </c>
      <c r="F70" t="s">
        <v>2788</v>
      </c>
      <c r="G70" t="s">
        <v>2788</v>
      </c>
      <c r="H70" t="s">
        <v>313</v>
      </c>
      <c r="I70" t="s">
        <v>47</v>
      </c>
      <c r="J70" t="s">
        <v>90</v>
      </c>
      <c r="K70" t="s">
        <v>38</v>
      </c>
      <c r="L70" t="s">
        <v>228</v>
      </c>
      <c r="M70" t="s">
        <v>229</v>
      </c>
      <c r="N70" t="s">
        <v>28</v>
      </c>
      <c r="O70" t="s">
        <v>124</v>
      </c>
      <c r="P70" t="s">
        <v>314</v>
      </c>
      <c r="Q70" t="s">
        <v>31</v>
      </c>
      <c r="R70">
        <v>9</v>
      </c>
      <c r="S70">
        <v>2211.12</v>
      </c>
      <c r="T70">
        <v>0</v>
      </c>
      <c r="U70">
        <v>19900.080000000002</v>
      </c>
      <c r="V70">
        <v>10962.66</v>
      </c>
      <c r="W70">
        <v>8937.42</v>
      </c>
      <c r="X70" t="s">
        <v>155</v>
      </c>
      <c r="Y70" t="s">
        <v>103</v>
      </c>
      <c r="Z70" t="str">
        <f t="shared" si="14"/>
        <v>Unique</v>
      </c>
      <c r="AA70" t="str">
        <f t="shared" si="15"/>
        <v>Unique</v>
      </c>
      <c r="AB70" t="str">
        <f t="shared" si="19"/>
        <v>OK</v>
      </c>
      <c r="AC70">
        <f t="shared" si="20"/>
        <v>0</v>
      </c>
      <c r="AD70" t="str">
        <f t="shared" si="21"/>
        <v>OK</v>
      </c>
      <c r="AE70">
        <f t="shared" si="22"/>
        <v>19900.079999999998</v>
      </c>
      <c r="AF70">
        <f t="shared" si="23"/>
        <v>8937.4199999999983</v>
      </c>
      <c r="AG70">
        <f t="shared" si="24"/>
        <v>0.44911477742803041</v>
      </c>
      <c r="AH70" t="str">
        <f t="shared" si="16"/>
        <v>November</v>
      </c>
      <c r="AI70">
        <f t="shared" si="17"/>
        <v>2024</v>
      </c>
      <c r="AJ70" t="str">
        <f t="shared" si="25"/>
        <v>OK</v>
      </c>
      <c r="AK70" t="str">
        <f t="shared" si="26"/>
        <v>OK</v>
      </c>
      <c r="AL70" t="str">
        <f t="shared" si="27"/>
        <v>Exclude</v>
      </c>
      <c r="AM70" t="str">
        <f t="shared" si="18"/>
        <v>Clean</v>
      </c>
    </row>
    <row r="71" spans="1:39">
      <c r="A71" t="s">
        <v>315</v>
      </c>
      <c r="B71" s="4">
        <v>45391</v>
      </c>
      <c r="C71" s="4">
        <v>45396</v>
      </c>
      <c r="D71" s="6">
        <v>5</v>
      </c>
      <c r="E71" t="s">
        <v>2788</v>
      </c>
      <c r="F71" t="s">
        <v>2788</v>
      </c>
      <c r="G71" t="s">
        <v>2788</v>
      </c>
      <c r="H71" t="s">
        <v>316</v>
      </c>
      <c r="I71" t="s">
        <v>79</v>
      </c>
      <c r="J71" t="s">
        <v>37</v>
      </c>
      <c r="K71" t="s">
        <v>63</v>
      </c>
      <c r="L71" t="s">
        <v>180</v>
      </c>
      <c r="M71" t="s">
        <v>181</v>
      </c>
      <c r="N71" t="s">
        <v>74</v>
      </c>
      <c r="O71" t="s">
        <v>274</v>
      </c>
      <c r="P71" t="s">
        <v>317</v>
      </c>
      <c r="Q71" t="s">
        <v>44</v>
      </c>
      <c r="R71">
        <v>7</v>
      </c>
      <c r="S71">
        <v>3417.09</v>
      </c>
      <c r="T71">
        <v>0.1</v>
      </c>
      <c r="U71">
        <v>21527.67</v>
      </c>
      <c r="V71">
        <v>18287.580000000002</v>
      </c>
      <c r="W71">
        <v>3240.09</v>
      </c>
      <c r="X71" t="s">
        <v>102</v>
      </c>
      <c r="Y71" t="s">
        <v>103</v>
      </c>
      <c r="Z71" t="str">
        <f t="shared" si="14"/>
        <v>Unique</v>
      </c>
      <c r="AA71" t="str">
        <f t="shared" si="15"/>
        <v>Unique</v>
      </c>
      <c r="AB71" t="str">
        <f t="shared" si="19"/>
        <v>OK</v>
      </c>
      <c r="AC71">
        <f t="shared" si="20"/>
        <v>0.1</v>
      </c>
      <c r="AD71" t="str">
        <f t="shared" si="21"/>
        <v>OK</v>
      </c>
      <c r="AE71">
        <f t="shared" si="22"/>
        <v>21527.667000000001</v>
      </c>
      <c r="AF71">
        <f t="shared" si="23"/>
        <v>3240.0869999999995</v>
      </c>
      <c r="AG71">
        <f t="shared" si="24"/>
        <v>0.15050804158202555</v>
      </c>
      <c r="AH71" t="str">
        <f t="shared" si="16"/>
        <v>April</v>
      </c>
      <c r="AI71">
        <f t="shared" si="17"/>
        <v>2024</v>
      </c>
      <c r="AJ71" t="str">
        <f t="shared" si="25"/>
        <v>OK</v>
      </c>
      <c r="AK71" t="str">
        <f t="shared" si="26"/>
        <v>OK</v>
      </c>
      <c r="AL71" t="str">
        <f t="shared" si="27"/>
        <v>Exclude</v>
      </c>
      <c r="AM71" t="str">
        <f t="shared" si="18"/>
        <v>Clean</v>
      </c>
    </row>
    <row r="72" spans="1:39">
      <c r="A72" t="s">
        <v>318</v>
      </c>
      <c r="B72" s="4">
        <v>45891</v>
      </c>
      <c r="C72" s="4">
        <v>45896</v>
      </c>
      <c r="D72" s="6">
        <v>5</v>
      </c>
      <c r="E72" t="s">
        <v>2788</v>
      </c>
      <c r="F72" t="s">
        <v>2788</v>
      </c>
      <c r="G72" t="s">
        <v>2788</v>
      </c>
      <c r="H72" t="s">
        <v>319</v>
      </c>
      <c r="I72" t="s">
        <v>23</v>
      </c>
      <c r="J72" t="s">
        <v>90</v>
      </c>
      <c r="K72" t="s">
        <v>54</v>
      </c>
      <c r="L72" t="s">
        <v>84</v>
      </c>
      <c r="M72" t="s">
        <v>85</v>
      </c>
      <c r="N72" t="s">
        <v>74</v>
      </c>
      <c r="O72" t="s">
        <v>171</v>
      </c>
      <c r="P72" t="s">
        <v>320</v>
      </c>
      <c r="Q72" t="s">
        <v>50</v>
      </c>
      <c r="R72">
        <v>2</v>
      </c>
      <c r="S72">
        <v>905.87</v>
      </c>
      <c r="T72">
        <v>0.15</v>
      </c>
      <c r="U72">
        <v>1539.98</v>
      </c>
      <c r="V72">
        <v>1070.2</v>
      </c>
      <c r="W72">
        <v>469.78</v>
      </c>
      <c r="X72" t="s">
        <v>32</v>
      </c>
      <c r="Y72" t="s">
        <v>33</v>
      </c>
      <c r="Z72" t="str">
        <f t="shared" si="14"/>
        <v>Unique</v>
      </c>
      <c r="AA72" t="str">
        <f t="shared" si="15"/>
        <v>Unique</v>
      </c>
      <c r="AB72" t="str">
        <f t="shared" si="19"/>
        <v>OK</v>
      </c>
      <c r="AC72">
        <f t="shared" si="20"/>
        <v>0.15</v>
      </c>
      <c r="AD72" t="str">
        <f t="shared" si="21"/>
        <v>OK</v>
      </c>
      <c r="AE72">
        <f t="shared" si="22"/>
        <v>1539.979</v>
      </c>
      <c r="AF72">
        <f t="shared" si="23"/>
        <v>469.779</v>
      </c>
      <c r="AG72">
        <f t="shared" si="24"/>
        <v>0.30505545854846072</v>
      </c>
      <c r="AH72" t="str">
        <f t="shared" si="16"/>
        <v>August</v>
      </c>
      <c r="AI72">
        <f t="shared" si="17"/>
        <v>2025</v>
      </c>
      <c r="AJ72" t="str">
        <f t="shared" si="25"/>
        <v>OK</v>
      </c>
      <c r="AK72" t="str">
        <f t="shared" si="26"/>
        <v>OK</v>
      </c>
      <c r="AL72" t="str">
        <f t="shared" si="27"/>
        <v>Include</v>
      </c>
      <c r="AM72" t="str">
        <f t="shared" si="18"/>
        <v>Clean</v>
      </c>
    </row>
    <row r="73" spans="1:39">
      <c r="A73" t="s">
        <v>321</v>
      </c>
      <c r="B73" s="4">
        <v>45763</v>
      </c>
      <c r="C73" s="4">
        <v>45770</v>
      </c>
      <c r="D73" s="6">
        <v>7</v>
      </c>
      <c r="E73" t="s">
        <v>2788</v>
      </c>
      <c r="F73" t="s">
        <v>2788</v>
      </c>
      <c r="G73" t="s">
        <v>2788</v>
      </c>
      <c r="H73" t="s">
        <v>322</v>
      </c>
      <c r="I73" t="s">
        <v>36</v>
      </c>
      <c r="J73" t="s">
        <v>37</v>
      </c>
      <c r="K73" t="s">
        <v>63</v>
      </c>
      <c r="L73" t="s">
        <v>190</v>
      </c>
      <c r="M73" t="s">
        <v>191</v>
      </c>
      <c r="N73" t="s">
        <v>74</v>
      </c>
      <c r="O73" t="s">
        <v>274</v>
      </c>
      <c r="P73" t="s">
        <v>323</v>
      </c>
      <c r="Q73" t="s">
        <v>59</v>
      </c>
      <c r="R73">
        <v>6</v>
      </c>
      <c r="S73">
        <v>2027.32</v>
      </c>
      <c r="T73">
        <v>0.1</v>
      </c>
      <c r="U73">
        <v>10947.53</v>
      </c>
      <c r="V73">
        <v>6447.36</v>
      </c>
      <c r="W73">
        <v>4500.17</v>
      </c>
      <c r="X73" t="s">
        <v>32</v>
      </c>
      <c r="Y73" t="s">
        <v>33</v>
      </c>
      <c r="Z73" t="str">
        <f t="shared" si="14"/>
        <v>Unique</v>
      </c>
      <c r="AA73" t="str">
        <f t="shared" si="15"/>
        <v>Unique</v>
      </c>
      <c r="AB73" t="str">
        <f t="shared" si="19"/>
        <v>OK</v>
      </c>
      <c r="AC73">
        <f t="shared" si="20"/>
        <v>0.1</v>
      </c>
      <c r="AD73" t="str">
        <f t="shared" si="21"/>
        <v>OK</v>
      </c>
      <c r="AE73">
        <f t="shared" si="22"/>
        <v>10947.528</v>
      </c>
      <c r="AF73">
        <f t="shared" si="23"/>
        <v>4500.1680000000006</v>
      </c>
      <c r="AG73">
        <f t="shared" si="24"/>
        <v>0.41106704636882413</v>
      </c>
      <c r="AH73" t="str">
        <f t="shared" si="16"/>
        <v>April</v>
      </c>
      <c r="AI73">
        <f t="shared" si="17"/>
        <v>2025</v>
      </c>
      <c r="AJ73" t="str">
        <f t="shared" si="25"/>
        <v>OK</v>
      </c>
      <c r="AK73" t="str">
        <f t="shared" si="26"/>
        <v>OK</v>
      </c>
      <c r="AL73" t="str">
        <f t="shared" si="27"/>
        <v>Include</v>
      </c>
      <c r="AM73" t="str">
        <f t="shared" si="18"/>
        <v>Clean</v>
      </c>
    </row>
    <row r="74" spans="1:39">
      <c r="A74" t="s">
        <v>324</v>
      </c>
      <c r="B74" s="4">
        <v>45333</v>
      </c>
      <c r="C74" s="4">
        <v>45329</v>
      </c>
      <c r="D74" s="6">
        <v>-4</v>
      </c>
      <c r="E74" t="s">
        <v>2788</v>
      </c>
      <c r="F74" t="s">
        <v>2788</v>
      </c>
      <c r="G74" t="s">
        <v>2790</v>
      </c>
      <c r="H74" t="s">
        <v>325</v>
      </c>
      <c r="I74" t="s">
        <v>23</v>
      </c>
      <c r="J74" t="s">
        <v>95</v>
      </c>
      <c r="K74" t="s">
        <v>54</v>
      </c>
      <c r="L74" t="s">
        <v>247</v>
      </c>
      <c r="M74" t="s">
        <v>248</v>
      </c>
      <c r="N74" t="s">
        <v>41</v>
      </c>
      <c r="O74" t="s">
        <v>42</v>
      </c>
      <c r="P74" t="s">
        <v>326</v>
      </c>
      <c r="Q74" t="s">
        <v>50</v>
      </c>
      <c r="R74">
        <v>7</v>
      </c>
      <c r="S74">
        <v>2287.4699999999998</v>
      </c>
      <c r="T74">
        <v>0.15</v>
      </c>
      <c r="U74">
        <v>13610.45</v>
      </c>
      <c r="V74">
        <v>10039.049999999999</v>
      </c>
      <c r="W74">
        <v>3571.4</v>
      </c>
      <c r="X74" t="s">
        <v>32</v>
      </c>
      <c r="Y74" t="s">
        <v>33</v>
      </c>
      <c r="Z74" t="str">
        <f t="shared" si="14"/>
        <v>Unique</v>
      </c>
      <c r="AA74" t="str">
        <f t="shared" si="15"/>
        <v>Unique</v>
      </c>
      <c r="AB74" t="str">
        <f t="shared" si="19"/>
        <v>OK</v>
      </c>
      <c r="AC74">
        <f t="shared" si="20"/>
        <v>0.15</v>
      </c>
      <c r="AD74" t="str">
        <f t="shared" si="21"/>
        <v>OK</v>
      </c>
      <c r="AE74">
        <f t="shared" si="22"/>
        <v>13610.446499999998</v>
      </c>
      <c r="AF74">
        <f t="shared" si="23"/>
        <v>3571.3964999999989</v>
      </c>
      <c r="AG74">
        <f t="shared" si="24"/>
        <v>0.26240112695788487</v>
      </c>
      <c r="AH74" t="str">
        <f t="shared" si="16"/>
        <v>February</v>
      </c>
      <c r="AI74">
        <f t="shared" si="17"/>
        <v>2024</v>
      </c>
      <c r="AJ74" t="str">
        <f t="shared" si="25"/>
        <v>OK</v>
      </c>
      <c r="AK74" t="str">
        <f t="shared" si="26"/>
        <v>OK</v>
      </c>
      <c r="AL74" t="str">
        <f t="shared" si="27"/>
        <v>Include</v>
      </c>
      <c r="AM74" t="str">
        <f t="shared" si="18"/>
        <v>Warning</v>
      </c>
    </row>
    <row r="75" spans="1:39">
      <c r="A75" t="s">
        <v>327</v>
      </c>
      <c r="B75" s="4">
        <v>45745</v>
      </c>
      <c r="C75" s="4">
        <v>45750</v>
      </c>
      <c r="D75" s="6">
        <v>5</v>
      </c>
      <c r="E75" t="s">
        <v>2788</v>
      </c>
      <c r="F75" t="s">
        <v>2788</v>
      </c>
      <c r="G75" t="s">
        <v>2788</v>
      </c>
      <c r="H75" t="s">
        <v>328</v>
      </c>
      <c r="I75" t="s">
        <v>132</v>
      </c>
      <c r="J75" t="s">
        <v>90</v>
      </c>
      <c r="K75" t="s">
        <v>38</v>
      </c>
      <c r="L75" t="s">
        <v>99</v>
      </c>
      <c r="M75" t="s">
        <v>100</v>
      </c>
      <c r="N75" t="s">
        <v>41</v>
      </c>
      <c r="O75" t="s">
        <v>158</v>
      </c>
      <c r="P75" t="s">
        <v>329</v>
      </c>
      <c r="Q75" t="s">
        <v>50</v>
      </c>
      <c r="R75">
        <v>5</v>
      </c>
      <c r="S75">
        <v>1425.74</v>
      </c>
      <c r="T75">
        <v>0</v>
      </c>
      <c r="U75">
        <v>7128.7</v>
      </c>
      <c r="V75">
        <v>4382.1499999999996</v>
      </c>
      <c r="W75">
        <v>2746.55</v>
      </c>
      <c r="X75" t="s">
        <v>32</v>
      </c>
      <c r="Y75" t="s">
        <v>33</v>
      </c>
      <c r="Z75" t="str">
        <f t="shared" si="14"/>
        <v>Unique</v>
      </c>
      <c r="AA75" t="str">
        <f t="shared" si="15"/>
        <v>Unique</v>
      </c>
      <c r="AB75" t="str">
        <f t="shared" si="19"/>
        <v>OK</v>
      </c>
      <c r="AC75">
        <f t="shared" si="20"/>
        <v>0</v>
      </c>
      <c r="AD75" t="str">
        <f t="shared" si="21"/>
        <v>OK</v>
      </c>
      <c r="AE75">
        <f t="shared" si="22"/>
        <v>7128.7</v>
      </c>
      <c r="AF75">
        <f t="shared" si="23"/>
        <v>2746.55</v>
      </c>
      <c r="AG75">
        <f t="shared" si="24"/>
        <v>0.38528062620113068</v>
      </c>
      <c r="AH75" t="str">
        <f t="shared" si="16"/>
        <v>March</v>
      </c>
      <c r="AI75">
        <f t="shared" si="17"/>
        <v>2025</v>
      </c>
      <c r="AJ75" t="str">
        <f t="shared" si="25"/>
        <v>OK</v>
      </c>
      <c r="AK75" t="str">
        <f t="shared" si="26"/>
        <v>OK</v>
      </c>
      <c r="AL75" t="str">
        <f t="shared" si="27"/>
        <v>Include</v>
      </c>
      <c r="AM75" t="str">
        <f t="shared" si="18"/>
        <v>Clean</v>
      </c>
    </row>
    <row r="76" spans="1:39">
      <c r="A76" t="s">
        <v>330</v>
      </c>
      <c r="B76" s="4">
        <v>45715</v>
      </c>
      <c r="C76" s="4">
        <v>45717</v>
      </c>
      <c r="D76" s="6">
        <v>2</v>
      </c>
      <c r="E76" t="s">
        <v>2788</v>
      </c>
      <c r="F76" t="s">
        <v>2788</v>
      </c>
      <c r="G76" t="s">
        <v>2788</v>
      </c>
      <c r="H76" t="s">
        <v>331</v>
      </c>
      <c r="I76" t="s">
        <v>71</v>
      </c>
      <c r="J76" t="s">
        <v>37</v>
      </c>
      <c r="K76" t="s">
        <v>38</v>
      </c>
      <c r="L76" t="s">
        <v>99</v>
      </c>
      <c r="M76" t="s">
        <v>100</v>
      </c>
      <c r="N76" t="s">
        <v>41</v>
      </c>
      <c r="O76" t="s">
        <v>66</v>
      </c>
      <c r="P76" t="s">
        <v>332</v>
      </c>
      <c r="Q76" t="s">
        <v>59</v>
      </c>
      <c r="R76">
        <v>6</v>
      </c>
      <c r="S76">
        <v>551.64</v>
      </c>
      <c r="T76">
        <v>0</v>
      </c>
      <c r="U76">
        <v>3309.84</v>
      </c>
      <c r="V76">
        <v>2671.08</v>
      </c>
      <c r="W76">
        <v>638.76</v>
      </c>
      <c r="X76" t="s">
        <v>32</v>
      </c>
      <c r="Y76" t="s">
        <v>33</v>
      </c>
      <c r="Z76" t="str">
        <f t="shared" si="14"/>
        <v>Unique</v>
      </c>
      <c r="AA76" t="str">
        <f t="shared" si="15"/>
        <v>Unique</v>
      </c>
      <c r="AB76" t="str">
        <f t="shared" si="19"/>
        <v>OK</v>
      </c>
      <c r="AC76">
        <f t="shared" si="20"/>
        <v>0</v>
      </c>
      <c r="AD76" t="str">
        <f t="shared" si="21"/>
        <v>OK</v>
      </c>
      <c r="AE76">
        <f t="shared" si="22"/>
        <v>3309.84</v>
      </c>
      <c r="AF76">
        <f t="shared" si="23"/>
        <v>638.76000000000022</v>
      </c>
      <c r="AG76">
        <f t="shared" si="24"/>
        <v>0.19298818069755644</v>
      </c>
      <c r="AH76" t="str">
        <f t="shared" si="16"/>
        <v>February</v>
      </c>
      <c r="AI76">
        <f t="shared" si="17"/>
        <v>2025</v>
      </c>
      <c r="AJ76" t="str">
        <f t="shared" si="25"/>
        <v>OK</v>
      </c>
      <c r="AK76" t="str">
        <f t="shared" si="26"/>
        <v>OK</v>
      </c>
      <c r="AL76" t="str">
        <f t="shared" si="27"/>
        <v>Include</v>
      </c>
      <c r="AM76" t="str">
        <f t="shared" si="18"/>
        <v>Clean</v>
      </c>
    </row>
    <row r="77" spans="1:39">
      <c r="A77" t="s">
        <v>333</v>
      </c>
      <c r="B77" s="4">
        <v>45891</v>
      </c>
      <c r="C77" s="4">
        <v>45896</v>
      </c>
      <c r="D77" s="6">
        <v>5</v>
      </c>
      <c r="E77" t="s">
        <v>2788</v>
      </c>
      <c r="F77" t="s">
        <v>2788</v>
      </c>
      <c r="G77" t="s">
        <v>2788</v>
      </c>
      <c r="H77" t="s">
        <v>334</v>
      </c>
      <c r="I77" t="s">
        <v>114</v>
      </c>
      <c r="J77" t="s">
        <v>37</v>
      </c>
      <c r="K77" t="s">
        <v>38</v>
      </c>
      <c r="L77" t="s">
        <v>39</v>
      </c>
      <c r="M77" t="s">
        <v>40</v>
      </c>
      <c r="N77" t="s">
        <v>28</v>
      </c>
      <c r="O77" t="s">
        <v>91</v>
      </c>
      <c r="P77" t="s">
        <v>335</v>
      </c>
      <c r="Q77" t="s">
        <v>50</v>
      </c>
      <c r="R77">
        <v>3</v>
      </c>
      <c r="S77">
        <v>3294.82</v>
      </c>
      <c r="T77">
        <v>0.2</v>
      </c>
      <c r="U77">
        <v>7907.57</v>
      </c>
      <c r="V77">
        <v>5391.18</v>
      </c>
      <c r="W77">
        <v>2516.39</v>
      </c>
      <c r="X77" t="s">
        <v>32</v>
      </c>
      <c r="Y77" t="s">
        <v>33</v>
      </c>
      <c r="Z77" t="str">
        <f t="shared" si="14"/>
        <v>Unique</v>
      </c>
      <c r="AA77" t="str">
        <f t="shared" si="15"/>
        <v>Unique</v>
      </c>
      <c r="AB77" t="str">
        <f t="shared" si="19"/>
        <v>OK</v>
      </c>
      <c r="AC77">
        <f t="shared" si="20"/>
        <v>0.2</v>
      </c>
      <c r="AD77" t="str">
        <f t="shared" si="21"/>
        <v>OK</v>
      </c>
      <c r="AE77">
        <f t="shared" si="22"/>
        <v>7907.5680000000011</v>
      </c>
      <c r="AF77">
        <f t="shared" si="23"/>
        <v>2516.3880000000008</v>
      </c>
      <c r="AG77">
        <f t="shared" si="24"/>
        <v>0.31822527482533197</v>
      </c>
      <c r="AH77" t="str">
        <f t="shared" si="16"/>
        <v>August</v>
      </c>
      <c r="AI77">
        <f t="shared" si="17"/>
        <v>2025</v>
      </c>
      <c r="AJ77" t="str">
        <f t="shared" si="25"/>
        <v>OK</v>
      </c>
      <c r="AK77" t="str">
        <f t="shared" si="26"/>
        <v>OK</v>
      </c>
      <c r="AL77" t="str">
        <f t="shared" si="27"/>
        <v>Include</v>
      </c>
      <c r="AM77" t="str">
        <f t="shared" si="18"/>
        <v>Clean</v>
      </c>
    </row>
    <row r="78" spans="1:39">
      <c r="A78" t="s">
        <v>336</v>
      </c>
      <c r="B78" s="4">
        <v>45599</v>
      </c>
      <c r="C78" s="4">
        <v>45607</v>
      </c>
      <c r="D78" s="6">
        <v>8</v>
      </c>
      <c r="E78" t="s">
        <v>2788</v>
      </c>
      <c r="F78" t="s">
        <v>2788</v>
      </c>
      <c r="G78" t="s">
        <v>2788</v>
      </c>
      <c r="H78" t="s">
        <v>337</v>
      </c>
      <c r="I78" t="s">
        <v>62</v>
      </c>
      <c r="J78" t="s">
        <v>90</v>
      </c>
      <c r="K78" t="s">
        <v>38</v>
      </c>
      <c r="L78" t="s">
        <v>228</v>
      </c>
      <c r="M78" t="s">
        <v>229</v>
      </c>
      <c r="N78" t="s">
        <v>28</v>
      </c>
      <c r="O78" t="s">
        <v>91</v>
      </c>
      <c r="P78" t="s">
        <v>338</v>
      </c>
      <c r="Q78" t="s">
        <v>31</v>
      </c>
      <c r="R78">
        <v>3</v>
      </c>
      <c r="S78">
        <v>3406.27</v>
      </c>
      <c r="T78">
        <v>0</v>
      </c>
      <c r="U78">
        <v>10218.81</v>
      </c>
      <c r="V78">
        <v>7616.97</v>
      </c>
      <c r="W78">
        <v>2601.84</v>
      </c>
      <c r="X78" t="s">
        <v>32</v>
      </c>
      <c r="Y78" t="s">
        <v>33</v>
      </c>
      <c r="Z78" t="str">
        <f t="shared" si="14"/>
        <v>Unique</v>
      </c>
      <c r="AA78" t="str">
        <f t="shared" si="15"/>
        <v>Unique</v>
      </c>
      <c r="AB78" t="str">
        <f t="shared" si="19"/>
        <v>OK</v>
      </c>
      <c r="AC78">
        <f t="shared" si="20"/>
        <v>0</v>
      </c>
      <c r="AD78" t="str">
        <f t="shared" si="21"/>
        <v>OK</v>
      </c>
      <c r="AE78">
        <f t="shared" si="22"/>
        <v>10218.81</v>
      </c>
      <c r="AF78">
        <f t="shared" si="23"/>
        <v>2601.8399999999992</v>
      </c>
      <c r="AG78">
        <f t="shared" si="24"/>
        <v>0.2546128169522674</v>
      </c>
      <c r="AH78" t="str">
        <f t="shared" si="16"/>
        <v>November</v>
      </c>
      <c r="AI78">
        <f t="shared" si="17"/>
        <v>2024</v>
      </c>
      <c r="AJ78" t="str">
        <f t="shared" si="25"/>
        <v>OK</v>
      </c>
      <c r="AK78" t="str">
        <f t="shared" si="26"/>
        <v>OK</v>
      </c>
      <c r="AL78" t="str">
        <f t="shared" si="27"/>
        <v>Include</v>
      </c>
      <c r="AM78" t="str">
        <f t="shared" si="18"/>
        <v>Clean</v>
      </c>
    </row>
    <row r="79" spans="1:39">
      <c r="A79" t="s">
        <v>339</v>
      </c>
      <c r="B79" s="4">
        <v>45846</v>
      </c>
      <c r="C79" s="4">
        <v>45850</v>
      </c>
      <c r="D79" s="6">
        <v>4</v>
      </c>
      <c r="E79" t="s">
        <v>2788</v>
      </c>
      <c r="F79" t="s">
        <v>2788</v>
      </c>
      <c r="G79" t="s">
        <v>2788</v>
      </c>
      <c r="H79" t="s">
        <v>340</v>
      </c>
      <c r="I79" t="s">
        <v>141</v>
      </c>
      <c r="J79" t="s">
        <v>95</v>
      </c>
      <c r="K79" t="s">
        <v>25</v>
      </c>
      <c r="L79" t="s">
        <v>136</v>
      </c>
      <c r="M79" t="s">
        <v>137</v>
      </c>
      <c r="N79" t="s">
        <v>41</v>
      </c>
      <c r="O79" t="s">
        <v>57</v>
      </c>
      <c r="P79" t="s">
        <v>341</v>
      </c>
      <c r="Q79" t="s">
        <v>59</v>
      </c>
      <c r="R79">
        <v>1</v>
      </c>
      <c r="S79">
        <v>2582.1999999999998</v>
      </c>
      <c r="T79">
        <v>0.15</v>
      </c>
      <c r="U79">
        <v>2194.87</v>
      </c>
      <c r="V79">
        <v>1223.17</v>
      </c>
      <c r="W79">
        <v>971.7</v>
      </c>
      <c r="X79" t="s">
        <v>102</v>
      </c>
      <c r="Y79" t="s">
        <v>68</v>
      </c>
      <c r="Z79" t="str">
        <f t="shared" si="14"/>
        <v>Unique</v>
      </c>
      <c r="AA79" t="str">
        <f t="shared" si="15"/>
        <v>Unique</v>
      </c>
      <c r="AB79" t="str">
        <f t="shared" si="19"/>
        <v>OK</v>
      </c>
      <c r="AC79">
        <f t="shared" si="20"/>
        <v>0.15</v>
      </c>
      <c r="AD79" t="str">
        <f t="shared" si="21"/>
        <v>OK</v>
      </c>
      <c r="AE79">
        <f t="shared" si="22"/>
        <v>2194.87</v>
      </c>
      <c r="AF79">
        <f t="shared" si="23"/>
        <v>971.69999999999982</v>
      </c>
      <c r="AG79">
        <f t="shared" si="24"/>
        <v>0.44271414707932583</v>
      </c>
      <c r="AH79" t="str">
        <f t="shared" si="16"/>
        <v>July</v>
      </c>
      <c r="AI79">
        <f t="shared" si="17"/>
        <v>2025</v>
      </c>
      <c r="AJ79" t="str">
        <f t="shared" si="25"/>
        <v>OK</v>
      </c>
      <c r="AK79" t="str">
        <f t="shared" si="26"/>
        <v>OK</v>
      </c>
      <c r="AL79" t="str">
        <f t="shared" si="27"/>
        <v>Exclude</v>
      </c>
      <c r="AM79" t="str">
        <f t="shared" si="18"/>
        <v>Clean</v>
      </c>
    </row>
    <row r="80" spans="1:39">
      <c r="A80" t="s">
        <v>342</v>
      </c>
      <c r="B80" s="4">
        <v>45854</v>
      </c>
      <c r="C80" s="4">
        <v>45859</v>
      </c>
      <c r="D80" s="6">
        <v>5</v>
      </c>
      <c r="E80" t="s">
        <v>2788</v>
      </c>
      <c r="F80" t="s">
        <v>2788</v>
      </c>
      <c r="G80" t="s">
        <v>2788</v>
      </c>
      <c r="H80" t="s">
        <v>343</v>
      </c>
      <c r="I80" t="s">
        <v>132</v>
      </c>
      <c r="J80" t="s">
        <v>90</v>
      </c>
      <c r="K80" t="s">
        <v>38</v>
      </c>
      <c r="L80" t="s">
        <v>99</v>
      </c>
      <c r="M80" t="s">
        <v>100</v>
      </c>
      <c r="N80" t="s">
        <v>41</v>
      </c>
      <c r="O80" t="s">
        <v>42</v>
      </c>
      <c r="P80" t="s">
        <v>344</v>
      </c>
      <c r="Q80" t="s">
        <v>50</v>
      </c>
      <c r="R80">
        <v>5</v>
      </c>
      <c r="S80">
        <v>2129.5100000000002</v>
      </c>
      <c r="T80">
        <v>0.15</v>
      </c>
      <c r="U80">
        <v>9050.42</v>
      </c>
      <c r="V80">
        <v>6778.85</v>
      </c>
      <c r="W80">
        <v>2271.5700000000002</v>
      </c>
      <c r="X80" t="s">
        <v>32</v>
      </c>
      <c r="Y80" t="s">
        <v>33</v>
      </c>
      <c r="Z80" t="str">
        <f t="shared" si="14"/>
        <v>Unique</v>
      </c>
      <c r="AA80" t="str">
        <f t="shared" si="15"/>
        <v>Unique</v>
      </c>
      <c r="AB80" t="str">
        <f t="shared" si="19"/>
        <v>OK</v>
      </c>
      <c r="AC80">
        <f t="shared" si="20"/>
        <v>0.15</v>
      </c>
      <c r="AD80" t="str">
        <f t="shared" si="21"/>
        <v>OK</v>
      </c>
      <c r="AE80">
        <f t="shared" si="22"/>
        <v>9050.4175000000014</v>
      </c>
      <c r="AF80">
        <f t="shared" si="23"/>
        <v>2271.567500000001</v>
      </c>
      <c r="AG80">
        <f t="shared" si="24"/>
        <v>0.25099035486484472</v>
      </c>
      <c r="AH80" t="str">
        <f t="shared" si="16"/>
        <v>July</v>
      </c>
      <c r="AI80">
        <f t="shared" si="17"/>
        <v>2025</v>
      </c>
      <c r="AJ80" t="str">
        <f t="shared" si="25"/>
        <v>OK</v>
      </c>
      <c r="AK80" t="str">
        <f t="shared" si="26"/>
        <v>OK</v>
      </c>
      <c r="AL80" t="str">
        <f t="shared" si="27"/>
        <v>Include</v>
      </c>
      <c r="AM80" t="str">
        <f t="shared" si="18"/>
        <v>Clean</v>
      </c>
    </row>
    <row r="81" spans="1:39">
      <c r="A81" t="s">
        <v>345</v>
      </c>
      <c r="B81" s="4">
        <v>45927</v>
      </c>
      <c r="C81" s="4">
        <v>45933</v>
      </c>
      <c r="D81" s="6">
        <v>6</v>
      </c>
      <c r="E81" t="s">
        <v>2788</v>
      </c>
      <c r="F81" t="s">
        <v>2788</v>
      </c>
      <c r="G81" t="s">
        <v>2788</v>
      </c>
      <c r="H81" t="s">
        <v>346</v>
      </c>
      <c r="I81" t="s">
        <v>162</v>
      </c>
      <c r="J81" t="s">
        <v>95</v>
      </c>
      <c r="K81" t="s">
        <v>54</v>
      </c>
      <c r="L81" t="s">
        <v>247</v>
      </c>
      <c r="M81" t="s">
        <v>248</v>
      </c>
      <c r="N81" t="s">
        <v>41</v>
      </c>
      <c r="O81" t="s">
        <v>66</v>
      </c>
      <c r="P81" t="s">
        <v>347</v>
      </c>
      <c r="Q81" t="s">
        <v>44</v>
      </c>
      <c r="R81">
        <v>9</v>
      </c>
      <c r="S81">
        <v>4131.5200000000004</v>
      </c>
      <c r="T81">
        <v>0.1</v>
      </c>
      <c r="U81">
        <v>33465.31</v>
      </c>
      <c r="V81">
        <v>24781.26</v>
      </c>
      <c r="W81">
        <v>8684.0499999999993</v>
      </c>
      <c r="X81" t="s">
        <v>32</v>
      </c>
      <c r="Y81" t="s">
        <v>33</v>
      </c>
      <c r="Z81" t="str">
        <f t="shared" si="14"/>
        <v>Unique</v>
      </c>
      <c r="AA81" t="str">
        <f t="shared" si="15"/>
        <v>Unique</v>
      </c>
      <c r="AB81" t="str">
        <f t="shared" si="19"/>
        <v>OK</v>
      </c>
      <c r="AC81">
        <f t="shared" si="20"/>
        <v>0.1</v>
      </c>
      <c r="AD81" t="str">
        <f t="shared" si="21"/>
        <v>OK</v>
      </c>
      <c r="AE81">
        <f t="shared" si="22"/>
        <v>33465.312000000005</v>
      </c>
      <c r="AF81">
        <f t="shared" si="23"/>
        <v>8684.052000000007</v>
      </c>
      <c r="AG81">
        <f t="shared" si="24"/>
        <v>0.25949412932411942</v>
      </c>
      <c r="AH81" t="str">
        <f t="shared" si="16"/>
        <v>September</v>
      </c>
      <c r="AI81">
        <f t="shared" si="17"/>
        <v>2025</v>
      </c>
      <c r="AJ81" t="str">
        <f t="shared" si="25"/>
        <v>OK</v>
      </c>
      <c r="AK81" t="str">
        <f t="shared" si="26"/>
        <v>OK</v>
      </c>
      <c r="AL81" t="str">
        <f t="shared" si="27"/>
        <v>Include</v>
      </c>
      <c r="AM81" t="str">
        <f t="shared" si="18"/>
        <v>Clean</v>
      </c>
    </row>
    <row r="82" spans="1:39">
      <c r="A82" t="s">
        <v>348</v>
      </c>
      <c r="B82" s="4">
        <v>45514</v>
      </c>
      <c r="C82" s="4">
        <v>45518</v>
      </c>
      <c r="D82" s="6">
        <v>4</v>
      </c>
      <c r="E82" t="s">
        <v>2788</v>
      </c>
      <c r="F82" t="s">
        <v>2788</v>
      </c>
      <c r="G82" t="s">
        <v>2788</v>
      </c>
      <c r="H82" t="s">
        <v>349</v>
      </c>
      <c r="I82" t="s">
        <v>128</v>
      </c>
      <c r="J82" t="s">
        <v>37</v>
      </c>
      <c r="K82" t="s">
        <v>25</v>
      </c>
      <c r="L82" t="s">
        <v>350</v>
      </c>
      <c r="M82" t="s">
        <v>351</v>
      </c>
      <c r="N82" t="s">
        <v>28</v>
      </c>
      <c r="O82" t="s">
        <v>124</v>
      </c>
      <c r="P82" t="s">
        <v>352</v>
      </c>
      <c r="Q82" t="s">
        <v>31</v>
      </c>
      <c r="R82">
        <v>4</v>
      </c>
      <c r="S82">
        <v>1182.32</v>
      </c>
      <c r="T82">
        <v>0.1</v>
      </c>
      <c r="U82">
        <v>4256.3500000000004</v>
      </c>
      <c r="V82">
        <v>2495.33</v>
      </c>
      <c r="W82">
        <v>1761.02</v>
      </c>
      <c r="X82" t="s">
        <v>111</v>
      </c>
      <c r="Y82" t="s">
        <v>103</v>
      </c>
      <c r="Z82" t="str">
        <f t="shared" si="14"/>
        <v>Unique</v>
      </c>
      <c r="AA82" t="str">
        <f t="shared" si="15"/>
        <v>Unique</v>
      </c>
      <c r="AB82" t="str">
        <f t="shared" si="19"/>
        <v>OK</v>
      </c>
      <c r="AC82">
        <f t="shared" si="20"/>
        <v>0.1</v>
      </c>
      <c r="AD82" t="str">
        <f t="shared" si="21"/>
        <v>OK</v>
      </c>
      <c r="AE82">
        <f t="shared" si="22"/>
        <v>4256.3519999999999</v>
      </c>
      <c r="AF82">
        <f t="shared" si="23"/>
        <v>1761.0219999999999</v>
      </c>
      <c r="AG82">
        <f t="shared" si="24"/>
        <v>0.41373974708858663</v>
      </c>
      <c r="AH82" t="str">
        <f t="shared" si="16"/>
        <v>August</v>
      </c>
      <c r="AI82">
        <f t="shared" si="17"/>
        <v>2024</v>
      </c>
      <c r="AJ82" t="str">
        <f t="shared" si="25"/>
        <v>OK</v>
      </c>
      <c r="AK82" t="str">
        <f t="shared" si="26"/>
        <v>OK</v>
      </c>
      <c r="AL82" t="str">
        <f t="shared" si="27"/>
        <v>Exclude</v>
      </c>
      <c r="AM82" t="str">
        <f t="shared" si="18"/>
        <v>Clean</v>
      </c>
    </row>
    <row r="83" spans="1:39">
      <c r="A83" t="s">
        <v>353</v>
      </c>
      <c r="B83" s="4">
        <v>45732</v>
      </c>
      <c r="C83" s="4">
        <v>45733</v>
      </c>
      <c r="D83" s="6">
        <v>1</v>
      </c>
      <c r="E83" t="s">
        <v>2788</v>
      </c>
      <c r="F83" t="s">
        <v>2788</v>
      </c>
      <c r="G83" t="s">
        <v>2788</v>
      </c>
      <c r="H83" t="s">
        <v>354</v>
      </c>
      <c r="I83" t="s">
        <v>23</v>
      </c>
      <c r="J83" t="s">
        <v>95</v>
      </c>
      <c r="K83" t="s">
        <v>63</v>
      </c>
      <c r="L83" t="s">
        <v>190</v>
      </c>
      <c r="M83" t="s">
        <v>191</v>
      </c>
      <c r="N83" t="s">
        <v>28</v>
      </c>
      <c r="O83" t="s">
        <v>91</v>
      </c>
      <c r="P83" t="s">
        <v>355</v>
      </c>
      <c r="Q83" t="s">
        <v>44</v>
      </c>
      <c r="R83">
        <v>3</v>
      </c>
      <c r="S83">
        <v>1841.91</v>
      </c>
      <c r="T83">
        <v>0</v>
      </c>
      <c r="U83">
        <v>5525.73</v>
      </c>
      <c r="V83">
        <v>3093.42</v>
      </c>
      <c r="W83">
        <v>2432.31</v>
      </c>
      <c r="X83" t="s">
        <v>32</v>
      </c>
      <c r="Y83" t="s">
        <v>33</v>
      </c>
      <c r="Z83" t="str">
        <f t="shared" si="14"/>
        <v>Unique</v>
      </c>
      <c r="AA83" t="str">
        <f t="shared" si="15"/>
        <v>Unique</v>
      </c>
      <c r="AB83" t="str">
        <f t="shared" si="19"/>
        <v>OK</v>
      </c>
      <c r="AC83">
        <f t="shared" si="20"/>
        <v>0</v>
      </c>
      <c r="AD83" t="str">
        <f t="shared" si="21"/>
        <v>OK</v>
      </c>
      <c r="AE83">
        <f t="shared" si="22"/>
        <v>5525.7300000000005</v>
      </c>
      <c r="AF83">
        <f t="shared" si="23"/>
        <v>2432.3100000000004</v>
      </c>
      <c r="AG83">
        <f t="shared" si="24"/>
        <v>0.44017894468242208</v>
      </c>
      <c r="AH83" t="str">
        <f t="shared" si="16"/>
        <v>March</v>
      </c>
      <c r="AI83">
        <f t="shared" si="17"/>
        <v>2025</v>
      </c>
      <c r="AJ83" t="str">
        <f t="shared" si="25"/>
        <v>OK</v>
      </c>
      <c r="AK83" t="str">
        <f t="shared" si="26"/>
        <v>OK</v>
      </c>
      <c r="AL83" t="str">
        <f t="shared" si="27"/>
        <v>Include</v>
      </c>
      <c r="AM83" t="str">
        <f t="shared" si="18"/>
        <v>Clean</v>
      </c>
    </row>
    <row r="84" spans="1:39">
      <c r="A84" t="s">
        <v>356</v>
      </c>
      <c r="B84" s="4">
        <v>45507</v>
      </c>
      <c r="C84" s="4">
        <v>45508</v>
      </c>
      <c r="D84" s="6">
        <v>1</v>
      </c>
      <c r="E84" t="s">
        <v>2788</v>
      </c>
      <c r="F84" t="s">
        <v>2788</v>
      </c>
      <c r="G84" t="s">
        <v>2788</v>
      </c>
      <c r="H84" t="s">
        <v>357</v>
      </c>
      <c r="I84" t="s">
        <v>53</v>
      </c>
      <c r="J84" t="s">
        <v>24</v>
      </c>
      <c r="K84" t="s">
        <v>25</v>
      </c>
      <c r="L84" t="s">
        <v>136</v>
      </c>
      <c r="M84" t="s">
        <v>137</v>
      </c>
      <c r="N84" t="s">
        <v>74</v>
      </c>
      <c r="O84" t="s">
        <v>80</v>
      </c>
      <c r="P84" t="s">
        <v>358</v>
      </c>
      <c r="Q84" t="s">
        <v>31</v>
      </c>
      <c r="R84">
        <v>6</v>
      </c>
      <c r="S84">
        <v>1001.73</v>
      </c>
      <c r="T84">
        <v>0</v>
      </c>
      <c r="U84">
        <v>6010.38</v>
      </c>
      <c r="V84">
        <v>3762.85</v>
      </c>
      <c r="W84">
        <v>2247.5300000000002</v>
      </c>
      <c r="X84" t="s">
        <v>155</v>
      </c>
      <c r="Y84" t="s">
        <v>103</v>
      </c>
      <c r="Z84" t="str">
        <f t="shared" si="14"/>
        <v>Unique</v>
      </c>
      <c r="AA84" t="str">
        <f t="shared" si="15"/>
        <v>Unique</v>
      </c>
      <c r="AB84" t="str">
        <f t="shared" si="19"/>
        <v>OK</v>
      </c>
      <c r="AC84">
        <f t="shared" si="20"/>
        <v>0</v>
      </c>
      <c r="AD84" t="str">
        <f t="shared" si="21"/>
        <v>OK</v>
      </c>
      <c r="AE84">
        <f t="shared" si="22"/>
        <v>6010.38</v>
      </c>
      <c r="AF84">
        <f t="shared" si="23"/>
        <v>2247.5300000000002</v>
      </c>
      <c r="AG84">
        <f t="shared" si="24"/>
        <v>0.37394141468592673</v>
      </c>
      <c r="AH84" t="str">
        <f t="shared" si="16"/>
        <v>August</v>
      </c>
      <c r="AI84">
        <f t="shared" si="17"/>
        <v>2024</v>
      </c>
      <c r="AJ84" t="str">
        <f t="shared" si="25"/>
        <v>OK</v>
      </c>
      <c r="AK84" t="str">
        <f t="shared" si="26"/>
        <v>OK</v>
      </c>
      <c r="AL84" t="str">
        <f t="shared" si="27"/>
        <v>Exclude</v>
      </c>
      <c r="AM84" t="str">
        <f t="shared" si="18"/>
        <v>Clean</v>
      </c>
    </row>
    <row r="85" spans="1:39">
      <c r="A85" t="s">
        <v>359</v>
      </c>
      <c r="B85" s="4">
        <v>45591</v>
      </c>
      <c r="C85" s="4">
        <v>45594</v>
      </c>
      <c r="D85" s="6">
        <v>3</v>
      </c>
      <c r="E85" t="s">
        <v>2788</v>
      </c>
      <c r="F85" t="s">
        <v>2788</v>
      </c>
      <c r="G85" t="s">
        <v>2788</v>
      </c>
      <c r="H85" t="s">
        <v>360</v>
      </c>
      <c r="I85" t="s">
        <v>89</v>
      </c>
      <c r="J85" t="s">
        <v>95</v>
      </c>
      <c r="K85" t="s">
        <v>63</v>
      </c>
      <c r="L85" t="s">
        <v>64</v>
      </c>
      <c r="M85" t="s">
        <v>65</v>
      </c>
      <c r="N85" t="s">
        <v>41</v>
      </c>
      <c r="O85" t="s">
        <v>42</v>
      </c>
      <c r="P85" t="s">
        <v>361</v>
      </c>
      <c r="Q85" t="s">
        <v>31</v>
      </c>
      <c r="R85">
        <v>9</v>
      </c>
      <c r="S85">
        <v>131.74</v>
      </c>
      <c r="T85">
        <v>0.2</v>
      </c>
      <c r="U85">
        <v>948.53</v>
      </c>
      <c r="V85">
        <v>674.62</v>
      </c>
      <c r="W85">
        <v>273.91000000000003</v>
      </c>
      <c r="X85" t="s">
        <v>32</v>
      </c>
      <c r="Y85" t="s">
        <v>33</v>
      </c>
      <c r="Z85" t="str">
        <f t="shared" si="14"/>
        <v>Unique</v>
      </c>
      <c r="AA85" t="str">
        <f t="shared" si="15"/>
        <v>Unique</v>
      </c>
      <c r="AB85" t="str">
        <f t="shared" si="19"/>
        <v>OK</v>
      </c>
      <c r="AC85">
        <f t="shared" si="20"/>
        <v>0.2</v>
      </c>
      <c r="AD85" t="str">
        <f t="shared" si="21"/>
        <v>OK</v>
      </c>
      <c r="AE85">
        <f t="shared" si="22"/>
        <v>948.52800000000013</v>
      </c>
      <c r="AF85">
        <f t="shared" si="23"/>
        <v>273.90800000000013</v>
      </c>
      <c r="AG85">
        <f t="shared" si="24"/>
        <v>0.28877165460587362</v>
      </c>
      <c r="AH85" t="str">
        <f t="shared" si="16"/>
        <v>October</v>
      </c>
      <c r="AI85">
        <f t="shared" si="17"/>
        <v>2024</v>
      </c>
      <c r="AJ85" t="str">
        <f t="shared" si="25"/>
        <v>OK</v>
      </c>
      <c r="AK85" t="str">
        <f t="shared" si="26"/>
        <v>OK</v>
      </c>
      <c r="AL85" t="str">
        <f t="shared" si="27"/>
        <v>Include</v>
      </c>
      <c r="AM85" t="str">
        <f t="shared" si="18"/>
        <v>Clean</v>
      </c>
    </row>
    <row r="86" spans="1:39">
      <c r="A86" t="s">
        <v>362</v>
      </c>
      <c r="B86" s="4">
        <v>45566</v>
      </c>
      <c r="C86" s="4">
        <v>45568</v>
      </c>
      <c r="D86" s="6">
        <v>2</v>
      </c>
      <c r="E86" t="s">
        <v>2788</v>
      </c>
      <c r="F86" t="s">
        <v>2788</v>
      </c>
      <c r="G86" t="s">
        <v>2788</v>
      </c>
      <c r="H86" t="s">
        <v>363</v>
      </c>
      <c r="I86" t="s">
        <v>141</v>
      </c>
      <c r="J86" t="s">
        <v>90</v>
      </c>
      <c r="K86" t="s">
        <v>54</v>
      </c>
      <c r="L86" t="s">
        <v>247</v>
      </c>
      <c r="M86" t="s">
        <v>248</v>
      </c>
      <c r="N86" t="s">
        <v>74</v>
      </c>
      <c r="O86" t="s">
        <v>171</v>
      </c>
      <c r="P86" t="s">
        <v>364</v>
      </c>
      <c r="Q86" t="s">
        <v>31</v>
      </c>
      <c r="R86">
        <v>6</v>
      </c>
      <c r="S86">
        <v>570.28</v>
      </c>
      <c r="T86">
        <v>0.2</v>
      </c>
      <c r="U86">
        <v>2737.34</v>
      </c>
      <c r="V86">
        <v>2085.44</v>
      </c>
      <c r="W86">
        <v>651.9</v>
      </c>
      <c r="X86" t="s">
        <v>32</v>
      </c>
      <c r="Y86" t="s">
        <v>33</v>
      </c>
      <c r="Z86" t="str">
        <f t="shared" si="14"/>
        <v>Unique</v>
      </c>
      <c r="AA86" t="str">
        <f t="shared" si="15"/>
        <v>Unique</v>
      </c>
      <c r="AB86" t="str">
        <f t="shared" si="19"/>
        <v>OK</v>
      </c>
      <c r="AC86">
        <f t="shared" si="20"/>
        <v>0.2</v>
      </c>
      <c r="AD86" t="str">
        <f t="shared" si="21"/>
        <v>OK</v>
      </c>
      <c r="AE86">
        <f t="shared" si="22"/>
        <v>2737.3440000000001</v>
      </c>
      <c r="AF86">
        <f t="shared" si="23"/>
        <v>651.904</v>
      </c>
      <c r="AG86">
        <f t="shared" si="24"/>
        <v>0.23815201889130486</v>
      </c>
      <c r="AH86" t="str">
        <f t="shared" si="16"/>
        <v>October</v>
      </c>
      <c r="AI86">
        <f t="shared" si="17"/>
        <v>2024</v>
      </c>
      <c r="AJ86" t="str">
        <f t="shared" si="25"/>
        <v>OK</v>
      </c>
      <c r="AK86" t="str">
        <f t="shared" si="26"/>
        <v>OK</v>
      </c>
      <c r="AL86" t="str">
        <f t="shared" si="27"/>
        <v>Include</v>
      </c>
      <c r="AM86" t="str">
        <f t="shared" si="18"/>
        <v>Clean</v>
      </c>
    </row>
    <row r="87" spans="1:39">
      <c r="A87" t="s">
        <v>365</v>
      </c>
      <c r="B87" s="4">
        <v>45503</v>
      </c>
      <c r="C87" s="4">
        <v>45509</v>
      </c>
      <c r="D87" s="6">
        <v>6</v>
      </c>
      <c r="E87" t="s">
        <v>2788</v>
      </c>
      <c r="F87" t="s">
        <v>2788</v>
      </c>
      <c r="G87" t="s">
        <v>2788</v>
      </c>
      <c r="H87" t="s">
        <v>366</v>
      </c>
      <c r="I87" t="s">
        <v>264</v>
      </c>
      <c r="J87" t="s">
        <v>90</v>
      </c>
      <c r="K87" t="s">
        <v>25</v>
      </c>
      <c r="L87" t="s">
        <v>350</v>
      </c>
      <c r="M87" t="s">
        <v>351</v>
      </c>
      <c r="N87" t="s">
        <v>28</v>
      </c>
      <c r="O87" t="s">
        <v>153</v>
      </c>
      <c r="P87" t="s">
        <v>367</v>
      </c>
      <c r="Q87" t="s">
        <v>59</v>
      </c>
      <c r="R87">
        <v>1</v>
      </c>
      <c r="S87">
        <v>608.64</v>
      </c>
      <c r="T87">
        <v>0</v>
      </c>
      <c r="U87">
        <v>608.64</v>
      </c>
      <c r="V87">
        <v>343.99</v>
      </c>
      <c r="W87">
        <v>264.64999999999998</v>
      </c>
      <c r="X87" t="s">
        <v>32</v>
      </c>
      <c r="Y87" t="s">
        <v>68</v>
      </c>
      <c r="Z87" t="str">
        <f t="shared" si="14"/>
        <v>Unique</v>
      </c>
      <c r="AA87" t="str">
        <f t="shared" si="15"/>
        <v>Unique</v>
      </c>
      <c r="AB87" t="str">
        <f t="shared" si="19"/>
        <v>OK</v>
      </c>
      <c r="AC87">
        <f t="shared" si="20"/>
        <v>0</v>
      </c>
      <c r="AD87" t="str">
        <f t="shared" si="21"/>
        <v>OK</v>
      </c>
      <c r="AE87">
        <f t="shared" si="22"/>
        <v>608.64</v>
      </c>
      <c r="AF87">
        <f t="shared" si="23"/>
        <v>264.64999999999998</v>
      </c>
      <c r="AG87">
        <f t="shared" si="24"/>
        <v>0.43482189800210302</v>
      </c>
      <c r="AH87" t="str">
        <f t="shared" si="16"/>
        <v>July</v>
      </c>
      <c r="AI87">
        <f t="shared" si="17"/>
        <v>2024</v>
      </c>
      <c r="AJ87" t="str">
        <f t="shared" si="25"/>
        <v>OK</v>
      </c>
      <c r="AK87" t="str">
        <f t="shared" si="26"/>
        <v>OK</v>
      </c>
      <c r="AL87" t="str">
        <f t="shared" si="27"/>
        <v>Exclude</v>
      </c>
      <c r="AM87" t="str">
        <f t="shared" si="18"/>
        <v>Clean</v>
      </c>
    </row>
    <row r="88" spans="1:39">
      <c r="A88" t="s">
        <v>368</v>
      </c>
      <c r="B88" s="4">
        <v>45474</v>
      </c>
      <c r="C88" s="4">
        <v>45474</v>
      </c>
      <c r="D88" s="6">
        <v>0</v>
      </c>
      <c r="E88" t="s">
        <v>2788</v>
      </c>
      <c r="F88" t="s">
        <v>2788</v>
      </c>
      <c r="G88" t="s">
        <v>2788</v>
      </c>
      <c r="H88" t="s">
        <v>369</v>
      </c>
      <c r="I88" t="s">
        <v>62</v>
      </c>
      <c r="J88" t="s">
        <v>37</v>
      </c>
      <c r="K88" t="s">
        <v>25</v>
      </c>
      <c r="L88" t="s">
        <v>350</v>
      </c>
      <c r="M88" t="s">
        <v>351</v>
      </c>
      <c r="N88" t="s">
        <v>74</v>
      </c>
      <c r="O88" t="s">
        <v>80</v>
      </c>
      <c r="P88" t="s">
        <v>370</v>
      </c>
      <c r="Q88" t="s">
        <v>31</v>
      </c>
      <c r="R88">
        <v>3</v>
      </c>
      <c r="S88">
        <v>885.28</v>
      </c>
      <c r="T88">
        <v>0.1</v>
      </c>
      <c r="U88">
        <v>2390.2600000000002</v>
      </c>
      <c r="V88">
        <v>1495.94</v>
      </c>
      <c r="W88">
        <v>894.32</v>
      </c>
      <c r="X88" t="s">
        <v>102</v>
      </c>
      <c r="Y88" t="s">
        <v>68</v>
      </c>
      <c r="Z88" t="str">
        <f t="shared" si="14"/>
        <v>Unique</v>
      </c>
      <c r="AA88" t="str">
        <f t="shared" si="15"/>
        <v>Unique</v>
      </c>
      <c r="AB88" t="str">
        <f t="shared" si="19"/>
        <v>OK</v>
      </c>
      <c r="AC88">
        <f t="shared" si="20"/>
        <v>0.1</v>
      </c>
      <c r="AD88" t="str">
        <f t="shared" si="21"/>
        <v>OK</v>
      </c>
      <c r="AE88">
        <f t="shared" si="22"/>
        <v>2390.2560000000003</v>
      </c>
      <c r="AF88">
        <f t="shared" si="23"/>
        <v>894.31600000000026</v>
      </c>
      <c r="AG88">
        <f t="shared" si="24"/>
        <v>0.37415071858411825</v>
      </c>
      <c r="AH88" t="str">
        <f t="shared" si="16"/>
        <v>July</v>
      </c>
      <c r="AI88">
        <f t="shared" si="17"/>
        <v>2024</v>
      </c>
      <c r="AJ88" t="str">
        <f t="shared" si="25"/>
        <v>OK</v>
      </c>
      <c r="AK88" t="str">
        <f t="shared" si="26"/>
        <v>OK</v>
      </c>
      <c r="AL88" t="str">
        <f t="shared" si="27"/>
        <v>Exclude</v>
      </c>
      <c r="AM88" t="str">
        <f t="shared" si="18"/>
        <v>Clean</v>
      </c>
    </row>
    <row r="89" spans="1:39">
      <c r="A89" t="s">
        <v>371</v>
      </c>
      <c r="B89" s="4">
        <v>45506</v>
      </c>
      <c r="C89" s="4">
        <v>45507</v>
      </c>
      <c r="D89" s="6">
        <v>1</v>
      </c>
      <c r="E89" t="s">
        <v>2788</v>
      </c>
      <c r="F89" t="s">
        <v>2788</v>
      </c>
      <c r="G89" t="s">
        <v>2788</v>
      </c>
      <c r="H89" t="s">
        <v>372</v>
      </c>
      <c r="I89" t="s">
        <v>71</v>
      </c>
      <c r="J89" t="s">
        <v>24</v>
      </c>
      <c r="K89" t="s">
        <v>38</v>
      </c>
      <c r="L89" t="s">
        <v>166</v>
      </c>
      <c r="M89" t="s">
        <v>167</v>
      </c>
      <c r="N89" t="s">
        <v>28</v>
      </c>
      <c r="O89" t="s">
        <v>153</v>
      </c>
      <c r="P89" t="s">
        <v>373</v>
      </c>
      <c r="Q89" t="s">
        <v>59</v>
      </c>
      <c r="R89">
        <v>7</v>
      </c>
      <c r="S89">
        <v>3345.22</v>
      </c>
      <c r="T89">
        <v>0</v>
      </c>
      <c r="U89">
        <v>23416.54</v>
      </c>
      <c r="V89">
        <v>15490.89</v>
      </c>
      <c r="W89">
        <v>7925.65</v>
      </c>
      <c r="X89" t="s">
        <v>32</v>
      </c>
      <c r="Y89" t="s">
        <v>33</v>
      </c>
      <c r="Z89" t="str">
        <f t="shared" si="14"/>
        <v>Unique</v>
      </c>
      <c r="AA89" t="str">
        <f t="shared" si="15"/>
        <v>Unique</v>
      </c>
      <c r="AB89" t="str">
        <f t="shared" si="19"/>
        <v>OK</v>
      </c>
      <c r="AC89">
        <f t="shared" si="20"/>
        <v>0</v>
      </c>
      <c r="AD89" t="str">
        <f t="shared" si="21"/>
        <v>OK</v>
      </c>
      <c r="AE89">
        <f t="shared" si="22"/>
        <v>23416.539999999997</v>
      </c>
      <c r="AF89">
        <f t="shared" si="23"/>
        <v>7925.6499999999978</v>
      </c>
      <c r="AG89">
        <f t="shared" si="24"/>
        <v>0.33846375254414185</v>
      </c>
      <c r="AH89" t="str">
        <f t="shared" si="16"/>
        <v>August</v>
      </c>
      <c r="AI89">
        <f t="shared" si="17"/>
        <v>2024</v>
      </c>
      <c r="AJ89" t="str">
        <f t="shared" si="25"/>
        <v>OK</v>
      </c>
      <c r="AK89" t="str">
        <f t="shared" si="26"/>
        <v>OK</v>
      </c>
      <c r="AL89" t="str">
        <f t="shared" si="27"/>
        <v>Include</v>
      </c>
      <c r="AM89" t="str">
        <f t="shared" si="18"/>
        <v>Clean</v>
      </c>
    </row>
    <row r="90" spans="1:39">
      <c r="A90" t="s">
        <v>374</v>
      </c>
      <c r="B90" s="4">
        <v>45375</v>
      </c>
      <c r="C90" s="4">
        <v>45378</v>
      </c>
      <c r="D90" s="6">
        <v>3</v>
      </c>
      <c r="E90" t="s">
        <v>2788</v>
      </c>
      <c r="F90" t="s">
        <v>2788</v>
      </c>
      <c r="G90" t="s">
        <v>2788</v>
      </c>
      <c r="H90" t="s">
        <v>375</v>
      </c>
      <c r="I90" t="s">
        <v>141</v>
      </c>
      <c r="J90" t="s">
        <v>37</v>
      </c>
      <c r="K90" t="s">
        <v>63</v>
      </c>
      <c r="L90" t="s">
        <v>64</v>
      </c>
      <c r="M90" t="s">
        <v>65</v>
      </c>
      <c r="N90" t="s">
        <v>41</v>
      </c>
      <c r="O90" t="s">
        <v>158</v>
      </c>
      <c r="P90" t="s">
        <v>376</v>
      </c>
      <c r="Q90" t="s">
        <v>59</v>
      </c>
      <c r="R90">
        <v>2</v>
      </c>
      <c r="S90">
        <v>3284.75</v>
      </c>
      <c r="T90">
        <v>0.05</v>
      </c>
      <c r="U90">
        <v>6241.02</v>
      </c>
      <c r="V90">
        <v>5345.88</v>
      </c>
      <c r="W90">
        <v>895.14</v>
      </c>
      <c r="X90" t="s">
        <v>32</v>
      </c>
      <c r="Y90" t="s">
        <v>33</v>
      </c>
      <c r="Z90" t="str">
        <f t="shared" si="14"/>
        <v>Unique</v>
      </c>
      <c r="AA90" t="str">
        <f t="shared" si="15"/>
        <v>Unique</v>
      </c>
      <c r="AB90" t="str">
        <f t="shared" si="19"/>
        <v>OK</v>
      </c>
      <c r="AC90">
        <f t="shared" si="20"/>
        <v>0.05</v>
      </c>
      <c r="AD90" t="str">
        <f t="shared" si="21"/>
        <v>OK</v>
      </c>
      <c r="AE90">
        <f t="shared" si="22"/>
        <v>6241.0249999999996</v>
      </c>
      <c r="AF90">
        <f t="shared" si="23"/>
        <v>895.14499999999953</v>
      </c>
      <c r="AG90">
        <f t="shared" si="24"/>
        <v>0.14342916427990587</v>
      </c>
      <c r="AH90" t="str">
        <f t="shared" si="16"/>
        <v>March</v>
      </c>
      <c r="AI90">
        <f t="shared" si="17"/>
        <v>2024</v>
      </c>
      <c r="AJ90" t="str">
        <f t="shared" si="25"/>
        <v>OK</v>
      </c>
      <c r="AK90" t="str">
        <f t="shared" si="26"/>
        <v>OK</v>
      </c>
      <c r="AL90" t="str">
        <f t="shared" si="27"/>
        <v>Include</v>
      </c>
      <c r="AM90" t="str">
        <f t="shared" si="18"/>
        <v>Clean</v>
      </c>
    </row>
    <row r="91" spans="1:39">
      <c r="A91" t="s">
        <v>377</v>
      </c>
      <c r="B91" s="4">
        <v>45540</v>
      </c>
      <c r="C91" s="4">
        <v>45540</v>
      </c>
      <c r="D91" s="6">
        <v>0</v>
      </c>
      <c r="E91" t="s">
        <v>2788</v>
      </c>
      <c r="F91" t="s">
        <v>2788</v>
      </c>
      <c r="G91" t="s">
        <v>2788</v>
      </c>
      <c r="H91" t="s">
        <v>378</v>
      </c>
      <c r="I91" t="s">
        <v>264</v>
      </c>
      <c r="J91" t="s">
        <v>24</v>
      </c>
      <c r="K91" t="s">
        <v>54</v>
      </c>
      <c r="L91" t="s">
        <v>84</v>
      </c>
      <c r="M91" t="s">
        <v>85</v>
      </c>
      <c r="N91" t="s">
        <v>41</v>
      </c>
      <c r="O91" t="s">
        <v>158</v>
      </c>
      <c r="P91" t="s">
        <v>379</v>
      </c>
      <c r="Q91" t="s">
        <v>59</v>
      </c>
      <c r="R91">
        <v>7</v>
      </c>
      <c r="S91">
        <v>3761.09</v>
      </c>
      <c r="T91">
        <v>0.2</v>
      </c>
      <c r="U91">
        <v>21062.1</v>
      </c>
      <c r="V91">
        <v>12057.13</v>
      </c>
      <c r="W91">
        <v>9004.9699999999993</v>
      </c>
      <c r="X91" t="s">
        <v>111</v>
      </c>
      <c r="Y91" t="s">
        <v>68</v>
      </c>
      <c r="Z91" t="str">
        <f t="shared" si="14"/>
        <v>Unique</v>
      </c>
      <c r="AA91" t="str">
        <f t="shared" si="15"/>
        <v>Unique</v>
      </c>
      <c r="AB91" t="str">
        <f t="shared" si="19"/>
        <v>OK</v>
      </c>
      <c r="AC91">
        <f t="shared" si="20"/>
        <v>0.2</v>
      </c>
      <c r="AD91" t="str">
        <f t="shared" si="21"/>
        <v>OK</v>
      </c>
      <c r="AE91">
        <f t="shared" si="22"/>
        <v>21062.104000000003</v>
      </c>
      <c r="AF91">
        <f t="shared" si="23"/>
        <v>9004.9740000000038</v>
      </c>
      <c r="AG91">
        <f t="shared" si="24"/>
        <v>0.42754389589947911</v>
      </c>
      <c r="AH91" t="str">
        <f t="shared" si="16"/>
        <v>September</v>
      </c>
      <c r="AI91">
        <f t="shared" si="17"/>
        <v>2024</v>
      </c>
      <c r="AJ91" t="str">
        <f t="shared" si="25"/>
        <v>OK</v>
      </c>
      <c r="AK91" t="str">
        <f t="shared" si="26"/>
        <v>OK</v>
      </c>
      <c r="AL91" t="str">
        <f t="shared" si="27"/>
        <v>Exclude</v>
      </c>
      <c r="AM91" t="str">
        <f t="shared" si="18"/>
        <v>Clean</v>
      </c>
    </row>
    <row r="92" spans="1:39">
      <c r="A92" t="s">
        <v>380</v>
      </c>
      <c r="B92" s="4">
        <v>45893</v>
      </c>
      <c r="C92" s="4">
        <v>45898</v>
      </c>
      <c r="D92" s="6">
        <v>5</v>
      </c>
      <c r="E92" t="s">
        <v>2788</v>
      </c>
      <c r="F92" t="s">
        <v>2788</v>
      </c>
      <c r="G92" t="s">
        <v>2788</v>
      </c>
      <c r="H92" t="s">
        <v>381</v>
      </c>
      <c r="I92" t="s">
        <v>128</v>
      </c>
      <c r="J92" t="s">
        <v>37</v>
      </c>
      <c r="K92" t="s">
        <v>38</v>
      </c>
      <c r="L92" t="s">
        <v>145</v>
      </c>
      <c r="M92" t="s">
        <v>146</v>
      </c>
      <c r="N92" t="s">
        <v>74</v>
      </c>
      <c r="O92" t="s">
        <v>80</v>
      </c>
      <c r="P92" t="s">
        <v>382</v>
      </c>
      <c r="Q92" t="s">
        <v>50</v>
      </c>
      <c r="R92">
        <v>3</v>
      </c>
      <c r="S92">
        <v>3703.96</v>
      </c>
      <c r="T92">
        <v>0.15</v>
      </c>
      <c r="U92">
        <v>9445.1</v>
      </c>
      <c r="V92">
        <v>5586.28</v>
      </c>
      <c r="W92">
        <v>3858.82</v>
      </c>
      <c r="X92" t="s">
        <v>32</v>
      </c>
      <c r="Y92" t="s">
        <v>33</v>
      </c>
      <c r="Z92" t="str">
        <f t="shared" si="14"/>
        <v>Unique</v>
      </c>
      <c r="AA92" t="str">
        <f t="shared" si="15"/>
        <v>Duplicate Order ID</v>
      </c>
      <c r="AB92" t="str">
        <f t="shared" si="19"/>
        <v>Conflicting Duplicate</v>
      </c>
      <c r="AC92">
        <f t="shared" si="20"/>
        <v>0.15</v>
      </c>
      <c r="AD92" t="str">
        <f t="shared" si="21"/>
        <v>OK</v>
      </c>
      <c r="AE92">
        <f t="shared" si="22"/>
        <v>9445.098</v>
      </c>
      <c r="AF92">
        <f t="shared" si="23"/>
        <v>3858.8180000000002</v>
      </c>
      <c r="AG92">
        <f t="shared" si="24"/>
        <v>0.40855245758170006</v>
      </c>
      <c r="AH92" t="str">
        <f t="shared" si="16"/>
        <v>August</v>
      </c>
      <c r="AI92">
        <f t="shared" si="17"/>
        <v>2025</v>
      </c>
      <c r="AJ92" t="str">
        <f t="shared" si="25"/>
        <v>OK</v>
      </c>
      <c r="AK92" t="str">
        <f t="shared" si="26"/>
        <v>OK</v>
      </c>
      <c r="AL92" t="str">
        <f t="shared" si="27"/>
        <v>Include</v>
      </c>
      <c r="AM92" t="str">
        <f t="shared" si="18"/>
        <v>Invalid</v>
      </c>
    </row>
    <row r="93" spans="1:39">
      <c r="A93" t="s">
        <v>383</v>
      </c>
      <c r="B93" s="4">
        <v>45718</v>
      </c>
      <c r="C93" s="4">
        <v>45724</v>
      </c>
      <c r="D93" s="6">
        <v>6</v>
      </c>
      <c r="E93" t="s">
        <v>2788</v>
      </c>
      <c r="F93" t="s">
        <v>2788</v>
      </c>
      <c r="G93" t="s">
        <v>2788</v>
      </c>
      <c r="H93" t="s">
        <v>384</v>
      </c>
      <c r="I93" t="s">
        <v>132</v>
      </c>
      <c r="J93" t="s">
        <v>90</v>
      </c>
      <c r="K93" t="s">
        <v>63</v>
      </c>
      <c r="L93" t="s">
        <v>72</v>
      </c>
      <c r="M93" t="s">
        <v>73</v>
      </c>
      <c r="N93" t="s">
        <v>74</v>
      </c>
      <c r="O93" t="s">
        <v>80</v>
      </c>
      <c r="P93" t="s">
        <v>385</v>
      </c>
      <c r="Q93" t="s">
        <v>31</v>
      </c>
      <c r="R93">
        <v>9</v>
      </c>
      <c r="S93">
        <v>269.68</v>
      </c>
      <c r="T93">
        <v>0</v>
      </c>
      <c r="U93">
        <v>2427.12</v>
      </c>
      <c r="V93">
        <v>1538.35</v>
      </c>
      <c r="W93">
        <v>804.53</v>
      </c>
      <c r="X93" t="s">
        <v>32</v>
      </c>
      <c r="Y93" t="s">
        <v>33</v>
      </c>
      <c r="Z93" t="str">
        <f t="shared" si="14"/>
        <v>Unique</v>
      </c>
      <c r="AA93" t="str">
        <f t="shared" si="15"/>
        <v>Unique</v>
      </c>
      <c r="AB93" t="str">
        <f t="shared" si="19"/>
        <v>OK</v>
      </c>
      <c r="AC93">
        <f t="shared" si="20"/>
        <v>0</v>
      </c>
      <c r="AD93" t="str">
        <f t="shared" si="21"/>
        <v>OK</v>
      </c>
      <c r="AE93">
        <f t="shared" si="22"/>
        <v>2427.12</v>
      </c>
      <c r="AF93">
        <f t="shared" si="23"/>
        <v>888.77</v>
      </c>
      <c r="AG93">
        <f t="shared" si="24"/>
        <v>0.36618296581957216</v>
      </c>
      <c r="AH93" t="str">
        <f t="shared" si="16"/>
        <v>March</v>
      </c>
      <c r="AI93">
        <f t="shared" si="17"/>
        <v>2025</v>
      </c>
      <c r="AJ93" t="str">
        <f t="shared" si="25"/>
        <v>OK</v>
      </c>
      <c r="AK93" t="str">
        <f t="shared" si="26"/>
        <v>Profit Mismatch</v>
      </c>
      <c r="AL93" t="str">
        <f t="shared" si="27"/>
        <v>Include</v>
      </c>
      <c r="AM93" t="str">
        <f t="shared" si="18"/>
        <v>Warning</v>
      </c>
    </row>
    <row r="94" spans="1:39">
      <c r="A94" t="s">
        <v>386</v>
      </c>
      <c r="B94" s="4">
        <v>45680</v>
      </c>
      <c r="C94" s="4">
        <v>45683</v>
      </c>
      <c r="D94" s="6">
        <v>3</v>
      </c>
      <c r="E94" t="s">
        <v>2788</v>
      </c>
      <c r="F94" t="s">
        <v>2788</v>
      </c>
      <c r="G94" t="s">
        <v>2788</v>
      </c>
      <c r="H94" t="s">
        <v>387</v>
      </c>
      <c r="I94" t="s">
        <v>128</v>
      </c>
      <c r="J94" t="s">
        <v>24</v>
      </c>
      <c r="K94" t="s">
        <v>63</v>
      </c>
      <c r="L94" t="s">
        <v>72</v>
      </c>
      <c r="M94" t="s">
        <v>73</v>
      </c>
      <c r="N94" t="s">
        <v>28</v>
      </c>
      <c r="O94" t="s">
        <v>29</v>
      </c>
      <c r="P94" t="s">
        <v>388</v>
      </c>
      <c r="Q94" t="s">
        <v>59</v>
      </c>
      <c r="R94">
        <v>9</v>
      </c>
      <c r="S94">
        <v>4458.26</v>
      </c>
      <c r="T94">
        <v>0.1</v>
      </c>
      <c r="U94">
        <v>36111.910000000003</v>
      </c>
      <c r="V94">
        <v>29194.5</v>
      </c>
      <c r="W94">
        <v>6917.41</v>
      </c>
      <c r="X94" t="s">
        <v>32</v>
      </c>
      <c r="Y94" t="s">
        <v>33</v>
      </c>
      <c r="Z94" t="str">
        <f t="shared" si="14"/>
        <v>Unique</v>
      </c>
      <c r="AA94" t="str">
        <f t="shared" si="15"/>
        <v>Unique</v>
      </c>
      <c r="AB94" t="str">
        <f t="shared" si="19"/>
        <v>OK</v>
      </c>
      <c r="AC94">
        <f t="shared" si="20"/>
        <v>0.1</v>
      </c>
      <c r="AD94" t="str">
        <f t="shared" si="21"/>
        <v>OK</v>
      </c>
      <c r="AE94">
        <f t="shared" si="22"/>
        <v>36111.906000000003</v>
      </c>
      <c r="AF94">
        <f t="shared" si="23"/>
        <v>6917.4060000000027</v>
      </c>
      <c r="AG94">
        <f t="shared" si="24"/>
        <v>0.19155471882320479</v>
      </c>
      <c r="AH94" t="str">
        <f t="shared" si="16"/>
        <v>January</v>
      </c>
      <c r="AI94">
        <f t="shared" si="17"/>
        <v>2025</v>
      </c>
      <c r="AJ94" t="str">
        <f t="shared" si="25"/>
        <v>OK</v>
      </c>
      <c r="AK94" t="str">
        <f t="shared" si="26"/>
        <v>OK</v>
      </c>
      <c r="AL94" t="str">
        <f t="shared" si="27"/>
        <v>Include</v>
      </c>
      <c r="AM94" t="str">
        <f t="shared" si="18"/>
        <v>Clean</v>
      </c>
    </row>
    <row r="95" spans="1:39">
      <c r="A95" t="s">
        <v>389</v>
      </c>
      <c r="B95" s="4">
        <v>45298</v>
      </c>
      <c r="C95" s="4">
        <v>45304</v>
      </c>
      <c r="D95" s="6">
        <v>6</v>
      </c>
      <c r="E95" t="s">
        <v>2788</v>
      </c>
      <c r="F95" t="s">
        <v>2788</v>
      </c>
      <c r="G95" t="s">
        <v>2788</v>
      </c>
      <c r="H95" t="s">
        <v>390</v>
      </c>
      <c r="I95" t="s">
        <v>141</v>
      </c>
      <c r="J95" t="s">
        <v>90</v>
      </c>
      <c r="K95" t="s">
        <v>25</v>
      </c>
      <c r="L95" t="s">
        <v>136</v>
      </c>
      <c r="M95" t="s">
        <v>137</v>
      </c>
      <c r="N95" t="s">
        <v>28</v>
      </c>
      <c r="O95" t="s">
        <v>153</v>
      </c>
      <c r="P95" t="s">
        <v>391</v>
      </c>
      <c r="Q95" t="s">
        <v>59</v>
      </c>
      <c r="R95">
        <v>7</v>
      </c>
      <c r="S95">
        <v>2788.97</v>
      </c>
      <c r="T95">
        <v>-0.09</v>
      </c>
      <c r="U95">
        <v>19522.79</v>
      </c>
      <c r="V95">
        <v>12455.78</v>
      </c>
      <c r="W95">
        <v>7067.01</v>
      </c>
      <c r="X95" t="s">
        <v>32</v>
      </c>
      <c r="Y95" t="s">
        <v>33</v>
      </c>
      <c r="Z95" t="str">
        <f t="shared" si="14"/>
        <v>Unique</v>
      </c>
      <c r="AA95" t="str">
        <f t="shared" si="15"/>
        <v>Unique</v>
      </c>
      <c r="AB95" t="str">
        <f t="shared" si="19"/>
        <v>OK</v>
      </c>
      <c r="AC95">
        <f t="shared" si="20"/>
        <v>-0.09</v>
      </c>
      <c r="AD95" t="str">
        <f t="shared" si="21"/>
        <v>Invalid Negative Discount</v>
      </c>
      <c r="AE95">
        <f t="shared" si="22"/>
        <v>21279.841099999998</v>
      </c>
      <c r="AF95">
        <f t="shared" si="23"/>
        <v>8824.0610999999972</v>
      </c>
      <c r="AG95">
        <f t="shared" si="24"/>
        <v>0.41466762174272054</v>
      </c>
      <c r="AH95" t="str">
        <f t="shared" si="16"/>
        <v>January</v>
      </c>
      <c r="AI95">
        <f t="shared" si="17"/>
        <v>2024</v>
      </c>
      <c r="AJ95" t="str">
        <f t="shared" si="25"/>
        <v>Sales Mismatch</v>
      </c>
      <c r="AK95" t="str">
        <f t="shared" si="26"/>
        <v>Profit Mismatch</v>
      </c>
      <c r="AL95" t="str">
        <f t="shared" si="27"/>
        <v>Include</v>
      </c>
      <c r="AM95" t="str">
        <f t="shared" si="18"/>
        <v>Invalid</v>
      </c>
    </row>
    <row r="96" spans="1:39">
      <c r="A96" t="s">
        <v>392</v>
      </c>
      <c r="B96" s="4">
        <v>45541</v>
      </c>
      <c r="C96" s="4">
        <v>45544</v>
      </c>
      <c r="D96" s="6">
        <v>3</v>
      </c>
      <c r="E96" t="s">
        <v>2788</v>
      </c>
      <c r="F96" t="s">
        <v>2788</v>
      </c>
      <c r="G96" t="s">
        <v>2788</v>
      </c>
      <c r="H96" t="s">
        <v>393</v>
      </c>
      <c r="I96" t="s">
        <v>162</v>
      </c>
      <c r="J96" t="s">
        <v>24</v>
      </c>
      <c r="K96" t="s">
        <v>25</v>
      </c>
      <c r="L96" t="s">
        <v>236</v>
      </c>
      <c r="M96" t="s">
        <v>237</v>
      </c>
      <c r="N96" t="s">
        <v>74</v>
      </c>
      <c r="O96" t="s">
        <v>171</v>
      </c>
      <c r="P96" t="s">
        <v>394</v>
      </c>
      <c r="Q96" t="s">
        <v>31</v>
      </c>
      <c r="R96">
        <v>7</v>
      </c>
      <c r="S96">
        <v>3781.53</v>
      </c>
      <c r="T96">
        <v>0</v>
      </c>
      <c r="U96">
        <v>26470.71</v>
      </c>
      <c r="V96">
        <v>21367.599999999999</v>
      </c>
      <c r="W96">
        <v>5103.1099999999997</v>
      </c>
      <c r="X96" t="s">
        <v>111</v>
      </c>
      <c r="Y96" t="s">
        <v>68</v>
      </c>
      <c r="Z96" t="str">
        <f t="shared" si="14"/>
        <v>Unique</v>
      </c>
      <c r="AA96" t="str">
        <f t="shared" si="15"/>
        <v>Unique</v>
      </c>
      <c r="AB96" t="str">
        <f t="shared" si="19"/>
        <v>OK</v>
      </c>
      <c r="AC96">
        <f t="shared" si="20"/>
        <v>0</v>
      </c>
      <c r="AD96" t="str">
        <f t="shared" si="21"/>
        <v>OK</v>
      </c>
      <c r="AE96">
        <f t="shared" si="22"/>
        <v>26470.710000000003</v>
      </c>
      <c r="AF96">
        <f t="shared" si="23"/>
        <v>5103.1100000000042</v>
      </c>
      <c r="AG96">
        <f t="shared" si="24"/>
        <v>0.19278326875251944</v>
      </c>
      <c r="AH96" t="str">
        <f t="shared" si="16"/>
        <v>September</v>
      </c>
      <c r="AI96">
        <f t="shared" si="17"/>
        <v>2024</v>
      </c>
      <c r="AJ96" t="str">
        <f t="shared" si="25"/>
        <v>OK</v>
      </c>
      <c r="AK96" t="str">
        <f t="shared" si="26"/>
        <v>OK</v>
      </c>
      <c r="AL96" t="str">
        <f t="shared" si="27"/>
        <v>Exclude</v>
      </c>
      <c r="AM96" t="str">
        <f t="shared" si="18"/>
        <v>Clean</v>
      </c>
    </row>
    <row r="97" spans="1:39">
      <c r="A97" t="s">
        <v>395</v>
      </c>
      <c r="B97" s="4">
        <v>45905</v>
      </c>
      <c r="C97" s="4">
        <v>45910</v>
      </c>
      <c r="D97" s="6">
        <v>5</v>
      </c>
      <c r="E97" t="s">
        <v>2788</v>
      </c>
      <c r="F97" t="s">
        <v>2788</v>
      </c>
      <c r="G97" t="s">
        <v>2788</v>
      </c>
      <c r="H97" t="s">
        <v>396</v>
      </c>
      <c r="I97" t="s">
        <v>132</v>
      </c>
      <c r="J97" t="s">
        <v>90</v>
      </c>
      <c r="K97" t="s">
        <v>63</v>
      </c>
      <c r="L97" t="s">
        <v>190</v>
      </c>
      <c r="M97" t="s">
        <v>191</v>
      </c>
      <c r="N97" t="s">
        <v>41</v>
      </c>
      <c r="O97" t="s">
        <v>158</v>
      </c>
      <c r="P97" t="s">
        <v>397</v>
      </c>
      <c r="Q97" t="s">
        <v>44</v>
      </c>
      <c r="R97">
        <v>6</v>
      </c>
      <c r="S97">
        <v>1754.13</v>
      </c>
      <c r="T97">
        <v>0</v>
      </c>
      <c r="U97">
        <v>10524.78</v>
      </c>
      <c r="V97">
        <v>8841.0499999999993</v>
      </c>
      <c r="W97">
        <v>1683.73</v>
      </c>
      <c r="X97" t="s">
        <v>32</v>
      </c>
      <c r="Y97" t="s">
        <v>33</v>
      </c>
      <c r="Z97" t="str">
        <f t="shared" si="14"/>
        <v>Unique</v>
      </c>
      <c r="AA97" t="str">
        <f t="shared" si="15"/>
        <v>Unique</v>
      </c>
      <c r="AB97" t="str">
        <f t="shared" si="19"/>
        <v>OK</v>
      </c>
      <c r="AC97">
        <f t="shared" si="20"/>
        <v>0</v>
      </c>
      <c r="AD97" t="str">
        <f t="shared" si="21"/>
        <v>OK</v>
      </c>
      <c r="AE97">
        <f t="shared" si="22"/>
        <v>10524.78</v>
      </c>
      <c r="AF97">
        <f t="shared" si="23"/>
        <v>1683.7300000000014</v>
      </c>
      <c r="AG97">
        <f t="shared" si="24"/>
        <v>0.15997769074507984</v>
      </c>
      <c r="AH97" t="str">
        <f t="shared" si="16"/>
        <v>September</v>
      </c>
      <c r="AI97">
        <f t="shared" si="17"/>
        <v>2025</v>
      </c>
      <c r="AJ97" t="str">
        <f t="shared" si="25"/>
        <v>OK</v>
      </c>
      <c r="AK97" t="str">
        <f t="shared" si="26"/>
        <v>OK</v>
      </c>
      <c r="AL97" t="str">
        <f t="shared" si="27"/>
        <v>Include</v>
      </c>
      <c r="AM97" t="str">
        <f t="shared" si="18"/>
        <v>Clean</v>
      </c>
    </row>
    <row r="98" spans="1:39">
      <c r="A98" t="s">
        <v>398</v>
      </c>
      <c r="B98" s="4">
        <v>45448</v>
      </c>
      <c r="C98" s="4">
        <v>45450</v>
      </c>
      <c r="D98" s="6">
        <v>2</v>
      </c>
      <c r="E98" t="s">
        <v>2788</v>
      </c>
      <c r="F98" t="s">
        <v>2788</v>
      </c>
      <c r="G98" t="s">
        <v>2788</v>
      </c>
      <c r="H98" t="s">
        <v>399</v>
      </c>
      <c r="I98" t="s">
        <v>118</v>
      </c>
      <c r="J98" t="s">
        <v>95</v>
      </c>
      <c r="K98" t="s">
        <v>38</v>
      </c>
      <c r="L98" t="s">
        <v>39</v>
      </c>
      <c r="M98" t="s">
        <v>40</v>
      </c>
      <c r="N98" t="s">
        <v>74</v>
      </c>
      <c r="O98" t="s">
        <v>80</v>
      </c>
      <c r="P98" t="s">
        <v>400</v>
      </c>
      <c r="Q98" t="s">
        <v>31</v>
      </c>
      <c r="R98">
        <v>2</v>
      </c>
      <c r="S98">
        <v>2259.2399999999998</v>
      </c>
      <c r="T98">
        <v>0.15</v>
      </c>
      <c r="U98">
        <v>3840.71</v>
      </c>
      <c r="V98">
        <v>2516.29</v>
      </c>
      <c r="W98">
        <v>1324.42</v>
      </c>
      <c r="X98" t="s">
        <v>32</v>
      </c>
      <c r="Y98" t="s">
        <v>33</v>
      </c>
      <c r="Z98" t="str">
        <f t="shared" si="14"/>
        <v>Unique</v>
      </c>
      <c r="AA98" t="str">
        <f t="shared" si="15"/>
        <v>Unique</v>
      </c>
      <c r="AB98" t="str">
        <f t="shared" si="19"/>
        <v>OK</v>
      </c>
      <c r="AC98">
        <f t="shared" si="20"/>
        <v>0.15</v>
      </c>
      <c r="AD98" t="str">
        <f t="shared" si="21"/>
        <v>OK</v>
      </c>
      <c r="AE98">
        <f t="shared" si="22"/>
        <v>3840.7079999999996</v>
      </c>
      <c r="AF98">
        <f t="shared" si="23"/>
        <v>1324.4179999999997</v>
      </c>
      <c r="AG98">
        <f t="shared" si="24"/>
        <v>0.34483694152224009</v>
      </c>
      <c r="AH98" t="str">
        <f t="shared" si="16"/>
        <v>June</v>
      </c>
      <c r="AI98">
        <f t="shared" si="17"/>
        <v>2024</v>
      </c>
      <c r="AJ98" t="str">
        <f t="shared" si="25"/>
        <v>OK</v>
      </c>
      <c r="AK98" t="str">
        <f t="shared" si="26"/>
        <v>OK</v>
      </c>
      <c r="AL98" t="str">
        <f t="shared" si="27"/>
        <v>Include</v>
      </c>
      <c r="AM98" t="str">
        <f t="shared" si="18"/>
        <v>Clean</v>
      </c>
    </row>
    <row r="99" spans="1:39">
      <c r="A99" t="s">
        <v>401</v>
      </c>
      <c r="B99" s="4">
        <v>45877</v>
      </c>
      <c r="C99" s="4">
        <v>45880</v>
      </c>
      <c r="D99" s="6">
        <v>3</v>
      </c>
      <c r="E99" t="s">
        <v>2788</v>
      </c>
      <c r="F99" t="s">
        <v>2788</v>
      </c>
      <c r="G99" t="s">
        <v>2788</v>
      </c>
      <c r="H99" t="s">
        <v>402</v>
      </c>
      <c r="I99" t="s">
        <v>162</v>
      </c>
      <c r="J99" t="s">
        <v>37</v>
      </c>
      <c r="K99" t="s">
        <v>63</v>
      </c>
      <c r="L99" t="s">
        <v>180</v>
      </c>
      <c r="M99" t="s">
        <v>181</v>
      </c>
      <c r="N99" t="s">
        <v>28</v>
      </c>
      <c r="O99" t="s">
        <v>124</v>
      </c>
      <c r="P99" t="s">
        <v>403</v>
      </c>
      <c r="Q99" t="s">
        <v>44</v>
      </c>
      <c r="R99">
        <v>5</v>
      </c>
      <c r="S99">
        <v>3602.36</v>
      </c>
      <c r="T99">
        <v>0.2</v>
      </c>
      <c r="U99">
        <v>14409.44</v>
      </c>
      <c r="V99">
        <v>8809.9699999999993</v>
      </c>
      <c r="W99">
        <v>5599.47</v>
      </c>
      <c r="X99" t="s">
        <v>111</v>
      </c>
      <c r="Y99" t="s">
        <v>103</v>
      </c>
      <c r="Z99" t="str">
        <f t="shared" si="14"/>
        <v>Unique</v>
      </c>
      <c r="AA99" t="str">
        <f t="shared" si="15"/>
        <v>Unique</v>
      </c>
      <c r="AB99" t="str">
        <f t="shared" si="19"/>
        <v>OK</v>
      </c>
      <c r="AC99">
        <f t="shared" si="20"/>
        <v>0.2</v>
      </c>
      <c r="AD99" t="str">
        <f t="shared" si="21"/>
        <v>OK</v>
      </c>
      <c r="AE99">
        <f t="shared" si="22"/>
        <v>14409.44</v>
      </c>
      <c r="AF99">
        <f t="shared" si="23"/>
        <v>5599.4700000000012</v>
      </c>
      <c r="AG99">
        <f t="shared" si="24"/>
        <v>0.38859733619071951</v>
      </c>
      <c r="AH99" t="str">
        <f t="shared" si="16"/>
        <v>August</v>
      </c>
      <c r="AI99">
        <f t="shared" si="17"/>
        <v>2025</v>
      </c>
      <c r="AJ99" t="str">
        <f t="shared" si="25"/>
        <v>OK</v>
      </c>
      <c r="AK99" t="str">
        <f t="shared" si="26"/>
        <v>OK</v>
      </c>
      <c r="AL99" t="str">
        <f t="shared" si="27"/>
        <v>Exclude</v>
      </c>
      <c r="AM99" t="str">
        <f t="shared" si="18"/>
        <v>Clean</v>
      </c>
    </row>
    <row r="100" spans="1:39">
      <c r="A100" t="s">
        <v>404</v>
      </c>
      <c r="B100" s="4">
        <v>45317</v>
      </c>
      <c r="C100" s="4">
        <v>45323</v>
      </c>
      <c r="D100" s="6">
        <v>6</v>
      </c>
      <c r="E100" t="s">
        <v>2788</v>
      </c>
      <c r="F100" t="s">
        <v>2788</v>
      </c>
      <c r="G100" t="s">
        <v>2788</v>
      </c>
      <c r="H100" t="s">
        <v>405</v>
      </c>
      <c r="I100" t="s">
        <v>141</v>
      </c>
      <c r="J100" t="s">
        <v>95</v>
      </c>
      <c r="K100" t="s">
        <v>54</v>
      </c>
      <c r="L100" t="s">
        <v>185</v>
      </c>
      <c r="M100" t="s">
        <v>186</v>
      </c>
      <c r="N100" t="s">
        <v>74</v>
      </c>
      <c r="O100" t="s">
        <v>80</v>
      </c>
      <c r="P100" t="s">
        <v>406</v>
      </c>
      <c r="Q100" t="s">
        <v>2783</v>
      </c>
      <c r="R100">
        <v>8</v>
      </c>
      <c r="S100">
        <v>2108.9299999999998</v>
      </c>
      <c r="T100">
        <v>0.1</v>
      </c>
      <c r="U100">
        <v>15184.3</v>
      </c>
      <c r="V100">
        <v>11270.74</v>
      </c>
      <c r="W100">
        <v>3913.56</v>
      </c>
      <c r="X100" t="s">
        <v>32</v>
      </c>
      <c r="Y100" t="s">
        <v>33</v>
      </c>
      <c r="Z100" t="str">
        <f t="shared" si="14"/>
        <v>Unique</v>
      </c>
      <c r="AA100" t="str">
        <f t="shared" si="15"/>
        <v>Unique</v>
      </c>
      <c r="AB100" t="str">
        <f t="shared" si="19"/>
        <v>OK</v>
      </c>
      <c r="AC100">
        <f t="shared" si="20"/>
        <v>0.1</v>
      </c>
      <c r="AD100" t="str">
        <f t="shared" si="21"/>
        <v>OK</v>
      </c>
      <c r="AE100">
        <f t="shared" si="22"/>
        <v>15184.295999999998</v>
      </c>
      <c r="AF100">
        <f t="shared" si="23"/>
        <v>3913.5559999999987</v>
      </c>
      <c r="AG100">
        <f t="shared" si="24"/>
        <v>0.25773707256497103</v>
      </c>
      <c r="AH100" t="str">
        <f t="shared" si="16"/>
        <v>January</v>
      </c>
      <c r="AI100">
        <f t="shared" si="17"/>
        <v>2024</v>
      </c>
      <c r="AJ100" t="str">
        <f t="shared" si="25"/>
        <v>OK</v>
      </c>
      <c r="AK100" t="str">
        <f t="shared" si="26"/>
        <v>OK</v>
      </c>
      <c r="AL100" t="str">
        <f t="shared" si="27"/>
        <v>Include</v>
      </c>
      <c r="AM100" t="str">
        <f t="shared" si="18"/>
        <v>Clean</v>
      </c>
    </row>
    <row r="101" spans="1:39">
      <c r="A101" t="s">
        <v>407</v>
      </c>
      <c r="B101" s="4">
        <v>45668</v>
      </c>
      <c r="C101" s="4">
        <v>45668</v>
      </c>
      <c r="D101" s="6">
        <v>0</v>
      </c>
      <c r="E101" t="s">
        <v>2788</v>
      </c>
      <c r="F101" t="s">
        <v>2788</v>
      </c>
      <c r="G101" t="s">
        <v>2788</v>
      </c>
      <c r="H101" t="s">
        <v>408</v>
      </c>
      <c r="I101" t="s">
        <v>89</v>
      </c>
      <c r="J101" t="s">
        <v>37</v>
      </c>
      <c r="K101" t="s">
        <v>63</v>
      </c>
      <c r="L101" t="s">
        <v>26</v>
      </c>
      <c r="M101" t="s">
        <v>109</v>
      </c>
      <c r="N101" t="s">
        <v>74</v>
      </c>
      <c r="O101" t="s">
        <v>75</v>
      </c>
      <c r="P101" t="s">
        <v>409</v>
      </c>
      <c r="Q101" t="s">
        <v>44</v>
      </c>
      <c r="R101">
        <v>3</v>
      </c>
      <c r="S101">
        <v>2165.29</v>
      </c>
      <c r="T101">
        <v>0</v>
      </c>
      <c r="U101">
        <v>6495.87</v>
      </c>
      <c r="V101">
        <v>4700.8900000000003</v>
      </c>
      <c r="W101">
        <v>1794.98</v>
      </c>
      <c r="X101" t="s">
        <v>32</v>
      </c>
      <c r="Y101" t="s">
        <v>33</v>
      </c>
      <c r="Z101" t="str">
        <f t="shared" si="14"/>
        <v>Unique</v>
      </c>
      <c r="AA101" t="str">
        <f t="shared" si="15"/>
        <v>Unique</v>
      </c>
      <c r="AB101" t="str">
        <f t="shared" si="19"/>
        <v>OK</v>
      </c>
      <c r="AC101">
        <f t="shared" si="20"/>
        <v>0</v>
      </c>
      <c r="AD101" t="str">
        <f t="shared" si="21"/>
        <v>OK</v>
      </c>
      <c r="AE101">
        <f t="shared" si="22"/>
        <v>6495.87</v>
      </c>
      <c r="AF101">
        <f t="shared" si="23"/>
        <v>1794.9799999999996</v>
      </c>
      <c r="AG101">
        <f t="shared" si="24"/>
        <v>0.27632634273777024</v>
      </c>
      <c r="AH101" t="str">
        <f t="shared" si="16"/>
        <v>January</v>
      </c>
      <c r="AI101">
        <f t="shared" si="17"/>
        <v>2025</v>
      </c>
      <c r="AJ101" t="str">
        <f t="shared" si="25"/>
        <v>OK</v>
      </c>
      <c r="AK101" t="str">
        <f t="shared" si="26"/>
        <v>OK</v>
      </c>
      <c r="AL101" t="str">
        <f t="shared" si="27"/>
        <v>Include</v>
      </c>
      <c r="AM101" t="str">
        <f t="shared" si="18"/>
        <v>Clean</v>
      </c>
    </row>
    <row r="102" spans="1:39">
      <c r="A102" t="s">
        <v>410</v>
      </c>
      <c r="B102" s="4">
        <v>45912</v>
      </c>
      <c r="C102" s="4">
        <v>45918</v>
      </c>
      <c r="D102" s="6">
        <v>6</v>
      </c>
      <c r="E102" t="s">
        <v>2788</v>
      </c>
      <c r="F102" t="s">
        <v>2788</v>
      </c>
      <c r="G102" t="s">
        <v>2788</v>
      </c>
      <c r="H102" t="s">
        <v>411</v>
      </c>
      <c r="I102" t="s">
        <v>128</v>
      </c>
      <c r="J102" t="s">
        <v>95</v>
      </c>
      <c r="K102" t="s">
        <v>54</v>
      </c>
      <c r="L102" t="s">
        <v>185</v>
      </c>
      <c r="M102" t="s">
        <v>186</v>
      </c>
      <c r="N102" t="s">
        <v>28</v>
      </c>
      <c r="O102" t="s">
        <v>124</v>
      </c>
      <c r="P102" t="s">
        <v>412</v>
      </c>
      <c r="Q102" t="s">
        <v>59</v>
      </c>
      <c r="R102">
        <v>6</v>
      </c>
      <c r="S102">
        <v>1673.8</v>
      </c>
      <c r="T102">
        <v>0.05</v>
      </c>
      <c r="U102">
        <v>9540.66</v>
      </c>
      <c r="V102">
        <v>5561.49</v>
      </c>
      <c r="W102">
        <v>3979.17</v>
      </c>
      <c r="X102" t="s">
        <v>32</v>
      </c>
      <c r="Y102" t="s">
        <v>33</v>
      </c>
      <c r="Z102" t="str">
        <f t="shared" si="14"/>
        <v>Unique</v>
      </c>
      <c r="AA102" t="str">
        <f t="shared" si="15"/>
        <v>Unique</v>
      </c>
      <c r="AB102" t="str">
        <f t="shared" si="19"/>
        <v>OK</v>
      </c>
      <c r="AC102">
        <f t="shared" si="20"/>
        <v>0.05</v>
      </c>
      <c r="AD102" t="str">
        <f t="shared" si="21"/>
        <v>OK</v>
      </c>
      <c r="AE102">
        <f t="shared" si="22"/>
        <v>9540.659999999998</v>
      </c>
      <c r="AF102">
        <f t="shared" si="23"/>
        <v>3979.1699999999983</v>
      </c>
      <c r="AG102">
        <f t="shared" si="24"/>
        <v>0.41707491934520241</v>
      </c>
      <c r="AH102" t="str">
        <f t="shared" si="16"/>
        <v>September</v>
      </c>
      <c r="AI102">
        <f t="shared" si="17"/>
        <v>2025</v>
      </c>
      <c r="AJ102" t="str">
        <f t="shared" si="25"/>
        <v>OK</v>
      </c>
      <c r="AK102" t="str">
        <f t="shared" si="26"/>
        <v>OK</v>
      </c>
      <c r="AL102" t="str">
        <f t="shared" si="27"/>
        <v>Include</v>
      </c>
      <c r="AM102" t="str">
        <f t="shared" si="18"/>
        <v>Clean</v>
      </c>
    </row>
    <row r="103" spans="1:39">
      <c r="A103" t="s">
        <v>413</v>
      </c>
      <c r="B103" s="4">
        <v>45465</v>
      </c>
      <c r="C103" s="4">
        <v>45469</v>
      </c>
      <c r="D103" s="6">
        <v>4</v>
      </c>
      <c r="E103" t="s">
        <v>2788</v>
      </c>
      <c r="F103" t="s">
        <v>2788</v>
      </c>
      <c r="G103" t="s">
        <v>2788</v>
      </c>
      <c r="H103" t="s">
        <v>414</v>
      </c>
      <c r="I103" t="s">
        <v>141</v>
      </c>
      <c r="J103" t="s">
        <v>95</v>
      </c>
      <c r="K103" t="s">
        <v>38</v>
      </c>
      <c r="L103" t="s">
        <v>145</v>
      </c>
      <c r="M103" t="s">
        <v>146</v>
      </c>
      <c r="N103" t="s">
        <v>41</v>
      </c>
      <c r="O103" t="s">
        <v>57</v>
      </c>
      <c r="P103" t="s">
        <v>415</v>
      </c>
      <c r="Q103" t="s">
        <v>50</v>
      </c>
      <c r="R103">
        <v>5</v>
      </c>
      <c r="S103">
        <v>4396.5200000000004</v>
      </c>
      <c r="T103">
        <v>0.25</v>
      </c>
      <c r="U103">
        <v>16486.95</v>
      </c>
      <c r="V103">
        <v>12054.14</v>
      </c>
      <c r="W103">
        <v>4432.8100000000004</v>
      </c>
      <c r="X103" t="s">
        <v>32</v>
      </c>
      <c r="Y103" t="s">
        <v>33</v>
      </c>
      <c r="Z103" t="str">
        <f t="shared" si="14"/>
        <v>Unique</v>
      </c>
      <c r="AA103" t="str">
        <f t="shared" si="15"/>
        <v>Unique</v>
      </c>
      <c r="AB103" t="str">
        <f t="shared" si="19"/>
        <v>OK</v>
      </c>
      <c r="AC103">
        <f t="shared" si="20"/>
        <v>0.25</v>
      </c>
      <c r="AD103" t="str">
        <f t="shared" si="21"/>
        <v>OK</v>
      </c>
      <c r="AE103">
        <f t="shared" si="22"/>
        <v>16486.95</v>
      </c>
      <c r="AF103">
        <f t="shared" si="23"/>
        <v>4432.8100000000013</v>
      </c>
      <c r="AG103">
        <f t="shared" si="24"/>
        <v>0.26886780150361356</v>
      </c>
      <c r="AH103" t="str">
        <f t="shared" si="16"/>
        <v>June</v>
      </c>
      <c r="AI103">
        <f t="shared" si="17"/>
        <v>2024</v>
      </c>
      <c r="AJ103" t="str">
        <f t="shared" si="25"/>
        <v>OK</v>
      </c>
      <c r="AK103" t="str">
        <f t="shared" si="26"/>
        <v>OK</v>
      </c>
      <c r="AL103" t="str">
        <f t="shared" si="27"/>
        <v>Include</v>
      </c>
      <c r="AM103" t="str">
        <f t="shared" si="18"/>
        <v>Clean</v>
      </c>
    </row>
    <row r="104" spans="1:39">
      <c r="A104" t="s">
        <v>416</v>
      </c>
      <c r="B104" s="4">
        <v>45850</v>
      </c>
      <c r="C104" s="4">
        <v>45854</v>
      </c>
      <c r="D104" s="6">
        <v>4</v>
      </c>
      <c r="E104" t="s">
        <v>2788</v>
      </c>
      <c r="F104" t="s">
        <v>2788</v>
      </c>
      <c r="G104" t="s">
        <v>2788</v>
      </c>
      <c r="H104" t="s">
        <v>417</v>
      </c>
      <c r="I104" t="s">
        <v>71</v>
      </c>
      <c r="J104" t="s">
        <v>24</v>
      </c>
      <c r="K104" t="s">
        <v>54</v>
      </c>
      <c r="L104" t="s">
        <v>175</v>
      </c>
      <c r="M104" t="s">
        <v>176</v>
      </c>
      <c r="N104" t="s">
        <v>41</v>
      </c>
      <c r="O104" t="s">
        <v>66</v>
      </c>
      <c r="P104" t="s">
        <v>418</v>
      </c>
      <c r="Q104" t="s">
        <v>50</v>
      </c>
      <c r="R104">
        <v>4</v>
      </c>
      <c r="S104">
        <v>2865.71</v>
      </c>
      <c r="T104">
        <v>0</v>
      </c>
      <c r="U104">
        <v>11462.84</v>
      </c>
      <c r="V104">
        <v>8979.7800000000007</v>
      </c>
      <c r="W104">
        <v>2483.06</v>
      </c>
      <c r="X104" t="s">
        <v>102</v>
      </c>
      <c r="Y104" t="s">
        <v>68</v>
      </c>
      <c r="Z104" t="str">
        <f t="shared" si="14"/>
        <v>Unique</v>
      </c>
      <c r="AA104" t="str">
        <f t="shared" si="15"/>
        <v>Unique</v>
      </c>
      <c r="AB104" t="str">
        <f t="shared" si="19"/>
        <v>OK</v>
      </c>
      <c r="AC104">
        <f t="shared" si="20"/>
        <v>0</v>
      </c>
      <c r="AD104" t="str">
        <f t="shared" si="21"/>
        <v>OK</v>
      </c>
      <c r="AE104">
        <f t="shared" si="22"/>
        <v>11462.84</v>
      </c>
      <c r="AF104">
        <f t="shared" si="23"/>
        <v>2483.0599999999995</v>
      </c>
      <c r="AG104">
        <f t="shared" si="24"/>
        <v>0.21661822026653077</v>
      </c>
      <c r="AH104" t="str">
        <f t="shared" si="16"/>
        <v>July</v>
      </c>
      <c r="AI104">
        <f t="shared" si="17"/>
        <v>2025</v>
      </c>
      <c r="AJ104" t="str">
        <f t="shared" si="25"/>
        <v>OK</v>
      </c>
      <c r="AK104" t="str">
        <f t="shared" si="26"/>
        <v>OK</v>
      </c>
      <c r="AL104" t="str">
        <f t="shared" si="27"/>
        <v>Exclude</v>
      </c>
      <c r="AM104" t="str">
        <f t="shared" si="18"/>
        <v>Clean</v>
      </c>
    </row>
    <row r="105" spans="1:39">
      <c r="A105" t="s">
        <v>419</v>
      </c>
      <c r="B105" s="4">
        <v>45779</v>
      </c>
      <c r="C105" s="4">
        <v>45787</v>
      </c>
      <c r="D105" s="6">
        <v>8</v>
      </c>
      <c r="E105" t="s">
        <v>2788</v>
      </c>
      <c r="F105" t="s">
        <v>2788</v>
      </c>
      <c r="G105" t="s">
        <v>2788</v>
      </c>
      <c r="H105" t="s">
        <v>420</v>
      </c>
      <c r="I105" t="s">
        <v>264</v>
      </c>
      <c r="J105" t="s">
        <v>90</v>
      </c>
      <c r="K105" t="s">
        <v>63</v>
      </c>
      <c r="L105" t="s">
        <v>64</v>
      </c>
      <c r="M105" t="s">
        <v>65</v>
      </c>
      <c r="N105" t="s">
        <v>41</v>
      </c>
      <c r="O105" t="s">
        <v>42</v>
      </c>
      <c r="P105" t="s">
        <v>421</v>
      </c>
      <c r="Q105" t="s">
        <v>50</v>
      </c>
      <c r="R105">
        <v>4</v>
      </c>
      <c r="S105">
        <v>2440.34</v>
      </c>
      <c r="T105">
        <v>0.2</v>
      </c>
      <c r="U105">
        <v>7809.09</v>
      </c>
      <c r="V105">
        <v>6657.75</v>
      </c>
      <c r="W105">
        <v>1151.3399999999999</v>
      </c>
      <c r="X105" t="s">
        <v>32</v>
      </c>
      <c r="Y105" t="s">
        <v>33</v>
      </c>
      <c r="Z105" t="str">
        <f t="shared" si="14"/>
        <v>Unique</v>
      </c>
      <c r="AA105" t="str">
        <f t="shared" si="15"/>
        <v>Unique</v>
      </c>
      <c r="AB105" t="str">
        <f t="shared" si="19"/>
        <v>OK</v>
      </c>
      <c r="AC105">
        <f t="shared" si="20"/>
        <v>0.2</v>
      </c>
      <c r="AD105" t="str">
        <f t="shared" si="21"/>
        <v>OK</v>
      </c>
      <c r="AE105">
        <f t="shared" si="22"/>
        <v>7809.0880000000006</v>
      </c>
      <c r="AF105">
        <f t="shared" si="23"/>
        <v>1151.3380000000006</v>
      </c>
      <c r="AG105">
        <f t="shared" si="24"/>
        <v>0.14743565445798543</v>
      </c>
      <c r="AH105" t="str">
        <f t="shared" si="16"/>
        <v>May</v>
      </c>
      <c r="AI105">
        <f t="shared" si="17"/>
        <v>2025</v>
      </c>
      <c r="AJ105" t="str">
        <f t="shared" si="25"/>
        <v>OK</v>
      </c>
      <c r="AK105" t="str">
        <f t="shared" si="26"/>
        <v>OK</v>
      </c>
      <c r="AL105" t="str">
        <f t="shared" si="27"/>
        <v>Include</v>
      </c>
      <c r="AM105" t="str">
        <f t="shared" si="18"/>
        <v>Clean</v>
      </c>
    </row>
    <row r="106" spans="1:39">
      <c r="A106" t="s">
        <v>422</v>
      </c>
      <c r="B106" s="4">
        <v>45689</v>
      </c>
      <c r="C106" s="4">
        <v>45696</v>
      </c>
      <c r="D106" s="6">
        <v>7</v>
      </c>
      <c r="E106" t="s">
        <v>2788</v>
      </c>
      <c r="F106" t="s">
        <v>2788</v>
      </c>
      <c r="G106" t="s">
        <v>2788</v>
      </c>
      <c r="H106" t="s">
        <v>423</v>
      </c>
      <c r="I106" t="s">
        <v>62</v>
      </c>
      <c r="J106" t="s">
        <v>24</v>
      </c>
      <c r="K106" t="s">
        <v>54</v>
      </c>
      <c r="L106" t="s">
        <v>175</v>
      </c>
      <c r="M106" t="s">
        <v>176</v>
      </c>
      <c r="N106" t="s">
        <v>28</v>
      </c>
      <c r="O106" t="s">
        <v>91</v>
      </c>
      <c r="P106" t="s">
        <v>424</v>
      </c>
      <c r="Q106" t="s">
        <v>44</v>
      </c>
      <c r="R106">
        <v>5</v>
      </c>
      <c r="S106">
        <v>2112.54</v>
      </c>
      <c r="T106">
        <v>0.25</v>
      </c>
      <c r="U106">
        <v>8260.4599999999991</v>
      </c>
      <c r="V106">
        <v>5619.95</v>
      </c>
      <c r="W106">
        <v>2302.08</v>
      </c>
      <c r="X106" t="s">
        <v>32</v>
      </c>
      <c r="Y106" t="s">
        <v>68</v>
      </c>
      <c r="Z106" t="str">
        <f t="shared" si="14"/>
        <v>Unique</v>
      </c>
      <c r="AA106" t="str">
        <f t="shared" si="15"/>
        <v>Unique</v>
      </c>
      <c r="AB106" t="str">
        <f t="shared" si="19"/>
        <v>OK</v>
      </c>
      <c r="AC106">
        <f t="shared" si="20"/>
        <v>0.25</v>
      </c>
      <c r="AD106" t="str">
        <f t="shared" si="21"/>
        <v>OK</v>
      </c>
      <c r="AE106">
        <f t="shared" si="22"/>
        <v>7922.0250000000005</v>
      </c>
      <c r="AF106">
        <f t="shared" si="23"/>
        <v>2302.0750000000007</v>
      </c>
      <c r="AG106">
        <f t="shared" si="24"/>
        <v>0.29059173633004193</v>
      </c>
      <c r="AH106" t="str">
        <f t="shared" si="16"/>
        <v>February</v>
      </c>
      <c r="AI106">
        <f t="shared" si="17"/>
        <v>2025</v>
      </c>
      <c r="AJ106" t="str">
        <f t="shared" si="25"/>
        <v>Sales Mismatch</v>
      </c>
      <c r="AK106" t="str">
        <f t="shared" si="26"/>
        <v>OK</v>
      </c>
      <c r="AL106" t="str">
        <f t="shared" si="27"/>
        <v>Exclude</v>
      </c>
      <c r="AM106" t="str">
        <f t="shared" si="18"/>
        <v>Warning</v>
      </c>
    </row>
    <row r="107" spans="1:39">
      <c r="A107" t="s">
        <v>425</v>
      </c>
      <c r="B107" s="4">
        <v>45467</v>
      </c>
      <c r="C107" s="4">
        <v>45472</v>
      </c>
      <c r="D107" s="6">
        <v>5</v>
      </c>
      <c r="E107" t="s">
        <v>2788</v>
      </c>
      <c r="F107" t="s">
        <v>2788</v>
      </c>
      <c r="G107" t="s">
        <v>2788</v>
      </c>
      <c r="H107" t="s">
        <v>426</v>
      </c>
      <c r="I107" t="s">
        <v>36</v>
      </c>
      <c r="J107" t="s">
        <v>95</v>
      </c>
      <c r="K107" t="s">
        <v>38</v>
      </c>
      <c r="L107" t="s">
        <v>99</v>
      </c>
      <c r="M107" t="s">
        <v>100</v>
      </c>
      <c r="N107" t="s">
        <v>41</v>
      </c>
      <c r="O107" t="s">
        <v>42</v>
      </c>
      <c r="P107" t="s">
        <v>427</v>
      </c>
      <c r="Q107" t="s">
        <v>31</v>
      </c>
      <c r="R107">
        <v>2</v>
      </c>
      <c r="S107">
        <v>685</v>
      </c>
      <c r="T107">
        <v>0.1</v>
      </c>
      <c r="U107">
        <v>1233</v>
      </c>
      <c r="V107">
        <v>1006.9</v>
      </c>
      <c r="W107">
        <v>226.1</v>
      </c>
      <c r="X107" t="s">
        <v>32</v>
      </c>
      <c r="Y107" t="s">
        <v>33</v>
      </c>
      <c r="Z107" t="str">
        <f t="shared" si="14"/>
        <v>Unique</v>
      </c>
      <c r="AA107" t="str">
        <f t="shared" si="15"/>
        <v>Unique</v>
      </c>
      <c r="AB107" t="str">
        <f t="shared" si="19"/>
        <v>OK</v>
      </c>
      <c r="AC107">
        <f t="shared" si="20"/>
        <v>0.1</v>
      </c>
      <c r="AD107" t="str">
        <f t="shared" si="21"/>
        <v>OK</v>
      </c>
      <c r="AE107">
        <f t="shared" si="22"/>
        <v>1233</v>
      </c>
      <c r="AF107">
        <f t="shared" si="23"/>
        <v>226.10000000000002</v>
      </c>
      <c r="AG107">
        <f t="shared" si="24"/>
        <v>0.18337388483373887</v>
      </c>
      <c r="AH107" t="str">
        <f t="shared" si="16"/>
        <v>June</v>
      </c>
      <c r="AI107">
        <f t="shared" si="17"/>
        <v>2024</v>
      </c>
      <c r="AJ107" t="str">
        <f t="shared" si="25"/>
        <v>OK</v>
      </c>
      <c r="AK107" t="str">
        <f t="shared" si="26"/>
        <v>OK</v>
      </c>
      <c r="AL107" t="str">
        <f t="shared" si="27"/>
        <v>Include</v>
      </c>
      <c r="AM107" t="str">
        <f t="shared" si="18"/>
        <v>Clean</v>
      </c>
    </row>
    <row r="108" spans="1:39">
      <c r="A108" t="s">
        <v>428</v>
      </c>
      <c r="B108" s="4">
        <v>45342</v>
      </c>
      <c r="C108" s="4">
        <v>45350</v>
      </c>
      <c r="D108" s="6">
        <v>8</v>
      </c>
      <c r="E108" t="s">
        <v>2788</v>
      </c>
      <c r="F108" t="s">
        <v>2788</v>
      </c>
      <c r="G108" t="s">
        <v>2788</v>
      </c>
      <c r="H108" t="s">
        <v>429</v>
      </c>
      <c r="I108" t="s">
        <v>53</v>
      </c>
      <c r="J108" t="s">
        <v>95</v>
      </c>
      <c r="K108" t="s">
        <v>38</v>
      </c>
      <c r="L108" t="s">
        <v>99</v>
      </c>
      <c r="M108" t="s">
        <v>100</v>
      </c>
      <c r="N108" t="s">
        <v>28</v>
      </c>
      <c r="O108" t="s">
        <v>29</v>
      </c>
      <c r="P108" t="s">
        <v>430</v>
      </c>
      <c r="Q108" t="s">
        <v>59</v>
      </c>
      <c r="R108">
        <v>2</v>
      </c>
      <c r="S108">
        <v>4004.04</v>
      </c>
      <c r="U108">
        <v>7207.27</v>
      </c>
      <c r="V108">
        <v>5709.39</v>
      </c>
      <c r="W108">
        <v>1497.88</v>
      </c>
      <c r="X108" t="s">
        <v>32</v>
      </c>
      <c r="Y108" t="s">
        <v>68</v>
      </c>
      <c r="Z108" t="str">
        <f t="shared" si="14"/>
        <v>Unique</v>
      </c>
      <c r="AA108" t="str">
        <f t="shared" si="15"/>
        <v>Unique</v>
      </c>
      <c r="AB108" t="str">
        <f t="shared" si="19"/>
        <v>OK</v>
      </c>
      <c r="AC108">
        <f t="shared" si="20"/>
        <v>0</v>
      </c>
      <c r="AD108" t="str">
        <f t="shared" si="21"/>
        <v>OK</v>
      </c>
      <c r="AE108">
        <f t="shared" si="22"/>
        <v>8008.08</v>
      </c>
      <c r="AF108">
        <f t="shared" si="23"/>
        <v>2298.6899999999996</v>
      </c>
      <c r="AG108">
        <f t="shared" si="24"/>
        <v>0.28704633320346445</v>
      </c>
      <c r="AH108" t="str">
        <f t="shared" si="16"/>
        <v>February</v>
      </c>
      <c r="AI108">
        <f t="shared" si="17"/>
        <v>2024</v>
      </c>
      <c r="AJ108" t="str">
        <f t="shared" si="25"/>
        <v>Sales Mismatch</v>
      </c>
      <c r="AK108" t="str">
        <f t="shared" si="26"/>
        <v>Profit Mismatch</v>
      </c>
      <c r="AL108" t="str">
        <f t="shared" si="27"/>
        <v>Exclude</v>
      </c>
      <c r="AM108" t="str">
        <f t="shared" si="18"/>
        <v>Warning</v>
      </c>
    </row>
    <row r="109" spans="1:39">
      <c r="A109" t="s">
        <v>431</v>
      </c>
      <c r="B109" s="4">
        <v>45594</v>
      </c>
      <c r="C109" s="4">
        <v>45600</v>
      </c>
      <c r="D109" s="6">
        <v>6</v>
      </c>
      <c r="E109" t="s">
        <v>2788</v>
      </c>
      <c r="F109" t="s">
        <v>2788</v>
      </c>
      <c r="G109" t="s">
        <v>2788</v>
      </c>
      <c r="H109" t="s">
        <v>432</v>
      </c>
      <c r="I109" t="s">
        <v>141</v>
      </c>
      <c r="J109" t="s">
        <v>95</v>
      </c>
      <c r="K109" t="s">
        <v>38</v>
      </c>
      <c r="L109" t="s">
        <v>99</v>
      </c>
      <c r="M109" t="s">
        <v>100</v>
      </c>
      <c r="N109" t="s">
        <v>41</v>
      </c>
      <c r="O109" t="s">
        <v>57</v>
      </c>
      <c r="P109" t="s">
        <v>433</v>
      </c>
      <c r="Q109" t="s">
        <v>50</v>
      </c>
      <c r="R109">
        <v>3</v>
      </c>
      <c r="S109">
        <v>4302.8900000000003</v>
      </c>
      <c r="T109">
        <v>0.05</v>
      </c>
      <c r="U109">
        <v>12263.24</v>
      </c>
      <c r="V109">
        <v>8925.57</v>
      </c>
      <c r="W109">
        <v>3337.67</v>
      </c>
      <c r="X109" t="s">
        <v>32</v>
      </c>
      <c r="Y109" t="s">
        <v>33</v>
      </c>
      <c r="Z109" t="str">
        <f t="shared" si="14"/>
        <v>Unique</v>
      </c>
      <c r="AA109" t="str">
        <f t="shared" si="15"/>
        <v>Unique</v>
      </c>
      <c r="AB109" t="str">
        <f t="shared" si="19"/>
        <v>OK</v>
      </c>
      <c r="AC109">
        <f t="shared" si="20"/>
        <v>0.05</v>
      </c>
      <c r="AD109" t="str">
        <f t="shared" si="21"/>
        <v>OK</v>
      </c>
      <c r="AE109">
        <f t="shared" si="22"/>
        <v>12263.236500000001</v>
      </c>
      <c r="AF109">
        <f t="shared" si="23"/>
        <v>3337.6665000000012</v>
      </c>
      <c r="AG109">
        <f t="shared" si="24"/>
        <v>0.27216848504878799</v>
      </c>
      <c r="AH109" t="str">
        <f t="shared" si="16"/>
        <v>October</v>
      </c>
      <c r="AI109">
        <f t="shared" si="17"/>
        <v>2024</v>
      </c>
      <c r="AJ109" t="str">
        <f t="shared" si="25"/>
        <v>OK</v>
      </c>
      <c r="AK109" t="str">
        <f t="shared" si="26"/>
        <v>OK</v>
      </c>
      <c r="AL109" t="str">
        <f t="shared" si="27"/>
        <v>Include</v>
      </c>
      <c r="AM109" t="str">
        <f t="shared" si="18"/>
        <v>Clean</v>
      </c>
    </row>
    <row r="110" spans="1:39">
      <c r="A110" t="s">
        <v>434</v>
      </c>
      <c r="B110" s="4">
        <v>45519</v>
      </c>
      <c r="C110" s="4">
        <v>45527</v>
      </c>
      <c r="D110" s="6">
        <v>8</v>
      </c>
      <c r="E110" t="s">
        <v>2788</v>
      </c>
      <c r="F110" t="s">
        <v>2788</v>
      </c>
      <c r="G110" t="s">
        <v>2788</v>
      </c>
      <c r="H110" t="s">
        <v>435</v>
      </c>
      <c r="I110" t="s">
        <v>89</v>
      </c>
      <c r="J110" t="s">
        <v>37</v>
      </c>
      <c r="K110" t="s">
        <v>38</v>
      </c>
      <c r="L110" t="s">
        <v>39</v>
      </c>
      <c r="M110" t="s">
        <v>40</v>
      </c>
      <c r="N110" t="s">
        <v>41</v>
      </c>
      <c r="O110" t="s">
        <v>158</v>
      </c>
      <c r="P110" t="s">
        <v>436</v>
      </c>
      <c r="Q110" t="s">
        <v>44</v>
      </c>
      <c r="R110">
        <v>2</v>
      </c>
      <c r="S110">
        <v>537.54</v>
      </c>
      <c r="T110">
        <v>0.25</v>
      </c>
      <c r="U110">
        <v>806.31</v>
      </c>
      <c r="V110">
        <v>498.5</v>
      </c>
      <c r="W110">
        <v>307.81</v>
      </c>
      <c r="X110" t="s">
        <v>32</v>
      </c>
      <c r="Y110" t="s">
        <v>33</v>
      </c>
      <c r="Z110" t="str">
        <f t="shared" si="14"/>
        <v>Unique</v>
      </c>
      <c r="AA110" t="str">
        <f t="shared" si="15"/>
        <v>Unique</v>
      </c>
      <c r="AB110" t="str">
        <f t="shared" si="19"/>
        <v>OK</v>
      </c>
      <c r="AC110">
        <f t="shared" si="20"/>
        <v>0.25</v>
      </c>
      <c r="AD110" t="str">
        <f t="shared" si="21"/>
        <v>OK</v>
      </c>
      <c r="AE110">
        <f t="shared" si="22"/>
        <v>806.31</v>
      </c>
      <c r="AF110">
        <f t="shared" si="23"/>
        <v>307.80999999999995</v>
      </c>
      <c r="AG110">
        <f t="shared" si="24"/>
        <v>0.38175143555208291</v>
      </c>
      <c r="AH110" t="str">
        <f t="shared" si="16"/>
        <v>August</v>
      </c>
      <c r="AI110">
        <f t="shared" si="17"/>
        <v>2024</v>
      </c>
      <c r="AJ110" t="str">
        <f t="shared" si="25"/>
        <v>OK</v>
      </c>
      <c r="AK110" t="str">
        <f t="shared" si="26"/>
        <v>OK</v>
      </c>
      <c r="AL110" t="str">
        <f t="shared" si="27"/>
        <v>Include</v>
      </c>
      <c r="AM110" t="str">
        <f t="shared" si="18"/>
        <v>Clean</v>
      </c>
    </row>
    <row r="111" spans="1:39">
      <c r="A111" t="s">
        <v>437</v>
      </c>
      <c r="B111" s="4">
        <v>45892</v>
      </c>
      <c r="C111" s="4">
        <v>45896</v>
      </c>
      <c r="D111" s="6">
        <v>4</v>
      </c>
      <c r="E111" t="s">
        <v>2788</v>
      </c>
      <c r="F111" t="s">
        <v>2788</v>
      </c>
      <c r="G111" t="s">
        <v>2788</v>
      </c>
      <c r="H111" t="s">
        <v>438</v>
      </c>
      <c r="I111" t="s">
        <v>132</v>
      </c>
      <c r="J111" t="s">
        <v>24</v>
      </c>
      <c r="K111" t="s">
        <v>25</v>
      </c>
      <c r="L111" t="s">
        <v>350</v>
      </c>
      <c r="M111" t="s">
        <v>351</v>
      </c>
      <c r="N111" t="s">
        <v>28</v>
      </c>
      <c r="O111" t="s">
        <v>153</v>
      </c>
      <c r="P111" t="s">
        <v>439</v>
      </c>
      <c r="Q111" t="s">
        <v>31</v>
      </c>
      <c r="R111">
        <v>1</v>
      </c>
      <c r="S111">
        <v>2788.62</v>
      </c>
      <c r="T111">
        <v>0.25</v>
      </c>
      <c r="U111">
        <v>2091.4699999999998</v>
      </c>
      <c r="V111">
        <v>1317.22</v>
      </c>
      <c r="W111">
        <v>774.25</v>
      </c>
      <c r="X111" t="s">
        <v>32</v>
      </c>
      <c r="Y111" t="s">
        <v>33</v>
      </c>
      <c r="Z111" t="str">
        <f t="shared" si="14"/>
        <v>Unique</v>
      </c>
      <c r="AA111" t="str">
        <f t="shared" si="15"/>
        <v>Unique</v>
      </c>
      <c r="AB111" t="str">
        <f t="shared" si="19"/>
        <v>OK</v>
      </c>
      <c r="AC111">
        <f t="shared" si="20"/>
        <v>0.25</v>
      </c>
      <c r="AD111" t="str">
        <f t="shared" si="21"/>
        <v>OK</v>
      </c>
      <c r="AE111">
        <f t="shared" si="22"/>
        <v>2091.4650000000001</v>
      </c>
      <c r="AF111">
        <f t="shared" si="23"/>
        <v>774.24500000000012</v>
      </c>
      <c r="AG111">
        <f t="shared" si="24"/>
        <v>0.37019266399389905</v>
      </c>
      <c r="AH111" t="str">
        <f t="shared" si="16"/>
        <v>August</v>
      </c>
      <c r="AI111">
        <f t="shared" si="17"/>
        <v>2025</v>
      </c>
      <c r="AJ111" t="str">
        <f t="shared" si="25"/>
        <v>OK</v>
      </c>
      <c r="AK111" t="str">
        <f t="shared" si="26"/>
        <v>OK</v>
      </c>
      <c r="AL111" t="str">
        <f t="shared" si="27"/>
        <v>Include</v>
      </c>
      <c r="AM111" t="str">
        <f t="shared" si="18"/>
        <v>Clean</v>
      </c>
    </row>
    <row r="112" spans="1:39">
      <c r="A112" t="s">
        <v>440</v>
      </c>
      <c r="B112" s="4">
        <v>45583</v>
      </c>
      <c r="C112" s="4">
        <v>45589</v>
      </c>
      <c r="D112" s="6">
        <v>6</v>
      </c>
      <c r="E112" t="s">
        <v>2788</v>
      </c>
      <c r="F112" t="s">
        <v>2788</v>
      </c>
      <c r="G112" t="s">
        <v>2788</v>
      </c>
      <c r="H112" t="s">
        <v>441</v>
      </c>
      <c r="I112" t="s">
        <v>71</v>
      </c>
      <c r="J112" t="s">
        <v>90</v>
      </c>
      <c r="K112" t="s">
        <v>54</v>
      </c>
      <c r="L112" t="s">
        <v>185</v>
      </c>
      <c r="M112" t="s">
        <v>186</v>
      </c>
      <c r="N112" t="s">
        <v>28</v>
      </c>
      <c r="O112" t="s">
        <v>91</v>
      </c>
      <c r="P112" t="s">
        <v>442</v>
      </c>
      <c r="Q112" t="s">
        <v>50</v>
      </c>
      <c r="R112">
        <v>2</v>
      </c>
      <c r="S112">
        <v>2250.4699999999998</v>
      </c>
      <c r="T112">
        <v>0</v>
      </c>
      <c r="U112">
        <v>4500.9399999999996</v>
      </c>
      <c r="V112">
        <v>2607.73</v>
      </c>
      <c r="W112">
        <v>1893.21</v>
      </c>
      <c r="X112" t="s">
        <v>102</v>
      </c>
      <c r="Y112" t="s">
        <v>68</v>
      </c>
      <c r="Z112" t="str">
        <f t="shared" si="14"/>
        <v>Unique</v>
      </c>
      <c r="AA112" t="str">
        <f t="shared" si="15"/>
        <v>Unique</v>
      </c>
      <c r="AB112" t="str">
        <f t="shared" si="19"/>
        <v>OK</v>
      </c>
      <c r="AC112">
        <f t="shared" si="20"/>
        <v>0</v>
      </c>
      <c r="AD112" t="str">
        <f t="shared" si="21"/>
        <v>OK</v>
      </c>
      <c r="AE112">
        <f t="shared" si="22"/>
        <v>4500.9399999999996</v>
      </c>
      <c r="AF112">
        <f t="shared" si="23"/>
        <v>1893.2099999999996</v>
      </c>
      <c r="AG112">
        <f t="shared" si="24"/>
        <v>0.42062546934640316</v>
      </c>
      <c r="AH112" t="str">
        <f t="shared" si="16"/>
        <v>October</v>
      </c>
      <c r="AI112">
        <f t="shared" si="17"/>
        <v>2024</v>
      </c>
      <c r="AJ112" t="str">
        <f t="shared" si="25"/>
        <v>OK</v>
      </c>
      <c r="AK112" t="str">
        <f t="shared" si="26"/>
        <v>OK</v>
      </c>
      <c r="AL112" t="str">
        <f t="shared" si="27"/>
        <v>Exclude</v>
      </c>
      <c r="AM112" t="str">
        <f t="shared" si="18"/>
        <v>Clean</v>
      </c>
    </row>
    <row r="113" spans="1:39">
      <c r="A113" t="s">
        <v>443</v>
      </c>
      <c r="B113" s="4">
        <v>45835</v>
      </c>
      <c r="C113" s="4">
        <v>45838</v>
      </c>
      <c r="D113" s="6">
        <v>3</v>
      </c>
      <c r="E113" t="s">
        <v>2788</v>
      </c>
      <c r="F113" t="s">
        <v>2788</v>
      </c>
      <c r="G113" t="s">
        <v>2788</v>
      </c>
      <c r="H113" t="s">
        <v>444</v>
      </c>
      <c r="I113" t="s">
        <v>79</v>
      </c>
      <c r="J113" t="s">
        <v>90</v>
      </c>
      <c r="K113" t="s">
        <v>38</v>
      </c>
      <c r="L113" t="s">
        <v>145</v>
      </c>
      <c r="M113" t="s">
        <v>146</v>
      </c>
      <c r="N113" t="s">
        <v>74</v>
      </c>
      <c r="O113" t="s">
        <v>75</v>
      </c>
      <c r="P113" t="s">
        <v>445</v>
      </c>
      <c r="Q113" t="s">
        <v>50</v>
      </c>
      <c r="R113">
        <v>1</v>
      </c>
      <c r="S113">
        <v>1708.44</v>
      </c>
      <c r="T113">
        <v>0.05</v>
      </c>
      <c r="U113">
        <v>1623.02</v>
      </c>
      <c r="V113">
        <v>1077.46</v>
      </c>
      <c r="W113">
        <v>545.55999999999995</v>
      </c>
      <c r="X113" t="s">
        <v>111</v>
      </c>
      <c r="Y113" t="s">
        <v>68</v>
      </c>
      <c r="Z113" t="str">
        <f t="shared" si="14"/>
        <v>Unique</v>
      </c>
      <c r="AA113" t="str">
        <f t="shared" si="15"/>
        <v>Unique</v>
      </c>
      <c r="AB113" t="str">
        <f t="shared" si="19"/>
        <v>OK</v>
      </c>
      <c r="AC113">
        <f t="shared" si="20"/>
        <v>0.05</v>
      </c>
      <c r="AD113" t="str">
        <f t="shared" si="21"/>
        <v>OK</v>
      </c>
      <c r="AE113">
        <f t="shared" si="22"/>
        <v>1623.018</v>
      </c>
      <c r="AF113">
        <f t="shared" si="23"/>
        <v>545.55799999999999</v>
      </c>
      <c r="AG113">
        <f t="shared" si="24"/>
        <v>0.3361379849145234</v>
      </c>
      <c r="AH113" t="str">
        <f t="shared" si="16"/>
        <v>June</v>
      </c>
      <c r="AI113">
        <f t="shared" si="17"/>
        <v>2025</v>
      </c>
      <c r="AJ113" t="str">
        <f t="shared" si="25"/>
        <v>OK</v>
      </c>
      <c r="AK113" t="str">
        <f t="shared" si="26"/>
        <v>OK</v>
      </c>
      <c r="AL113" t="str">
        <f t="shared" si="27"/>
        <v>Exclude</v>
      </c>
      <c r="AM113" t="str">
        <f t="shared" si="18"/>
        <v>Clean</v>
      </c>
    </row>
    <row r="114" spans="1:39">
      <c r="A114" t="s">
        <v>446</v>
      </c>
      <c r="B114" s="4">
        <v>45301</v>
      </c>
      <c r="C114" s="4">
        <v>45305</v>
      </c>
      <c r="D114" s="6">
        <v>4</v>
      </c>
      <c r="E114" t="s">
        <v>2788</v>
      </c>
      <c r="F114" t="s">
        <v>2788</v>
      </c>
      <c r="G114" t="s">
        <v>2788</v>
      </c>
      <c r="H114" t="s">
        <v>447</v>
      </c>
      <c r="I114" t="s">
        <v>132</v>
      </c>
      <c r="J114" t="s">
        <v>24</v>
      </c>
      <c r="K114" t="s">
        <v>2783</v>
      </c>
      <c r="L114" t="s">
        <v>180</v>
      </c>
      <c r="M114" t="s">
        <v>181</v>
      </c>
      <c r="N114" t="s">
        <v>74</v>
      </c>
      <c r="O114" t="s">
        <v>75</v>
      </c>
      <c r="P114" t="s">
        <v>448</v>
      </c>
      <c r="Q114" t="s">
        <v>59</v>
      </c>
      <c r="R114">
        <v>3</v>
      </c>
      <c r="S114">
        <v>3829.48</v>
      </c>
      <c r="T114">
        <v>0.05</v>
      </c>
      <c r="U114">
        <v>10914.02</v>
      </c>
      <c r="V114">
        <v>6548.74</v>
      </c>
      <c r="W114">
        <v>4365.28</v>
      </c>
      <c r="X114" t="s">
        <v>32</v>
      </c>
      <c r="Y114" t="s">
        <v>33</v>
      </c>
      <c r="Z114" t="str">
        <f t="shared" si="14"/>
        <v>Unique</v>
      </c>
      <c r="AA114" t="str">
        <f t="shared" si="15"/>
        <v>Unique</v>
      </c>
      <c r="AB114" t="str">
        <f t="shared" si="19"/>
        <v>OK</v>
      </c>
      <c r="AC114">
        <f t="shared" si="20"/>
        <v>0.05</v>
      </c>
      <c r="AD114" t="str">
        <f t="shared" si="21"/>
        <v>OK</v>
      </c>
      <c r="AE114">
        <f t="shared" si="22"/>
        <v>10914.018</v>
      </c>
      <c r="AF114">
        <f t="shared" si="23"/>
        <v>4365.2780000000002</v>
      </c>
      <c r="AG114">
        <f t="shared" si="24"/>
        <v>0.39996983695647198</v>
      </c>
      <c r="AH114" t="str">
        <f t="shared" si="16"/>
        <v>January</v>
      </c>
      <c r="AI114">
        <f t="shared" si="17"/>
        <v>2024</v>
      </c>
      <c r="AJ114" t="str">
        <f t="shared" si="25"/>
        <v>OK</v>
      </c>
      <c r="AK114" t="str">
        <f t="shared" si="26"/>
        <v>OK</v>
      </c>
      <c r="AL114" t="str">
        <f t="shared" si="27"/>
        <v>Include</v>
      </c>
      <c r="AM114" t="str">
        <f t="shared" si="18"/>
        <v>Clean</v>
      </c>
    </row>
    <row r="115" spans="1:39">
      <c r="A115" t="s">
        <v>449</v>
      </c>
      <c r="B115" s="4">
        <v>45334</v>
      </c>
      <c r="C115" s="4">
        <v>45334</v>
      </c>
      <c r="D115" s="6">
        <v>0</v>
      </c>
      <c r="E115" t="s">
        <v>2788</v>
      </c>
      <c r="F115" t="s">
        <v>2788</v>
      </c>
      <c r="G115" t="s">
        <v>2788</v>
      </c>
      <c r="H115" t="s">
        <v>360</v>
      </c>
      <c r="I115" t="s">
        <v>47</v>
      </c>
      <c r="J115" t="s">
        <v>95</v>
      </c>
      <c r="K115" t="s">
        <v>54</v>
      </c>
      <c r="L115" t="s">
        <v>247</v>
      </c>
      <c r="M115" t="s">
        <v>248</v>
      </c>
      <c r="N115" t="s">
        <v>41</v>
      </c>
      <c r="O115" t="s">
        <v>42</v>
      </c>
      <c r="P115" t="s">
        <v>450</v>
      </c>
      <c r="Q115" t="s">
        <v>59</v>
      </c>
      <c r="R115">
        <v>3</v>
      </c>
      <c r="S115">
        <v>1089.1500000000001</v>
      </c>
      <c r="T115">
        <v>0.25</v>
      </c>
      <c r="U115">
        <v>2450.59</v>
      </c>
      <c r="V115">
        <v>1639.89</v>
      </c>
      <c r="W115">
        <v>810.7</v>
      </c>
      <c r="X115" t="s">
        <v>32</v>
      </c>
      <c r="Y115" t="s">
        <v>33</v>
      </c>
      <c r="Z115" t="str">
        <f t="shared" si="14"/>
        <v>Unique</v>
      </c>
      <c r="AA115" t="str">
        <f t="shared" si="15"/>
        <v>Unique</v>
      </c>
      <c r="AB115" t="str">
        <f t="shared" si="19"/>
        <v>OK</v>
      </c>
      <c r="AC115">
        <f t="shared" si="20"/>
        <v>0.25</v>
      </c>
      <c r="AD115" t="str">
        <f t="shared" si="21"/>
        <v>OK</v>
      </c>
      <c r="AE115">
        <f t="shared" si="22"/>
        <v>2450.5875000000001</v>
      </c>
      <c r="AF115">
        <f t="shared" si="23"/>
        <v>810.69749999999999</v>
      </c>
      <c r="AG115">
        <f t="shared" si="24"/>
        <v>0.33081761006289306</v>
      </c>
      <c r="AH115" t="str">
        <f t="shared" si="16"/>
        <v>February</v>
      </c>
      <c r="AI115">
        <f t="shared" si="17"/>
        <v>2024</v>
      </c>
      <c r="AJ115" t="str">
        <f t="shared" si="25"/>
        <v>OK</v>
      </c>
      <c r="AK115" t="str">
        <f t="shared" si="26"/>
        <v>OK</v>
      </c>
      <c r="AL115" t="str">
        <f t="shared" si="27"/>
        <v>Include</v>
      </c>
      <c r="AM115" t="str">
        <f t="shared" si="18"/>
        <v>Clean</v>
      </c>
    </row>
    <row r="116" spans="1:39">
      <c r="A116" t="s">
        <v>451</v>
      </c>
      <c r="B116" s="4">
        <v>45560</v>
      </c>
      <c r="C116" s="4">
        <v>45565</v>
      </c>
      <c r="D116" s="6">
        <v>5</v>
      </c>
      <c r="E116" t="s">
        <v>2788</v>
      </c>
      <c r="F116" t="s">
        <v>2788</v>
      </c>
      <c r="G116" t="s">
        <v>2788</v>
      </c>
      <c r="H116" t="s">
        <v>452</v>
      </c>
      <c r="I116" t="s">
        <v>79</v>
      </c>
      <c r="J116" t="s">
        <v>37</v>
      </c>
      <c r="K116" t="s">
        <v>25</v>
      </c>
      <c r="L116" t="s">
        <v>26</v>
      </c>
      <c r="M116" t="s">
        <v>27</v>
      </c>
      <c r="N116" t="s">
        <v>74</v>
      </c>
      <c r="O116" t="s">
        <v>75</v>
      </c>
      <c r="P116" t="s">
        <v>453</v>
      </c>
      <c r="Q116" t="s">
        <v>31</v>
      </c>
      <c r="R116">
        <v>1</v>
      </c>
      <c r="S116">
        <v>4388.3999999999996</v>
      </c>
      <c r="T116">
        <v>0.1</v>
      </c>
      <c r="U116">
        <v>3949.56</v>
      </c>
      <c r="V116">
        <v>3186.73</v>
      </c>
      <c r="W116">
        <v>762.83</v>
      </c>
      <c r="X116" t="s">
        <v>111</v>
      </c>
      <c r="Y116" t="s">
        <v>68</v>
      </c>
      <c r="Z116" t="str">
        <f t="shared" si="14"/>
        <v>Unique</v>
      </c>
      <c r="AA116" t="str">
        <f t="shared" si="15"/>
        <v>Unique</v>
      </c>
      <c r="AB116" t="str">
        <f t="shared" si="19"/>
        <v>OK</v>
      </c>
      <c r="AC116">
        <f t="shared" si="20"/>
        <v>0.1</v>
      </c>
      <c r="AD116" t="str">
        <f t="shared" si="21"/>
        <v>OK</v>
      </c>
      <c r="AE116">
        <f t="shared" si="22"/>
        <v>3949.56</v>
      </c>
      <c r="AF116">
        <f t="shared" si="23"/>
        <v>762.82999999999993</v>
      </c>
      <c r="AG116">
        <f t="shared" si="24"/>
        <v>0.19314303365438173</v>
      </c>
      <c r="AH116" t="str">
        <f t="shared" si="16"/>
        <v>September</v>
      </c>
      <c r="AI116">
        <f t="shared" si="17"/>
        <v>2024</v>
      </c>
      <c r="AJ116" t="str">
        <f t="shared" si="25"/>
        <v>OK</v>
      </c>
      <c r="AK116" t="str">
        <f t="shared" si="26"/>
        <v>OK</v>
      </c>
      <c r="AL116" t="str">
        <f t="shared" si="27"/>
        <v>Exclude</v>
      </c>
      <c r="AM116" t="str">
        <f t="shared" si="18"/>
        <v>Clean</v>
      </c>
    </row>
    <row r="117" spans="1:39">
      <c r="A117" t="s">
        <v>454</v>
      </c>
      <c r="B117" s="4">
        <v>45653</v>
      </c>
      <c r="C117" s="4">
        <v>45658</v>
      </c>
      <c r="D117" s="6">
        <v>5</v>
      </c>
      <c r="E117" t="s">
        <v>2788</v>
      </c>
      <c r="F117" t="s">
        <v>2788</v>
      </c>
      <c r="G117" t="s">
        <v>2788</v>
      </c>
      <c r="H117" t="s">
        <v>455</v>
      </c>
      <c r="I117" t="s">
        <v>264</v>
      </c>
      <c r="J117" t="s">
        <v>90</v>
      </c>
      <c r="K117" t="s">
        <v>54</v>
      </c>
      <c r="L117" t="s">
        <v>247</v>
      </c>
      <c r="M117" t="s">
        <v>248</v>
      </c>
      <c r="N117" t="s">
        <v>28</v>
      </c>
      <c r="O117" t="s">
        <v>153</v>
      </c>
      <c r="P117" t="s">
        <v>456</v>
      </c>
      <c r="Q117" t="s">
        <v>44</v>
      </c>
      <c r="R117">
        <v>2</v>
      </c>
      <c r="S117">
        <v>446.34</v>
      </c>
      <c r="T117">
        <v>0.15</v>
      </c>
      <c r="U117">
        <v>758.78</v>
      </c>
      <c r="V117">
        <v>490.74</v>
      </c>
      <c r="W117">
        <v>268.04000000000002</v>
      </c>
      <c r="X117" t="s">
        <v>32</v>
      </c>
      <c r="Y117" t="s">
        <v>68</v>
      </c>
      <c r="Z117" t="str">
        <f t="shared" si="14"/>
        <v>Unique</v>
      </c>
      <c r="AA117" t="str">
        <f t="shared" si="15"/>
        <v>Unique</v>
      </c>
      <c r="AB117" t="str">
        <f t="shared" si="19"/>
        <v>OK</v>
      </c>
      <c r="AC117">
        <f t="shared" si="20"/>
        <v>0.15</v>
      </c>
      <c r="AD117" t="str">
        <f t="shared" si="21"/>
        <v>OK</v>
      </c>
      <c r="AE117">
        <f t="shared" si="22"/>
        <v>758.77799999999991</v>
      </c>
      <c r="AF117">
        <f t="shared" si="23"/>
        <v>268.0379999999999</v>
      </c>
      <c r="AG117">
        <f t="shared" si="24"/>
        <v>0.35324956706704719</v>
      </c>
      <c r="AH117" t="str">
        <f t="shared" si="16"/>
        <v>December</v>
      </c>
      <c r="AI117">
        <f t="shared" si="17"/>
        <v>2024</v>
      </c>
      <c r="AJ117" t="str">
        <f t="shared" si="25"/>
        <v>OK</v>
      </c>
      <c r="AK117" t="str">
        <f t="shared" si="26"/>
        <v>OK</v>
      </c>
      <c r="AL117" t="str">
        <f t="shared" si="27"/>
        <v>Exclude</v>
      </c>
      <c r="AM117" t="str">
        <f t="shared" si="18"/>
        <v>Clean</v>
      </c>
    </row>
    <row r="118" spans="1:39">
      <c r="A118" t="s">
        <v>457</v>
      </c>
      <c r="B118" s="4">
        <v>45703</v>
      </c>
      <c r="C118" s="4">
        <v>45707</v>
      </c>
      <c r="D118" s="6">
        <v>4</v>
      </c>
      <c r="E118" t="s">
        <v>2788</v>
      </c>
      <c r="F118" t="s">
        <v>2788</v>
      </c>
      <c r="G118" t="s">
        <v>2788</v>
      </c>
      <c r="H118" t="s">
        <v>458</v>
      </c>
      <c r="I118" t="s">
        <v>62</v>
      </c>
      <c r="J118" t="s">
        <v>37</v>
      </c>
      <c r="K118" t="s">
        <v>2783</v>
      </c>
      <c r="L118" t="s">
        <v>72</v>
      </c>
      <c r="M118" t="s">
        <v>73</v>
      </c>
      <c r="N118" t="s">
        <v>28</v>
      </c>
      <c r="O118" t="s">
        <v>153</v>
      </c>
      <c r="P118" t="s">
        <v>459</v>
      </c>
      <c r="Q118" t="s">
        <v>50</v>
      </c>
      <c r="R118">
        <v>9</v>
      </c>
      <c r="S118">
        <v>531.99</v>
      </c>
      <c r="T118">
        <v>0.25</v>
      </c>
      <c r="U118">
        <v>3590.93</v>
      </c>
      <c r="V118">
        <v>3061.39</v>
      </c>
      <c r="W118">
        <v>529.54</v>
      </c>
      <c r="X118" t="s">
        <v>155</v>
      </c>
      <c r="Y118" t="s">
        <v>68</v>
      </c>
      <c r="Z118" t="str">
        <f t="shared" si="14"/>
        <v>Unique</v>
      </c>
      <c r="AA118" t="str">
        <f t="shared" si="15"/>
        <v>Unique</v>
      </c>
      <c r="AB118" t="str">
        <f t="shared" si="19"/>
        <v>OK</v>
      </c>
      <c r="AC118">
        <f t="shared" si="20"/>
        <v>0.25</v>
      </c>
      <c r="AD118" t="str">
        <f t="shared" si="21"/>
        <v>OK</v>
      </c>
      <c r="AE118">
        <f t="shared" si="22"/>
        <v>3590.9324999999999</v>
      </c>
      <c r="AF118">
        <f t="shared" si="23"/>
        <v>529.54250000000002</v>
      </c>
      <c r="AG118">
        <f t="shared" si="24"/>
        <v>0.14746657031286442</v>
      </c>
      <c r="AH118" t="str">
        <f t="shared" si="16"/>
        <v>February</v>
      </c>
      <c r="AI118">
        <f t="shared" si="17"/>
        <v>2025</v>
      </c>
      <c r="AJ118" t="str">
        <f t="shared" si="25"/>
        <v>OK</v>
      </c>
      <c r="AK118" t="str">
        <f t="shared" si="26"/>
        <v>OK</v>
      </c>
      <c r="AL118" t="str">
        <f t="shared" si="27"/>
        <v>Exclude</v>
      </c>
      <c r="AM118" t="str">
        <f t="shared" si="18"/>
        <v>Clean</v>
      </c>
    </row>
    <row r="119" spans="1:39">
      <c r="A119" t="s">
        <v>460</v>
      </c>
      <c r="B119" s="4">
        <v>45337</v>
      </c>
      <c r="C119" s="4">
        <v>45339</v>
      </c>
      <c r="D119" s="6">
        <v>2</v>
      </c>
      <c r="E119" t="s">
        <v>2788</v>
      </c>
      <c r="F119" t="s">
        <v>2788</v>
      </c>
      <c r="G119" t="s">
        <v>2788</v>
      </c>
      <c r="H119" t="s">
        <v>461</v>
      </c>
      <c r="I119" t="s">
        <v>36</v>
      </c>
      <c r="J119" t="s">
        <v>95</v>
      </c>
      <c r="K119" t="s">
        <v>54</v>
      </c>
      <c r="L119" t="s">
        <v>247</v>
      </c>
      <c r="M119" t="s">
        <v>248</v>
      </c>
      <c r="N119" t="s">
        <v>74</v>
      </c>
      <c r="O119" t="s">
        <v>274</v>
      </c>
      <c r="P119" t="s">
        <v>462</v>
      </c>
      <c r="Q119" t="s">
        <v>59</v>
      </c>
      <c r="R119">
        <v>9</v>
      </c>
      <c r="S119">
        <v>3324.55</v>
      </c>
      <c r="T119" t="s">
        <v>463</v>
      </c>
      <c r="U119">
        <v>25432.81</v>
      </c>
      <c r="V119">
        <v>20370.16</v>
      </c>
      <c r="W119">
        <v>5062.6499999999996</v>
      </c>
      <c r="X119" t="s">
        <v>32</v>
      </c>
      <c r="Y119" t="s">
        <v>33</v>
      </c>
      <c r="Z119" t="str">
        <f t="shared" si="14"/>
        <v>Unique</v>
      </c>
      <c r="AA119" t="str">
        <f t="shared" si="15"/>
        <v>Unique</v>
      </c>
      <c r="AB119" t="str">
        <f t="shared" si="19"/>
        <v>OK</v>
      </c>
      <c r="AC119" t="str">
        <f t="shared" si="20"/>
        <v>70%</v>
      </c>
      <c r="AD119" t="str">
        <f t="shared" si="21"/>
        <v>Invalid High Discount</v>
      </c>
      <c r="AE119">
        <f t="shared" si="22"/>
        <v>8976.2850000000017</v>
      </c>
      <c r="AF119">
        <f t="shared" si="23"/>
        <v>-11393.874999999998</v>
      </c>
      <c r="AG119">
        <f t="shared" si="24"/>
        <v>-1.2693307977632167</v>
      </c>
      <c r="AH119" t="str">
        <f t="shared" si="16"/>
        <v>February</v>
      </c>
      <c r="AI119">
        <f t="shared" si="17"/>
        <v>2024</v>
      </c>
      <c r="AJ119" t="str">
        <f t="shared" si="25"/>
        <v>Sales Mismatch</v>
      </c>
      <c r="AK119" t="str">
        <f t="shared" si="26"/>
        <v>Profit Mismatch</v>
      </c>
      <c r="AL119" t="str">
        <f t="shared" si="27"/>
        <v>Include</v>
      </c>
      <c r="AM119" t="str">
        <f t="shared" si="18"/>
        <v>Invalid</v>
      </c>
    </row>
    <row r="120" spans="1:39">
      <c r="A120" t="s">
        <v>464</v>
      </c>
      <c r="B120" s="4">
        <v>45453</v>
      </c>
      <c r="C120" s="4">
        <v>45461</v>
      </c>
      <c r="D120" s="6">
        <v>8</v>
      </c>
      <c r="E120" t="s">
        <v>2788</v>
      </c>
      <c r="F120" t="s">
        <v>2788</v>
      </c>
      <c r="G120" t="s">
        <v>2788</v>
      </c>
      <c r="H120" t="s">
        <v>465</v>
      </c>
      <c r="I120" t="s">
        <v>71</v>
      </c>
      <c r="J120" t="s">
        <v>95</v>
      </c>
      <c r="K120" t="s">
        <v>54</v>
      </c>
      <c r="L120" t="s">
        <v>84</v>
      </c>
      <c r="M120" t="s">
        <v>85</v>
      </c>
      <c r="N120" t="s">
        <v>74</v>
      </c>
      <c r="O120" t="s">
        <v>80</v>
      </c>
      <c r="P120" t="s">
        <v>466</v>
      </c>
      <c r="Q120" t="s">
        <v>44</v>
      </c>
      <c r="R120">
        <v>5</v>
      </c>
      <c r="S120">
        <v>1580.27</v>
      </c>
      <c r="T120">
        <v>0.2</v>
      </c>
      <c r="U120">
        <v>6321.08</v>
      </c>
      <c r="V120">
        <v>4407.22</v>
      </c>
      <c r="W120">
        <v>1913.86</v>
      </c>
      <c r="X120" t="s">
        <v>32</v>
      </c>
      <c r="Y120" t="s">
        <v>33</v>
      </c>
      <c r="Z120" t="str">
        <f t="shared" si="14"/>
        <v>Unique</v>
      </c>
      <c r="AA120" t="str">
        <f t="shared" si="15"/>
        <v>Unique</v>
      </c>
      <c r="AB120" t="str">
        <f t="shared" si="19"/>
        <v>OK</v>
      </c>
      <c r="AC120">
        <f t="shared" si="20"/>
        <v>0.2</v>
      </c>
      <c r="AD120" t="str">
        <f t="shared" si="21"/>
        <v>OK</v>
      </c>
      <c r="AE120">
        <f t="shared" si="22"/>
        <v>6321.0800000000008</v>
      </c>
      <c r="AF120">
        <f t="shared" si="23"/>
        <v>1913.8600000000006</v>
      </c>
      <c r="AG120">
        <f t="shared" si="24"/>
        <v>0.30277420947053357</v>
      </c>
      <c r="AH120" t="str">
        <f t="shared" si="16"/>
        <v>June</v>
      </c>
      <c r="AI120">
        <f t="shared" si="17"/>
        <v>2024</v>
      </c>
      <c r="AJ120" t="str">
        <f t="shared" si="25"/>
        <v>OK</v>
      </c>
      <c r="AK120" t="str">
        <f t="shared" si="26"/>
        <v>OK</v>
      </c>
      <c r="AL120" t="str">
        <f t="shared" si="27"/>
        <v>Include</v>
      </c>
      <c r="AM120" t="str">
        <f t="shared" si="18"/>
        <v>Clean</v>
      </c>
    </row>
    <row r="121" spans="1:39">
      <c r="A121" t="s">
        <v>467</v>
      </c>
      <c r="B121" s="4">
        <v>45455</v>
      </c>
      <c r="C121" s="4">
        <v>45462</v>
      </c>
      <c r="D121" s="6">
        <v>7</v>
      </c>
      <c r="E121" t="s">
        <v>2788</v>
      </c>
      <c r="F121" t="s">
        <v>2788</v>
      </c>
      <c r="G121" t="s">
        <v>2788</v>
      </c>
      <c r="H121" t="s">
        <v>468</v>
      </c>
      <c r="I121" t="s">
        <v>89</v>
      </c>
      <c r="J121" t="s">
        <v>37</v>
      </c>
      <c r="K121" t="s">
        <v>54</v>
      </c>
      <c r="L121" t="s">
        <v>185</v>
      </c>
      <c r="M121" t="s">
        <v>186</v>
      </c>
      <c r="N121" t="s">
        <v>41</v>
      </c>
      <c r="O121" t="s">
        <v>66</v>
      </c>
      <c r="P121" t="s">
        <v>469</v>
      </c>
      <c r="Q121" t="s">
        <v>59</v>
      </c>
      <c r="R121">
        <v>8</v>
      </c>
      <c r="S121">
        <v>314.05</v>
      </c>
      <c r="T121">
        <v>0.25</v>
      </c>
      <c r="U121">
        <v>1884.3</v>
      </c>
      <c r="V121">
        <v>1517.69</v>
      </c>
      <c r="W121">
        <v>366.61</v>
      </c>
      <c r="X121" t="s">
        <v>102</v>
      </c>
      <c r="Y121" t="s">
        <v>103</v>
      </c>
      <c r="Z121" t="str">
        <f t="shared" si="14"/>
        <v>Unique</v>
      </c>
      <c r="AA121" t="str">
        <f t="shared" si="15"/>
        <v>Unique</v>
      </c>
      <c r="AB121" t="str">
        <f t="shared" si="19"/>
        <v>OK</v>
      </c>
      <c r="AC121">
        <f t="shared" si="20"/>
        <v>0.25</v>
      </c>
      <c r="AD121" t="str">
        <f t="shared" si="21"/>
        <v>OK</v>
      </c>
      <c r="AE121">
        <f t="shared" si="22"/>
        <v>1884.3000000000002</v>
      </c>
      <c r="AF121">
        <f t="shared" si="23"/>
        <v>366.61000000000013</v>
      </c>
      <c r="AG121">
        <f t="shared" si="24"/>
        <v>0.19456031417502526</v>
      </c>
      <c r="AH121" t="str">
        <f t="shared" si="16"/>
        <v>June</v>
      </c>
      <c r="AI121">
        <f t="shared" si="17"/>
        <v>2024</v>
      </c>
      <c r="AJ121" t="str">
        <f t="shared" si="25"/>
        <v>OK</v>
      </c>
      <c r="AK121" t="str">
        <f t="shared" si="26"/>
        <v>OK</v>
      </c>
      <c r="AL121" t="str">
        <f t="shared" si="27"/>
        <v>Exclude</v>
      </c>
      <c r="AM121" t="str">
        <f t="shared" si="18"/>
        <v>Clean</v>
      </c>
    </row>
    <row r="122" spans="1:39">
      <c r="A122" t="s">
        <v>470</v>
      </c>
      <c r="B122" s="4">
        <v>45514</v>
      </c>
      <c r="C122" s="4">
        <v>45522</v>
      </c>
      <c r="D122" s="6">
        <v>8</v>
      </c>
      <c r="E122" t="s">
        <v>2788</v>
      </c>
      <c r="F122" t="s">
        <v>2788</v>
      </c>
      <c r="G122" t="s">
        <v>2788</v>
      </c>
      <c r="H122" t="s">
        <v>471</v>
      </c>
      <c r="I122" t="s">
        <v>132</v>
      </c>
      <c r="J122" t="s">
        <v>37</v>
      </c>
      <c r="K122" t="s">
        <v>38</v>
      </c>
      <c r="L122" t="s">
        <v>145</v>
      </c>
      <c r="M122" t="s">
        <v>146</v>
      </c>
      <c r="N122" t="s">
        <v>74</v>
      </c>
      <c r="O122" t="s">
        <v>171</v>
      </c>
      <c r="P122" t="s">
        <v>472</v>
      </c>
      <c r="Q122" t="s">
        <v>59</v>
      </c>
      <c r="R122">
        <v>1</v>
      </c>
      <c r="S122">
        <v>1823.67</v>
      </c>
      <c r="T122">
        <v>0.2</v>
      </c>
      <c r="U122">
        <v>1458.94</v>
      </c>
      <c r="V122">
        <v>893.2</v>
      </c>
      <c r="W122">
        <v>565.74</v>
      </c>
      <c r="X122" t="s">
        <v>32</v>
      </c>
      <c r="Y122" t="s">
        <v>103</v>
      </c>
      <c r="Z122" t="str">
        <f t="shared" si="14"/>
        <v>Unique</v>
      </c>
      <c r="AA122" t="str">
        <f t="shared" si="15"/>
        <v>Unique</v>
      </c>
      <c r="AB122" t="str">
        <f t="shared" si="19"/>
        <v>OK</v>
      </c>
      <c r="AC122">
        <f t="shared" si="20"/>
        <v>0.2</v>
      </c>
      <c r="AD122" t="str">
        <f t="shared" si="21"/>
        <v>OK</v>
      </c>
      <c r="AE122">
        <f t="shared" si="22"/>
        <v>1458.9360000000001</v>
      </c>
      <c r="AF122">
        <f t="shared" si="23"/>
        <v>565.7360000000001</v>
      </c>
      <c r="AG122">
        <f t="shared" si="24"/>
        <v>0.38777300717783375</v>
      </c>
      <c r="AH122" t="str">
        <f t="shared" si="16"/>
        <v>August</v>
      </c>
      <c r="AI122">
        <f t="shared" si="17"/>
        <v>2024</v>
      </c>
      <c r="AJ122" t="str">
        <f t="shared" si="25"/>
        <v>OK</v>
      </c>
      <c r="AK122" t="str">
        <f t="shared" si="26"/>
        <v>OK</v>
      </c>
      <c r="AL122" t="str">
        <f t="shared" si="27"/>
        <v>Exclude</v>
      </c>
      <c r="AM122" t="str">
        <f t="shared" si="18"/>
        <v>Clean</v>
      </c>
    </row>
    <row r="123" spans="1:39">
      <c r="A123" t="s">
        <v>473</v>
      </c>
      <c r="B123" s="4">
        <v>45891</v>
      </c>
      <c r="C123" s="4">
        <v>45895</v>
      </c>
      <c r="D123" s="6">
        <v>4</v>
      </c>
      <c r="E123" t="s">
        <v>2788</v>
      </c>
      <c r="F123" t="s">
        <v>2788</v>
      </c>
      <c r="G123" t="s">
        <v>2788</v>
      </c>
      <c r="H123" t="s">
        <v>474</v>
      </c>
      <c r="I123" t="s">
        <v>264</v>
      </c>
      <c r="J123" t="s">
        <v>37</v>
      </c>
      <c r="K123" t="s">
        <v>54</v>
      </c>
      <c r="L123" t="s">
        <v>84</v>
      </c>
      <c r="M123" t="s">
        <v>85</v>
      </c>
      <c r="N123" t="s">
        <v>74</v>
      </c>
      <c r="O123" t="s">
        <v>274</v>
      </c>
      <c r="P123" t="s">
        <v>475</v>
      </c>
      <c r="Q123" t="s">
        <v>31</v>
      </c>
      <c r="R123">
        <v>5</v>
      </c>
      <c r="S123">
        <v>3482.92</v>
      </c>
      <c r="T123">
        <v>0</v>
      </c>
      <c r="U123">
        <v>17414.599999999999</v>
      </c>
      <c r="V123">
        <v>11760.91</v>
      </c>
      <c r="W123">
        <v>5653.69</v>
      </c>
      <c r="X123" t="s">
        <v>102</v>
      </c>
      <c r="Y123" t="s">
        <v>68</v>
      </c>
      <c r="Z123" t="str">
        <f t="shared" si="14"/>
        <v>Unique</v>
      </c>
      <c r="AA123" t="str">
        <f t="shared" si="15"/>
        <v>Unique</v>
      </c>
      <c r="AB123" t="str">
        <f t="shared" si="19"/>
        <v>OK</v>
      </c>
      <c r="AC123">
        <f t="shared" si="20"/>
        <v>0</v>
      </c>
      <c r="AD123" t="str">
        <f t="shared" si="21"/>
        <v>OK</v>
      </c>
      <c r="AE123">
        <f t="shared" si="22"/>
        <v>17414.599999999999</v>
      </c>
      <c r="AF123">
        <f t="shared" si="23"/>
        <v>5653.6899999999987</v>
      </c>
      <c r="AG123">
        <f t="shared" si="24"/>
        <v>0.3246523032398102</v>
      </c>
      <c r="AH123" t="str">
        <f t="shared" si="16"/>
        <v>August</v>
      </c>
      <c r="AI123">
        <f t="shared" si="17"/>
        <v>2025</v>
      </c>
      <c r="AJ123" t="str">
        <f t="shared" si="25"/>
        <v>OK</v>
      </c>
      <c r="AK123" t="str">
        <f t="shared" si="26"/>
        <v>OK</v>
      </c>
      <c r="AL123" t="str">
        <f t="shared" si="27"/>
        <v>Exclude</v>
      </c>
      <c r="AM123" t="str">
        <f t="shared" si="18"/>
        <v>Clean</v>
      </c>
    </row>
    <row r="124" spans="1:39">
      <c r="A124" t="s">
        <v>476</v>
      </c>
      <c r="B124" s="4">
        <v>45626</v>
      </c>
      <c r="C124" s="4">
        <v>45630</v>
      </c>
      <c r="D124" s="6">
        <v>4</v>
      </c>
      <c r="E124" t="s">
        <v>2788</v>
      </c>
      <c r="F124" t="s">
        <v>2788</v>
      </c>
      <c r="G124" t="s">
        <v>2788</v>
      </c>
      <c r="H124" t="s">
        <v>477</v>
      </c>
      <c r="I124" t="s">
        <v>62</v>
      </c>
      <c r="J124" t="s">
        <v>37</v>
      </c>
      <c r="K124" t="s">
        <v>38</v>
      </c>
      <c r="L124" t="s">
        <v>166</v>
      </c>
      <c r="M124" t="s">
        <v>167</v>
      </c>
      <c r="N124" t="s">
        <v>41</v>
      </c>
      <c r="O124" t="s">
        <v>66</v>
      </c>
      <c r="P124" t="s">
        <v>478</v>
      </c>
      <c r="Q124" t="s">
        <v>31</v>
      </c>
      <c r="R124">
        <v>3</v>
      </c>
      <c r="S124">
        <v>170.35</v>
      </c>
      <c r="T124">
        <v>0</v>
      </c>
      <c r="U124">
        <v>511.05</v>
      </c>
      <c r="V124">
        <v>367.18</v>
      </c>
      <c r="W124">
        <v>143.87</v>
      </c>
      <c r="X124" t="s">
        <v>32</v>
      </c>
      <c r="Y124" t="s">
        <v>33</v>
      </c>
      <c r="Z124" t="str">
        <f t="shared" si="14"/>
        <v>Unique</v>
      </c>
      <c r="AA124" t="str">
        <f t="shared" si="15"/>
        <v>Unique</v>
      </c>
      <c r="AB124" t="str">
        <f t="shared" si="19"/>
        <v>OK</v>
      </c>
      <c r="AC124">
        <f t="shared" si="20"/>
        <v>0</v>
      </c>
      <c r="AD124" t="str">
        <f t="shared" si="21"/>
        <v>OK</v>
      </c>
      <c r="AE124">
        <f t="shared" si="22"/>
        <v>511.04999999999995</v>
      </c>
      <c r="AF124">
        <f t="shared" si="23"/>
        <v>143.86999999999995</v>
      </c>
      <c r="AG124">
        <f t="shared" si="24"/>
        <v>0.28151844242246349</v>
      </c>
      <c r="AH124" t="str">
        <f t="shared" si="16"/>
        <v>November</v>
      </c>
      <c r="AI124">
        <f t="shared" si="17"/>
        <v>2024</v>
      </c>
      <c r="AJ124" t="str">
        <f t="shared" si="25"/>
        <v>OK</v>
      </c>
      <c r="AK124" t="str">
        <f t="shared" si="26"/>
        <v>OK</v>
      </c>
      <c r="AL124" t="str">
        <f t="shared" si="27"/>
        <v>Include</v>
      </c>
      <c r="AM124" t="str">
        <f t="shared" si="18"/>
        <v>Clean</v>
      </c>
    </row>
    <row r="125" spans="1:39">
      <c r="A125" t="s">
        <v>479</v>
      </c>
      <c r="B125" s="4">
        <v>45436</v>
      </c>
      <c r="C125" s="4">
        <v>45437</v>
      </c>
      <c r="D125" s="6">
        <v>1</v>
      </c>
      <c r="E125" t="s">
        <v>2788</v>
      </c>
      <c r="F125" t="s">
        <v>2788</v>
      </c>
      <c r="G125" t="s">
        <v>2788</v>
      </c>
      <c r="H125" t="s">
        <v>480</v>
      </c>
      <c r="I125" t="s">
        <v>132</v>
      </c>
      <c r="J125" t="s">
        <v>37</v>
      </c>
      <c r="K125" t="s">
        <v>25</v>
      </c>
      <c r="L125" t="s">
        <v>122</v>
      </c>
      <c r="M125" t="s">
        <v>123</v>
      </c>
      <c r="N125" t="s">
        <v>74</v>
      </c>
      <c r="O125" t="s">
        <v>80</v>
      </c>
      <c r="P125" t="s">
        <v>481</v>
      </c>
      <c r="Q125" t="s">
        <v>44</v>
      </c>
      <c r="R125">
        <v>1</v>
      </c>
      <c r="S125">
        <v>634.13</v>
      </c>
      <c r="T125">
        <v>0</v>
      </c>
      <c r="U125">
        <v>634.13</v>
      </c>
      <c r="V125">
        <v>453.35</v>
      </c>
      <c r="W125">
        <v>180.78</v>
      </c>
      <c r="X125" t="s">
        <v>102</v>
      </c>
      <c r="Y125" t="s">
        <v>68</v>
      </c>
      <c r="Z125" t="str">
        <f t="shared" si="14"/>
        <v>Exact Duplicate</v>
      </c>
      <c r="AA125" t="str">
        <f t="shared" si="15"/>
        <v>Duplicate Order ID</v>
      </c>
      <c r="AB125" t="str">
        <f t="shared" si="19"/>
        <v>OK</v>
      </c>
      <c r="AC125">
        <f t="shared" si="20"/>
        <v>0</v>
      </c>
      <c r="AD125" t="str">
        <f t="shared" si="21"/>
        <v>OK</v>
      </c>
      <c r="AE125">
        <f t="shared" si="22"/>
        <v>634.13</v>
      </c>
      <c r="AF125">
        <f t="shared" si="23"/>
        <v>180.77999999999997</v>
      </c>
      <c r="AG125">
        <f t="shared" si="24"/>
        <v>0.28508350022865969</v>
      </c>
      <c r="AH125" t="str">
        <f t="shared" si="16"/>
        <v>May</v>
      </c>
      <c r="AI125">
        <f t="shared" si="17"/>
        <v>2024</v>
      </c>
      <c r="AJ125" t="str">
        <f t="shared" si="25"/>
        <v>OK</v>
      </c>
      <c r="AK125" t="str">
        <f t="shared" si="26"/>
        <v>OK</v>
      </c>
      <c r="AL125" t="str">
        <f t="shared" si="27"/>
        <v>Exclude</v>
      </c>
      <c r="AM125" t="str">
        <f t="shared" si="18"/>
        <v>Clean</v>
      </c>
    </row>
    <row r="126" spans="1:39">
      <c r="A126" t="s">
        <v>482</v>
      </c>
      <c r="B126" s="4">
        <v>45494</v>
      </c>
      <c r="C126" s="4">
        <v>45497</v>
      </c>
      <c r="D126" s="6">
        <v>3</v>
      </c>
      <c r="E126" t="s">
        <v>2788</v>
      </c>
      <c r="F126" t="s">
        <v>2788</v>
      </c>
      <c r="G126" t="s">
        <v>2788</v>
      </c>
      <c r="H126" t="s">
        <v>483</v>
      </c>
      <c r="I126" t="s">
        <v>47</v>
      </c>
      <c r="J126" t="s">
        <v>90</v>
      </c>
      <c r="K126" t="s">
        <v>54</v>
      </c>
      <c r="L126" t="s">
        <v>175</v>
      </c>
      <c r="M126" t="s">
        <v>176</v>
      </c>
      <c r="N126" t="s">
        <v>74</v>
      </c>
      <c r="O126" t="s">
        <v>80</v>
      </c>
      <c r="P126" t="s">
        <v>484</v>
      </c>
      <c r="Q126" t="s">
        <v>59</v>
      </c>
      <c r="R126">
        <v>9</v>
      </c>
      <c r="S126">
        <v>465.06</v>
      </c>
      <c r="T126">
        <v>-0.15</v>
      </c>
      <c r="U126">
        <v>4185.54</v>
      </c>
      <c r="V126">
        <v>3443.74</v>
      </c>
      <c r="W126">
        <v>741.8</v>
      </c>
      <c r="X126" t="s">
        <v>32</v>
      </c>
      <c r="Y126" t="s">
        <v>33</v>
      </c>
      <c r="Z126" t="str">
        <f t="shared" si="14"/>
        <v>Unique</v>
      </c>
      <c r="AA126" t="str">
        <f t="shared" si="15"/>
        <v>Unique</v>
      </c>
      <c r="AB126" t="str">
        <f t="shared" si="19"/>
        <v>OK</v>
      </c>
      <c r="AC126">
        <f t="shared" si="20"/>
        <v>-0.15</v>
      </c>
      <c r="AD126" t="str">
        <f t="shared" si="21"/>
        <v>Invalid Negative Discount</v>
      </c>
      <c r="AE126">
        <f t="shared" si="22"/>
        <v>4813.3709999999992</v>
      </c>
      <c r="AF126">
        <f t="shared" si="23"/>
        <v>1369.6309999999994</v>
      </c>
      <c r="AG126">
        <f t="shared" si="24"/>
        <v>0.28454715001191466</v>
      </c>
      <c r="AH126" t="str">
        <f t="shared" si="16"/>
        <v>July</v>
      </c>
      <c r="AI126">
        <f t="shared" si="17"/>
        <v>2024</v>
      </c>
      <c r="AJ126" t="str">
        <f t="shared" si="25"/>
        <v>Sales Mismatch</v>
      </c>
      <c r="AK126" t="str">
        <f t="shared" si="26"/>
        <v>Profit Mismatch</v>
      </c>
      <c r="AL126" t="str">
        <f t="shared" si="27"/>
        <v>Include</v>
      </c>
      <c r="AM126" t="str">
        <f t="shared" si="18"/>
        <v>Invalid</v>
      </c>
    </row>
    <row r="127" spans="1:39">
      <c r="A127" t="s">
        <v>485</v>
      </c>
      <c r="B127" s="4">
        <v>45855</v>
      </c>
      <c r="C127" s="4">
        <v>45856</v>
      </c>
      <c r="D127" s="6">
        <v>1</v>
      </c>
      <c r="E127" t="s">
        <v>2788</v>
      </c>
      <c r="F127" t="s">
        <v>2788</v>
      </c>
      <c r="G127" t="s">
        <v>2788</v>
      </c>
      <c r="H127" t="s">
        <v>486</v>
      </c>
      <c r="I127" t="s">
        <v>79</v>
      </c>
      <c r="J127" t="s">
        <v>37</v>
      </c>
      <c r="K127" t="s">
        <v>63</v>
      </c>
      <c r="L127" t="s">
        <v>26</v>
      </c>
      <c r="M127" t="s">
        <v>109</v>
      </c>
      <c r="N127" t="s">
        <v>41</v>
      </c>
      <c r="O127" t="s">
        <v>42</v>
      </c>
      <c r="P127" t="s">
        <v>487</v>
      </c>
      <c r="Q127" t="s">
        <v>44</v>
      </c>
      <c r="R127">
        <v>6</v>
      </c>
      <c r="S127">
        <v>3235.27</v>
      </c>
      <c r="T127">
        <v>0.25</v>
      </c>
      <c r="U127">
        <v>14558.72</v>
      </c>
      <c r="V127">
        <v>9591.48</v>
      </c>
      <c r="W127">
        <v>4967.24</v>
      </c>
      <c r="X127" t="s">
        <v>102</v>
      </c>
      <c r="Y127" t="s">
        <v>103</v>
      </c>
      <c r="Z127" t="str">
        <f t="shared" si="14"/>
        <v>Unique</v>
      </c>
      <c r="AA127" t="str">
        <f t="shared" si="15"/>
        <v>Unique</v>
      </c>
      <c r="AB127" t="str">
        <f t="shared" si="19"/>
        <v>OK</v>
      </c>
      <c r="AC127">
        <f t="shared" si="20"/>
        <v>0.25</v>
      </c>
      <c r="AD127" t="str">
        <f t="shared" si="21"/>
        <v>OK</v>
      </c>
      <c r="AE127">
        <f t="shared" si="22"/>
        <v>14558.715</v>
      </c>
      <c r="AF127">
        <f t="shared" si="23"/>
        <v>4967.2350000000006</v>
      </c>
      <c r="AG127">
        <f t="shared" si="24"/>
        <v>0.34118636157105903</v>
      </c>
      <c r="AH127" t="str">
        <f t="shared" si="16"/>
        <v>July</v>
      </c>
      <c r="AI127">
        <f t="shared" si="17"/>
        <v>2025</v>
      </c>
      <c r="AJ127" t="str">
        <f t="shared" si="25"/>
        <v>OK</v>
      </c>
      <c r="AK127" t="str">
        <f t="shared" si="26"/>
        <v>OK</v>
      </c>
      <c r="AL127" t="str">
        <f t="shared" si="27"/>
        <v>Exclude</v>
      </c>
      <c r="AM127" t="str">
        <f t="shared" si="18"/>
        <v>Clean</v>
      </c>
    </row>
    <row r="128" spans="1:39">
      <c r="A128" t="s">
        <v>488</v>
      </c>
      <c r="B128" s="4">
        <v>45924</v>
      </c>
      <c r="C128" s="4">
        <v>45926</v>
      </c>
      <c r="D128" s="6">
        <v>2</v>
      </c>
      <c r="E128" t="s">
        <v>2788</v>
      </c>
      <c r="F128" t="s">
        <v>2788</v>
      </c>
      <c r="G128" t="s">
        <v>2788</v>
      </c>
      <c r="H128" t="s">
        <v>489</v>
      </c>
      <c r="I128" t="s">
        <v>114</v>
      </c>
      <c r="J128" t="s">
        <v>90</v>
      </c>
      <c r="K128" t="s">
        <v>25</v>
      </c>
      <c r="L128" t="s">
        <v>350</v>
      </c>
      <c r="M128" t="s">
        <v>351</v>
      </c>
      <c r="N128" t="s">
        <v>74</v>
      </c>
      <c r="O128" t="s">
        <v>80</v>
      </c>
      <c r="P128" t="s">
        <v>490</v>
      </c>
      <c r="Q128" t="s">
        <v>59</v>
      </c>
      <c r="R128">
        <v>3</v>
      </c>
      <c r="S128">
        <v>1593.86</v>
      </c>
      <c r="T128">
        <v>0.1</v>
      </c>
      <c r="U128">
        <v>4303.42</v>
      </c>
      <c r="V128">
        <v>2568.5700000000002</v>
      </c>
      <c r="W128">
        <v>1734.85</v>
      </c>
      <c r="X128" t="s">
        <v>32</v>
      </c>
      <c r="Y128" t="s">
        <v>33</v>
      </c>
      <c r="Z128" t="str">
        <f t="shared" si="14"/>
        <v>Unique</v>
      </c>
      <c r="AA128" t="str">
        <f t="shared" si="15"/>
        <v>Unique</v>
      </c>
      <c r="AB128" t="str">
        <f t="shared" si="19"/>
        <v>OK</v>
      </c>
      <c r="AC128">
        <f t="shared" si="20"/>
        <v>0.1</v>
      </c>
      <c r="AD128" t="str">
        <f t="shared" si="21"/>
        <v>OK</v>
      </c>
      <c r="AE128">
        <f t="shared" si="22"/>
        <v>4303.4220000000005</v>
      </c>
      <c r="AF128">
        <f t="shared" si="23"/>
        <v>1734.8520000000003</v>
      </c>
      <c r="AG128">
        <f t="shared" si="24"/>
        <v>0.40313313451481175</v>
      </c>
      <c r="AH128" t="str">
        <f t="shared" si="16"/>
        <v>September</v>
      </c>
      <c r="AI128">
        <f t="shared" si="17"/>
        <v>2025</v>
      </c>
      <c r="AJ128" t="str">
        <f t="shared" si="25"/>
        <v>OK</v>
      </c>
      <c r="AK128" t="str">
        <f t="shared" si="26"/>
        <v>OK</v>
      </c>
      <c r="AL128" t="str">
        <f t="shared" si="27"/>
        <v>Include</v>
      </c>
      <c r="AM128" t="str">
        <f t="shared" si="18"/>
        <v>Clean</v>
      </c>
    </row>
    <row r="129" spans="1:39">
      <c r="A129" t="s">
        <v>491</v>
      </c>
      <c r="B129" s="4">
        <v>45687</v>
      </c>
      <c r="C129" s="4">
        <v>45683</v>
      </c>
      <c r="D129" s="6">
        <v>-4</v>
      </c>
      <c r="E129" t="s">
        <v>2788</v>
      </c>
      <c r="F129" t="s">
        <v>2788</v>
      </c>
      <c r="G129" t="s">
        <v>2790</v>
      </c>
      <c r="H129" t="s">
        <v>492</v>
      </c>
      <c r="I129" t="s">
        <v>114</v>
      </c>
      <c r="J129" t="s">
        <v>90</v>
      </c>
      <c r="K129" t="s">
        <v>63</v>
      </c>
      <c r="L129" t="s">
        <v>72</v>
      </c>
      <c r="M129" t="s">
        <v>73</v>
      </c>
      <c r="N129" t="s">
        <v>28</v>
      </c>
      <c r="O129" t="s">
        <v>124</v>
      </c>
      <c r="P129" t="s">
        <v>493</v>
      </c>
      <c r="Q129" t="s">
        <v>31</v>
      </c>
      <c r="R129">
        <v>2</v>
      </c>
      <c r="S129">
        <v>3039.3</v>
      </c>
      <c r="T129">
        <v>0.05</v>
      </c>
      <c r="U129">
        <v>5774.67</v>
      </c>
      <c r="V129">
        <v>3518.36</v>
      </c>
      <c r="W129">
        <v>2256.31</v>
      </c>
      <c r="X129" t="s">
        <v>32</v>
      </c>
      <c r="Y129" t="s">
        <v>33</v>
      </c>
      <c r="Z129" t="str">
        <f t="shared" si="14"/>
        <v>Exact Duplicate</v>
      </c>
      <c r="AA129" t="str">
        <f t="shared" si="15"/>
        <v>Duplicate Order ID</v>
      </c>
      <c r="AB129" t="str">
        <f t="shared" si="19"/>
        <v>OK</v>
      </c>
      <c r="AC129">
        <f t="shared" si="20"/>
        <v>0.05</v>
      </c>
      <c r="AD129" t="str">
        <f t="shared" si="21"/>
        <v>OK</v>
      </c>
      <c r="AE129">
        <f t="shared" si="22"/>
        <v>5774.67</v>
      </c>
      <c r="AF129">
        <f t="shared" si="23"/>
        <v>2256.31</v>
      </c>
      <c r="AG129">
        <f t="shared" si="24"/>
        <v>0.39072535746631409</v>
      </c>
      <c r="AH129" t="str">
        <f t="shared" si="16"/>
        <v>January</v>
      </c>
      <c r="AI129">
        <f t="shared" si="17"/>
        <v>2025</v>
      </c>
      <c r="AJ129" t="str">
        <f t="shared" si="25"/>
        <v>OK</v>
      </c>
      <c r="AK129" t="str">
        <f t="shared" si="26"/>
        <v>OK</v>
      </c>
      <c r="AL129" t="str">
        <f t="shared" si="27"/>
        <v>Include</v>
      </c>
      <c r="AM129" t="str">
        <f t="shared" si="18"/>
        <v>Warning</v>
      </c>
    </row>
    <row r="130" spans="1:39">
      <c r="A130" t="s">
        <v>494</v>
      </c>
      <c r="B130" s="4">
        <v>45639</v>
      </c>
      <c r="C130" s="4">
        <v>45642</v>
      </c>
      <c r="D130" s="6">
        <v>3</v>
      </c>
      <c r="E130" t="s">
        <v>2788</v>
      </c>
      <c r="F130" t="s">
        <v>2788</v>
      </c>
      <c r="G130" t="s">
        <v>2788</v>
      </c>
      <c r="H130" t="s">
        <v>495</v>
      </c>
      <c r="I130" t="s">
        <v>79</v>
      </c>
      <c r="J130" t="s">
        <v>37</v>
      </c>
      <c r="K130" t="s">
        <v>38</v>
      </c>
      <c r="L130" t="s">
        <v>39</v>
      </c>
      <c r="M130" t="s">
        <v>40</v>
      </c>
      <c r="N130" t="s">
        <v>41</v>
      </c>
      <c r="O130" t="s">
        <v>57</v>
      </c>
      <c r="P130" t="s">
        <v>496</v>
      </c>
      <c r="Q130" t="s">
        <v>59</v>
      </c>
      <c r="R130">
        <v>5</v>
      </c>
      <c r="S130">
        <v>923.45</v>
      </c>
      <c r="T130">
        <v>0.05</v>
      </c>
      <c r="U130">
        <v>4386.3900000000003</v>
      </c>
      <c r="V130">
        <v>3366.88</v>
      </c>
      <c r="W130">
        <v>1019.51</v>
      </c>
      <c r="X130" t="s">
        <v>32</v>
      </c>
      <c r="Y130" t="s">
        <v>103</v>
      </c>
      <c r="Z130" t="str">
        <f t="shared" ref="Z130:Z193" si="28">IF(COUNTIFS($A:$A,A130,$B:$B,B130,$C:$C,C130,$H:$H,H130,$U:$U,U130,$W:$W,W130)&gt;1,"Exact Duplicate","Unique")</f>
        <v>Unique</v>
      </c>
      <c r="AA130" t="str">
        <f t="shared" ref="AA130:AA193" si="29">IF(COUNTIF($A:$A,A130)&gt;1,"Duplicate Order ID","Unique")</f>
        <v>Unique</v>
      </c>
      <c r="AB130" t="str">
        <f t="shared" si="19"/>
        <v>OK</v>
      </c>
      <c r="AC130">
        <f t="shared" si="20"/>
        <v>0.05</v>
      </c>
      <c r="AD130" t="str">
        <f t="shared" si="21"/>
        <v>OK</v>
      </c>
      <c r="AE130">
        <f t="shared" si="22"/>
        <v>4386.3874999999998</v>
      </c>
      <c r="AF130">
        <f t="shared" si="23"/>
        <v>1019.5074999999997</v>
      </c>
      <c r="AG130">
        <f t="shared" si="24"/>
        <v>0.2324253158208206</v>
      </c>
      <c r="AH130" t="str">
        <f t="shared" ref="AH130:AH193" si="30">IFERROR(TEXT(B130,"mmmm"),"")</f>
        <v>December</v>
      </c>
      <c r="AI130">
        <f t="shared" ref="AI130:AI193" si="31">IFERROR(YEAR(B130),"")</f>
        <v>2024</v>
      </c>
      <c r="AJ130" t="str">
        <f t="shared" si="25"/>
        <v>OK</v>
      </c>
      <c r="AK130" t="str">
        <f t="shared" si="26"/>
        <v>OK</v>
      </c>
      <c r="AL130" t="str">
        <f t="shared" si="27"/>
        <v>Exclude</v>
      </c>
      <c r="AM130" t="str">
        <f t="shared" ref="AM130:AM193" si="32">IF(OR(E130&lt;&gt;"OK",F130&lt;&gt;"OK",AD130&lt;&gt;"OK",AB130="Conflicting Duplicate"),"Invalid",IF(OR(G130&lt;&gt;"OK",AJ130&lt;&gt;"OK",AK130&lt;&gt;"OK"),"Warning","Clean"))</f>
        <v>Clean</v>
      </c>
    </row>
    <row r="131" spans="1:39">
      <c r="A131" t="s">
        <v>497</v>
      </c>
      <c r="B131" s="4">
        <v>45492</v>
      </c>
      <c r="C131" s="4">
        <v>45498</v>
      </c>
      <c r="D131" s="6">
        <v>6</v>
      </c>
      <c r="E131" t="s">
        <v>2788</v>
      </c>
      <c r="F131" t="s">
        <v>2788</v>
      </c>
      <c r="G131" t="s">
        <v>2788</v>
      </c>
      <c r="H131" t="s">
        <v>498</v>
      </c>
      <c r="I131" t="s">
        <v>47</v>
      </c>
      <c r="J131" t="s">
        <v>37</v>
      </c>
      <c r="K131" t="s">
        <v>63</v>
      </c>
      <c r="L131" t="s">
        <v>190</v>
      </c>
      <c r="M131" t="s">
        <v>191</v>
      </c>
      <c r="N131" t="s">
        <v>28</v>
      </c>
      <c r="O131" t="s">
        <v>153</v>
      </c>
      <c r="P131" t="s">
        <v>499</v>
      </c>
      <c r="Q131" t="s">
        <v>59</v>
      </c>
      <c r="R131">
        <v>7</v>
      </c>
      <c r="S131">
        <v>2741.29</v>
      </c>
      <c r="T131">
        <v>0.05</v>
      </c>
      <c r="U131">
        <v>18229.580000000002</v>
      </c>
      <c r="V131">
        <v>15139.15</v>
      </c>
      <c r="W131">
        <v>3090.43</v>
      </c>
      <c r="X131" t="s">
        <v>32</v>
      </c>
      <c r="Y131" t="s">
        <v>33</v>
      </c>
      <c r="Z131" t="str">
        <f t="shared" si="28"/>
        <v>Unique</v>
      </c>
      <c r="AA131" t="str">
        <f t="shared" si="29"/>
        <v>Unique</v>
      </c>
      <c r="AB131" t="str">
        <f t="shared" ref="AB131:AB194" si="33">IF(AND(AA131="Duplicate Order ID",Z131&lt;&gt;"Exact Duplicate"),"Conflicting Duplicate","OK")</f>
        <v>OK</v>
      </c>
      <c r="AC131">
        <f t="shared" ref="AC131:AC194" si="34">IF(OR(T131="",ISBLANK(T131)),0,T131)</f>
        <v>0.05</v>
      </c>
      <c r="AD131" t="str">
        <f t="shared" ref="AD131:AD194" si="35">IF(AC131&lt;0,"Invalid Negative Discount",IF(AC131&gt;1,"Invalid High Discount","OK"))</f>
        <v>OK</v>
      </c>
      <c r="AE131">
        <f t="shared" ref="AE131:AE194" si="36">R131*S131*(1-AC131)</f>
        <v>18229.5785</v>
      </c>
      <c r="AF131">
        <f t="shared" ref="AF131:AF194" si="37">AE131-V131</f>
        <v>3090.4285</v>
      </c>
      <c r="AG131">
        <f t="shared" ref="AG131:AG194" si="38">IF(AE131=0,0,AF131/AE131)</f>
        <v>0.16952824773211295</v>
      </c>
      <c r="AH131" t="str">
        <f t="shared" si="30"/>
        <v>July</v>
      </c>
      <c r="AI131">
        <f t="shared" si="31"/>
        <v>2024</v>
      </c>
      <c r="AJ131" t="str">
        <f t="shared" ref="AJ131:AJ194" si="39">IF(ABS(U131-AE131)&gt;1,"Sales Mismatch","OK")</f>
        <v>OK</v>
      </c>
      <c r="AK131" t="str">
        <f t="shared" ref="AK131:AK194" si="40">IF(ABS(W131-AF131)&gt;1,"Profit Mismatch","OK")</f>
        <v>OK</v>
      </c>
      <c r="AL131" t="str">
        <f t="shared" ref="AL131:AL194" si="41">IF(AND(X131="Paid",Y131="Completed"),"Include","Exclude")</f>
        <v>Include</v>
      </c>
      <c r="AM131" t="str">
        <f t="shared" si="32"/>
        <v>Clean</v>
      </c>
    </row>
    <row r="132" spans="1:39">
      <c r="A132" t="s">
        <v>500</v>
      </c>
      <c r="B132" s="4">
        <v>45318</v>
      </c>
      <c r="C132" s="4">
        <v>45324</v>
      </c>
      <c r="D132" s="6">
        <v>6</v>
      </c>
      <c r="E132" t="s">
        <v>2788</v>
      </c>
      <c r="F132" t="s">
        <v>2788</v>
      </c>
      <c r="G132" t="s">
        <v>2788</v>
      </c>
      <c r="H132" t="s">
        <v>501</v>
      </c>
      <c r="I132" t="s">
        <v>53</v>
      </c>
      <c r="J132" t="s">
        <v>24</v>
      </c>
      <c r="K132" t="s">
        <v>63</v>
      </c>
      <c r="L132" t="s">
        <v>180</v>
      </c>
      <c r="M132" t="s">
        <v>181</v>
      </c>
      <c r="N132" t="s">
        <v>28</v>
      </c>
      <c r="O132" t="s">
        <v>91</v>
      </c>
      <c r="P132" t="s">
        <v>502</v>
      </c>
      <c r="Q132" t="s">
        <v>44</v>
      </c>
      <c r="R132">
        <v>5</v>
      </c>
      <c r="S132">
        <v>218.42</v>
      </c>
      <c r="T132">
        <v>0.2</v>
      </c>
      <c r="U132">
        <v>873.68</v>
      </c>
      <c r="V132">
        <v>661.72</v>
      </c>
      <c r="W132">
        <v>211.96</v>
      </c>
      <c r="X132" t="s">
        <v>111</v>
      </c>
      <c r="Y132" t="s">
        <v>68</v>
      </c>
      <c r="Z132" t="str">
        <f t="shared" si="28"/>
        <v>Unique</v>
      </c>
      <c r="AA132" t="str">
        <f t="shared" si="29"/>
        <v>Unique</v>
      </c>
      <c r="AB132" t="str">
        <f t="shared" si="33"/>
        <v>OK</v>
      </c>
      <c r="AC132">
        <f t="shared" si="34"/>
        <v>0.2</v>
      </c>
      <c r="AD132" t="str">
        <f t="shared" si="35"/>
        <v>OK</v>
      </c>
      <c r="AE132">
        <f t="shared" si="36"/>
        <v>873.68</v>
      </c>
      <c r="AF132">
        <f t="shared" si="37"/>
        <v>211.95999999999992</v>
      </c>
      <c r="AG132">
        <f t="shared" si="38"/>
        <v>0.24260598846259493</v>
      </c>
      <c r="AH132" t="str">
        <f t="shared" si="30"/>
        <v>January</v>
      </c>
      <c r="AI132">
        <f t="shared" si="31"/>
        <v>2024</v>
      </c>
      <c r="AJ132" t="str">
        <f t="shared" si="39"/>
        <v>OK</v>
      </c>
      <c r="AK132" t="str">
        <f t="shared" si="40"/>
        <v>OK</v>
      </c>
      <c r="AL132" t="str">
        <f t="shared" si="41"/>
        <v>Exclude</v>
      </c>
      <c r="AM132" t="str">
        <f t="shared" si="32"/>
        <v>Clean</v>
      </c>
    </row>
    <row r="133" spans="1:39">
      <c r="A133" t="s">
        <v>503</v>
      </c>
      <c r="B133" s="4">
        <v>45929</v>
      </c>
      <c r="C133" s="4">
        <v>45934</v>
      </c>
      <c r="D133" s="6">
        <v>5</v>
      </c>
      <c r="E133" t="s">
        <v>2788</v>
      </c>
      <c r="F133" t="s">
        <v>2788</v>
      </c>
      <c r="G133" t="s">
        <v>2788</v>
      </c>
      <c r="H133" t="s">
        <v>504</v>
      </c>
      <c r="I133" t="s">
        <v>62</v>
      </c>
      <c r="J133" t="s">
        <v>95</v>
      </c>
      <c r="K133" t="s">
        <v>38</v>
      </c>
      <c r="L133" t="s">
        <v>228</v>
      </c>
      <c r="M133" t="s">
        <v>229</v>
      </c>
      <c r="N133" t="s">
        <v>28</v>
      </c>
      <c r="O133" t="s">
        <v>29</v>
      </c>
      <c r="P133" t="s">
        <v>505</v>
      </c>
      <c r="Q133" t="s">
        <v>44</v>
      </c>
      <c r="R133">
        <v>9</v>
      </c>
      <c r="S133">
        <v>373.91</v>
      </c>
      <c r="T133">
        <v>0.2</v>
      </c>
      <c r="U133">
        <v>2692.15</v>
      </c>
      <c r="V133">
        <v>2044.49</v>
      </c>
      <c r="W133">
        <v>647.66</v>
      </c>
      <c r="X133" t="s">
        <v>32</v>
      </c>
      <c r="Y133" t="s">
        <v>33</v>
      </c>
      <c r="Z133" t="str">
        <f t="shared" si="28"/>
        <v>Unique</v>
      </c>
      <c r="AA133" t="str">
        <f t="shared" si="29"/>
        <v>Unique</v>
      </c>
      <c r="AB133" t="str">
        <f t="shared" si="33"/>
        <v>OK</v>
      </c>
      <c r="AC133">
        <f t="shared" si="34"/>
        <v>0.2</v>
      </c>
      <c r="AD133" t="str">
        <f t="shared" si="35"/>
        <v>OK</v>
      </c>
      <c r="AE133">
        <f t="shared" si="36"/>
        <v>2692.152</v>
      </c>
      <c r="AF133">
        <f t="shared" si="37"/>
        <v>647.66200000000003</v>
      </c>
      <c r="AG133">
        <f t="shared" si="38"/>
        <v>0.24057408348414205</v>
      </c>
      <c r="AH133" t="str">
        <f t="shared" si="30"/>
        <v>September</v>
      </c>
      <c r="AI133">
        <f t="shared" si="31"/>
        <v>2025</v>
      </c>
      <c r="AJ133" t="str">
        <f t="shared" si="39"/>
        <v>OK</v>
      </c>
      <c r="AK133" t="str">
        <f t="shared" si="40"/>
        <v>OK</v>
      </c>
      <c r="AL133" t="str">
        <f t="shared" si="41"/>
        <v>Include</v>
      </c>
      <c r="AM133" t="str">
        <f t="shared" si="32"/>
        <v>Clean</v>
      </c>
    </row>
    <row r="134" spans="1:39">
      <c r="A134" t="s">
        <v>506</v>
      </c>
      <c r="B134" s="4">
        <v>45600</v>
      </c>
      <c r="C134" s="4">
        <v>45600</v>
      </c>
      <c r="D134" s="6">
        <v>0</v>
      </c>
      <c r="E134" t="s">
        <v>2788</v>
      </c>
      <c r="F134" t="s">
        <v>2788</v>
      </c>
      <c r="G134" t="s">
        <v>2788</v>
      </c>
      <c r="H134" t="s">
        <v>507</v>
      </c>
      <c r="I134" t="s">
        <v>264</v>
      </c>
      <c r="J134" t="s">
        <v>90</v>
      </c>
      <c r="K134" t="s">
        <v>38</v>
      </c>
      <c r="L134" t="s">
        <v>166</v>
      </c>
      <c r="M134" t="s">
        <v>167</v>
      </c>
      <c r="N134" t="s">
        <v>74</v>
      </c>
      <c r="O134" t="s">
        <v>274</v>
      </c>
      <c r="P134" t="s">
        <v>508</v>
      </c>
      <c r="Q134" t="s">
        <v>50</v>
      </c>
      <c r="R134">
        <v>2</v>
      </c>
      <c r="S134">
        <v>533.08000000000004</v>
      </c>
      <c r="T134">
        <v>0</v>
      </c>
      <c r="U134">
        <v>1066.1600000000001</v>
      </c>
      <c r="V134">
        <v>656.3</v>
      </c>
      <c r="W134">
        <v>409.86</v>
      </c>
      <c r="X134" t="s">
        <v>155</v>
      </c>
      <c r="Y134" t="s">
        <v>68</v>
      </c>
      <c r="Z134" t="str">
        <f t="shared" si="28"/>
        <v>Unique</v>
      </c>
      <c r="AA134" t="str">
        <f t="shared" si="29"/>
        <v>Unique</v>
      </c>
      <c r="AB134" t="str">
        <f t="shared" si="33"/>
        <v>OK</v>
      </c>
      <c r="AC134">
        <f t="shared" si="34"/>
        <v>0</v>
      </c>
      <c r="AD134" t="str">
        <f t="shared" si="35"/>
        <v>OK</v>
      </c>
      <c r="AE134">
        <f t="shared" si="36"/>
        <v>1066.1600000000001</v>
      </c>
      <c r="AF134">
        <f t="shared" si="37"/>
        <v>409.86000000000013</v>
      </c>
      <c r="AG134">
        <f t="shared" si="38"/>
        <v>0.38442635251744589</v>
      </c>
      <c r="AH134" t="str">
        <f t="shared" si="30"/>
        <v>November</v>
      </c>
      <c r="AI134">
        <f t="shared" si="31"/>
        <v>2024</v>
      </c>
      <c r="AJ134" t="str">
        <f t="shared" si="39"/>
        <v>OK</v>
      </c>
      <c r="AK134" t="str">
        <f t="shared" si="40"/>
        <v>OK</v>
      </c>
      <c r="AL134" t="str">
        <f t="shared" si="41"/>
        <v>Exclude</v>
      </c>
      <c r="AM134" t="str">
        <f t="shared" si="32"/>
        <v>Clean</v>
      </c>
    </row>
    <row r="135" spans="1:39">
      <c r="A135" t="s">
        <v>509</v>
      </c>
      <c r="B135" s="4">
        <v>45639</v>
      </c>
      <c r="C135" s="4">
        <v>45644</v>
      </c>
      <c r="D135" s="6">
        <v>5</v>
      </c>
      <c r="E135" t="s">
        <v>2788</v>
      </c>
      <c r="F135" t="s">
        <v>2788</v>
      </c>
      <c r="G135" t="s">
        <v>2788</v>
      </c>
      <c r="H135" t="s">
        <v>510</v>
      </c>
      <c r="I135" t="s">
        <v>23</v>
      </c>
      <c r="J135" t="s">
        <v>24</v>
      </c>
      <c r="K135" t="s">
        <v>63</v>
      </c>
      <c r="L135" t="s">
        <v>190</v>
      </c>
      <c r="M135" t="s">
        <v>191</v>
      </c>
      <c r="N135" t="s">
        <v>74</v>
      </c>
      <c r="O135" t="s">
        <v>171</v>
      </c>
      <c r="P135" t="s">
        <v>511</v>
      </c>
      <c r="Q135" t="s">
        <v>31</v>
      </c>
      <c r="R135">
        <v>8</v>
      </c>
      <c r="S135">
        <v>3372.15</v>
      </c>
      <c r="T135">
        <v>0.15</v>
      </c>
      <c r="U135">
        <v>22930.62</v>
      </c>
      <c r="V135">
        <v>16875.55</v>
      </c>
      <c r="W135">
        <v>6055.07</v>
      </c>
      <c r="X135" t="s">
        <v>32</v>
      </c>
      <c r="Y135" t="s">
        <v>33</v>
      </c>
      <c r="Z135" t="str">
        <f t="shared" si="28"/>
        <v>Exact Duplicate</v>
      </c>
      <c r="AA135" t="str">
        <f t="shared" si="29"/>
        <v>Duplicate Order ID</v>
      </c>
      <c r="AB135" t="str">
        <f t="shared" si="33"/>
        <v>OK</v>
      </c>
      <c r="AC135">
        <f t="shared" si="34"/>
        <v>0.15</v>
      </c>
      <c r="AD135" t="str">
        <f t="shared" si="35"/>
        <v>OK</v>
      </c>
      <c r="AE135">
        <f t="shared" si="36"/>
        <v>22930.62</v>
      </c>
      <c r="AF135">
        <f t="shared" si="37"/>
        <v>6055.07</v>
      </c>
      <c r="AG135">
        <f t="shared" si="38"/>
        <v>0.26406045715292475</v>
      </c>
      <c r="AH135" t="str">
        <f t="shared" si="30"/>
        <v>December</v>
      </c>
      <c r="AI135">
        <f t="shared" si="31"/>
        <v>2024</v>
      </c>
      <c r="AJ135" t="str">
        <f t="shared" si="39"/>
        <v>OK</v>
      </c>
      <c r="AK135" t="str">
        <f t="shared" si="40"/>
        <v>OK</v>
      </c>
      <c r="AL135" t="str">
        <f t="shared" si="41"/>
        <v>Include</v>
      </c>
      <c r="AM135" t="str">
        <f t="shared" si="32"/>
        <v>Clean</v>
      </c>
    </row>
    <row r="136" spans="1:39">
      <c r="A136" t="s">
        <v>512</v>
      </c>
      <c r="B136" s="4">
        <v>45852</v>
      </c>
      <c r="C136" s="4">
        <v>45852</v>
      </c>
      <c r="D136" s="6">
        <v>0</v>
      </c>
      <c r="E136" t="s">
        <v>2788</v>
      </c>
      <c r="F136" t="s">
        <v>2788</v>
      </c>
      <c r="G136" t="s">
        <v>2788</v>
      </c>
      <c r="H136" t="s">
        <v>513</v>
      </c>
      <c r="I136" t="s">
        <v>71</v>
      </c>
      <c r="J136" t="s">
        <v>95</v>
      </c>
      <c r="K136" t="s">
        <v>38</v>
      </c>
      <c r="L136" t="s">
        <v>99</v>
      </c>
      <c r="M136" t="s">
        <v>100</v>
      </c>
      <c r="N136" t="s">
        <v>41</v>
      </c>
      <c r="O136" t="s">
        <v>158</v>
      </c>
      <c r="P136" t="s">
        <v>514</v>
      </c>
      <c r="Q136" t="s">
        <v>2783</v>
      </c>
      <c r="R136">
        <v>5</v>
      </c>
      <c r="S136">
        <v>383.1</v>
      </c>
      <c r="T136">
        <v>0.25</v>
      </c>
      <c r="U136">
        <v>1436.62</v>
      </c>
      <c r="V136">
        <v>912.52</v>
      </c>
      <c r="W136">
        <v>524.1</v>
      </c>
      <c r="X136" t="s">
        <v>111</v>
      </c>
      <c r="Y136" t="s">
        <v>68</v>
      </c>
      <c r="Z136" t="str">
        <f t="shared" si="28"/>
        <v>Unique</v>
      </c>
      <c r="AA136" t="str">
        <f t="shared" si="29"/>
        <v>Unique</v>
      </c>
      <c r="AB136" t="str">
        <f t="shared" si="33"/>
        <v>OK</v>
      </c>
      <c r="AC136">
        <f t="shared" si="34"/>
        <v>0.25</v>
      </c>
      <c r="AD136" t="str">
        <f t="shared" si="35"/>
        <v>OK</v>
      </c>
      <c r="AE136">
        <f t="shared" si="36"/>
        <v>1436.625</v>
      </c>
      <c r="AF136">
        <f t="shared" si="37"/>
        <v>524.10500000000002</v>
      </c>
      <c r="AG136">
        <f t="shared" si="38"/>
        <v>0.36481684503610895</v>
      </c>
      <c r="AH136" t="str">
        <f t="shared" si="30"/>
        <v>July</v>
      </c>
      <c r="AI136">
        <f t="shared" si="31"/>
        <v>2025</v>
      </c>
      <c r="AJ136" t="str">
        <f t="shared" si="39"/>
        <v>OK</v>
      </c>
      <c r="AK136" t="str">
        <f t="shared" si="40"/>
        <v>OK</v>
      </c>
      <c r="AL136" t="str">
        <f t="shared" si="41"/>
        <v>Exclude</v>
      </c>
      <c r="AM136" t="str">
        <f t="shared" si="32"/>
        <v>Clean</v>
      </c>
    </row>
    <row r="137" spans="1:39">
      <c r="A137" t="s">
        <v>515</v>
      </c>
      <c r="B137" s="4">
        <v>45893</v>
      </c>
      <c r="C137" s="4">
        <v>45893</v>
      </c>
      <c r="D137" s="6">
        <v>0</v>
      </c>
      <c r="E137" t="s">
        <v>2788</v>
      </c>
      <c r="F137" t="s">
        <v>2788</v>
      </c>
      <c r="G137" t="s">
        <v>2788</v>
      </c>
      <c r="H137" t="s">
        <v>516</v>
      </c>
      <c r="I137" t="s">
        <v>162</v>
      </c>
      <c r="J137" t="s">
        <v>37</v>
      </c>
      <c r="K137" t="s">
        <v>54</v>
      </c>
      <c r="L137" t="s">
        <v>185</v>
      </c>
      <c r="M137" t="s">
        <v>186</v>
      </c>
      <c r="N137" t="s">
        <v>41</v>
      </c>
      <c r="O137" t="s">
        <v>158</v>
      </c>
      <c r="P137" t="s">
        <v>517</v>
      </c>
      <c r="Q137" t="s">
        <v>59</v>
      </c>
      <c r="R137">
        <v>1</v>
      </c>
      <c r="S137">
        <v>3424.78</v>
      </c>
      <c r="T137">
        <v>0</v>
      </c>
      <c r="U137">
        <v>3424.78</v>
      </c>
      <c r="V137">
        <v>1951.45</v>
      </c>
      <c r="W137">
        <v>1473.33</v>
      </c>
      <c r="X137" t="s">
        <v>32</v>
      </c>
      <c r="Y137" t="s">
        <v>33</v>
      </c>
      <c r="Z137" t="str">
        <f t="shared" si="28"/>
        <v>Unique</v>
      </c>
      <c r="AA137" t="str">
        <f t="shared" si="29"/>
        <v>Unique</v>
      </c>
      <c r="AB137" t="str">
        <f t="shared" si="33"/>
        <v>OK</v>
      </c>
      <c r="AC137">
        <f t="shared" si="34"/>
        <v>0</v>
      </c>
      <c r="AD137" t="str">
        <f t="shared" si="35"/>
        <v>OK</v>
      </c>
      <c r="AE137">
        <f t="shared" si="36"/>
        <v>3424.78</v>
      </c>
      <c r="AF137">
        <f t="shared" si="37"/>
        <v>1473.3300000000002</v>
      </c>
      <c r="AG137">
        <f t="shared" si="38"/>
        <v>0.43019697615613267</v>
      </c>
      <c r="AH137" t="str">
        <f t="shared" si="30"/>
        <v>August</v>
      </c>
      <c r="AI137">
        <f t="shared" si="31"/>
        <v>2025</v>
      </c>
      <c r="AJ137" t="str">
        <f t="shared" si="39"/>
        <v>OK</v>
      </c>
      <c r="AK137" t="str">
        <f t="shared" si="40"/>
        <v>OK</v>
      </c>
      <c r="AL137" t="str">
        <f t="shared" si="41"/>
        <v>Include</v>
      </c>
      <c r="AM137" t="str">
        <f t="shared" si="32"/>
        <v>Clean</v>
      </c>
    </row>
    <row r="138" spans="1:39">
      <c r="A138" t="s">
        <v>518</v>
      </c>
      <c r="B138" s="4">
        <v>45697</v>
      </c>
      <c r="C138" s="4">
        <v>45703</v>
      </c>
      <c r="D138" s="6">
        <v>6</v>
      </c>
      <c r="E138" t="s">
        <v>2788</v>
      </c>
      <c r="F138" t="s">
        <v>2788</v>
      </c>
      <c r="G138" t="s">
        <v>2788</v>
      </c>
      <c r="H138" t="s">
        <v>519</v>
      </c>
      <c r="I138" t="s">
        <v>36</v>
      </c>
      <c r="J138" t="s">
        <v>95</v>
      </c>
      <c r="K138" t="s">
        <v>38</v>
      </c>
      <c r="L138" t="s">
        <v>228</v>
      </c>
      <c r="M138" t="s">
        <v>229</v>
      </c>
      <c r="N138" t="s">
        <v>28</v>
      </c>
      <c r="O138" t="s">
        <v>153</v>
      </c>
      <c r="P138" t="s">
        <v>520</v>
      </c>
      <c r="Q138" t="s">
        <v>59</v>
      </c>
      <c r="R138">
        <v>9</v>
      </c>
      <c r="S138">
        <v>4330.33</v>
      </c>
      <c r="T138">
        <v>0.2</v>
      </c>
      <c r="U138">
        <v>31178.38</v>
      </c>
      <c r="V138">
        <v>21421.09</v>
      </c>
      <c r="W138">
        <v>9757.2900000000009</v>
      </c>
      <c r="X138" t="s">
        <v>32</v>
      </c>
      <c r="Y138" t="s">
        <v>33</v>
      </c>
      <c r="Z138" t="str">
        <f t="shared" si="28"/>
        <v>Unique</v>
      </c>
      <c r="AA138" t="str">
        <f t="shared" si="29"/>
        <v>Unique</v>
      </c>
      <c r="AB138" t="str">
        <f t="shared" si="33"/>
        <v>OK</v>
      </c>
      <c r="AC138">
        <f t="shared" si="34"/>
        <v>0.2</v>
      </c>
      <c r="AD138" t="str">
        <f t="shared" si="35"/>
        <v>OK</v>
      </c>
      <c r="AE138">
        <f t="shared" si="36"/>
        <v>31178.376000000004</v>
      </c>
      <c r="AF138">
        <f t="shared" si="37"/>
        <v>9757.2860000000037</v>
      </c>
      <c r="AG138">
        <f t="shared" si="38"/>
        <v>0.31295042435821552</v>
      </c>
      <c r="AH138" t="str">
        <f t="shared" si="30"/>
        <v>February</v>
      </c>
      <c r="AI138">
        <f t="shared" si="31"/>
        <v>2025</v>
      </c>
      <c r="AJ138" t="str">
        <f t="shared" si="39"/>
        <v>OK</v>
      </c>
      <c r="AK138" t="str">
        <f t="shared" si="40"/>
        <v>OK</v>
      </c>
      <c r="AL138" t="str">
        <f t="shared" si="41"/>
        <v>Include</v>
      </c>
      <c r="AM138" t="str">
        <f t="shared" si="32"/>
        <v>Clean</v>
      </c>
    </row>
    <row r="139" spans="1:39">
      <c r="A139" t="s">
        <v>521</v>
      </c>
      <c r="B139" s="4">
        <v>45666</v>
      </c>
      <c r="C139" s="4">
        <v>45666</v>
      </c>
      <c r="D139" s="6">
        <v>0</v>
      </c>
      <c r="E139" t="s">
        <v>2788</v>
      </c>
      <c r="F139" t="s">
        <v>2788</v>
      </c>
      <c r="G139" t="s">
        <v>2788</v>
      </c>
      <c r="H139" t="s">
        <v>522</v>
      </c>
      <c r="I139" t="s">
        <v>132</v>
      </c>
      <c r="J139" t="s">
        <v>37</v>
      </c>
      <c r="K139" t="s">
        <v>25</v>
      </c>
      <c r="L139" t="s">
        <v>26</v>
      </c>
      <c r="M139" t="s">
        <v>27</v>
      </c>
      <c r="N139" t="s">
        <v>41</v>
      </c>
      <c r="O139" t="s">
        <v>66</v>
      </c>
      <c r="P139" t="s">
        <v>523</v>
      </c>
      <c r="Q139" t="s">
        <v>44</v>
      </c>
      <c r="R139">
        <v>8</v>
      </c>
      <c r="S139">
        <v>2667.07</v>
      </c>
      <c r="T139">
        <v>0.1</v>
      </c>
      <c r="U139">
        <v>19202.900000000001</v>
      </c>
      <c r="V139">
        <v>15526.62</v>
      </c>
      <c r="W139">
        <v>3676.28</v>
      </c>
      <c r="X139" t="s">
        <v>32</v>
      </c>
      <c r="Y139" t="s">
        <v>33</v>
      </c>
      <c r="Z139" t="str">
        <f t="shared" si="28"/>
        <v>Unique</v>
      </c>
      <c r="AA139" t="str">
        <f t="shared" si="29"/>
        <v>Unique</v>
      </c>
      <c r="AB139" t="str">
        <f t="shared" si="33"/>
        <v>OK</v>
      </c>
      <c r="AC139">
        <f t="shared" si="34"/>
        <v>0.1</v>
      </c>
      <c r="AD139" t="str">
        <f t="shared" si="35"/>
        <v>OK</v>
      </c>
      <c r="AE139">
        <f t="shared" si="36"/>
        <v>19202.904000000002</v>
      </c>
      <c r="AF139">
        <f t="shared" si="37"/>
        <v>3676.2840000000015</v>
      </c>
      <c r="AG139">
        <f t="shared" si="38"/>
        <v>0.19144416906942829</v>
      </c>
      <c r="AH139" t="str">
        <f t="shared" si="30"/>
        <v>January</v>
      </c>
      <c r="AI139">
        <f t="shared" si="31"/>
        <v>2025</v>
      </c>
      <c r="AJ139" t="str">
        <f t="shared" si="39"/>
        <v>OK</v>
      </c>
      <c r="AK139" t="str">
        <f t="shared" si="40"/>
        <v>OK</v>
      </c>
      <c r="AL139" t="str">
        <f t="shared" si="41"/>
        <v>Include</v>
      </c>
      <c r="AM139" t="str">
        <f t="shared" si="32"/>
        <v>Clean</v>
      </c>
    </row>
    <row r="140" spans="1:39">
      <c r="A140" t="s">
        <v>524</v>
      </c>
      <c r="B140" s="4">
        <v>45311</v>
      </c>
      <c r="C140" s="4">
        <v>45317</v>
      </c>
      <c r="D140" s="6">
        <v>6</v>
      </c>
      <c r="E140" t="s">
        <v>2788</v>
      </c>
      <c r="F140" t="s">
        <v>2788</v>
      </c>
      <c r="G140" t="s">
        <v>2788</v>
      </c>
      <c r="H140" t="s">
        <v>525</v>
      </c>
      <c r="I140" t="s">
        <v>162</v>
      </c>
      <c r="J140" t="s">
        <v>95</v>
      </c>
      <c r="K140" t="s">
        <v>38</v>
      </c>
      <c r="L140" t="s">
        <v>228</v>
      </c>
      <c r="M140" t="s">
        <v>229</v>
      </c>
      <c r="N140" t="s">
        <v>74</v>
      </c>
      <c r="O140" t="s">
        <v>274</v>
      </c>
      <c r="P140" t="s">
        <v>526</v>
      </c>
      <c r="Q140" t="s">
        <v>59</v>
      </c>
      <c r="R140">
        <v>8</v>
      </c>
      <c r="S140">
        <v>4003.05</v>
      </c>
      <c r="T140">
        <v>0.25</v>
      </c>
      <c r="U140">
        <v>24018.3</v>
      </c>
      <c r="V140">
        <v>14070.78</v>
      </c>
      <c r="W140">
        <v>9947.52</v>
      </c>
      <c r="X140" t="s">
        <v>32</v>
      </c>
      <c r="Y140" t="s">
        <v>33</v>
      </c>
      <c r="Z140" t="str">
        <f t="shared" si="28"/>
        <v>Unique</v>
      </c>
      <c r="AA140" t="str">
        <f t="shared" si="29"/>
        <v>Unique</v>
      </c>
      <c r="AB140" t="str">
        <f t="shared" si="33"/>
        <v>OK</v>
      </c>
      <c r="AC140">
        <f t="shared" si="34"/>
        <v>0.25</v>
      </c>
      <c r="AD140" t="str">
        <f t="shared" si="35"/>
        <v>OK</v>
      </c>
      <c r="AE140">
        <f t="shared" si="36"/>
        <v>24018.300000000003</v>
      </c>
      <c r="AF140">
        <f t="shared" si="37"/>
        <v>9947.5200000000023</v>
      </c>
      <c r="AG140">
        <f t="shared" si="38"/>
        <v>0.41416419979765434</v>
      </c>
      <c r="AH140" t="str">
        <f t="shared" si="30"/>
        <v>January</v>
      </c>
      <c r="AI140">
        <f t="shared" si="31"/>
        <v>2024</v>
      </c>
      <c r="AJ140" t="str">
        <f t="shared" si="39"/>
        <v>OK</v>
      </c>
      <c r="AK140" t="str">
        <f t="shared" si="40"/>
        <v>OK</v>
      </c>
      <c r="AL140" t="str">
        <f t="shared" si="41"/>
        <v>Include</v>
      </c>
      <c r="AM140" t="str">
        <f t="shared" si="32"/>
        <v>Clean</v>
      </c>
    </row>
    <row r="141" spans="1:39">
      <c r="A141" t="s">
        <v>527</v>
      </c>
      <c r="B141" s="4">
        <v>45718</v>
      </c>
      <c r="C141" s="4">
        <v>45723</v>
      </c>
      <c r="D141" s="6">
        <v>5</v>
      </c>
      <c r="E141" t="s">
        <v>2788</v>
      </c>
      <c r="F141" t="s">
        <v>2788</v>
      </c>
      <c r="G141" t="s">
        <v>2788</v>
      </c>
      <c r="H141" t="s">
        <v>528</v>
      </c>
      <c r="I141" t="s">
        <v>79</v>
      </c>
      <c r="J141" t="s">
        <v>95</v>
      </c>
      <c r="K141" t="s">
        <v>54</v>
      </c>
      <c r="L141" t="s">
        <v>175</v>
      </c>
      <c r="M141" t="s">
        <v>176</v>
      </c>
      <c r="N141" t="s">
        <v>28</v>
      </c>
      <c r="O141" t="s">
        <v>91</v>
      </c>
      <c r="P141" t="s">
        <v>529</v>
      </c>
      <c r="Q141" t="s">
        <v>59</v>
      </c>
      <c r="R141">
        <v>8</v>
      </c>
      <c r="S141">
        <v>1287.6300000000001</v>
      </c>
      <c r="T141">
        <v>0</v>
      </c>
      <c r="U141">
        <v>10301.040000000001</v>
      </c>
      <c r="V141">
        <v>6564.06</v>
      </c>
      <c r="W141">
        <v>3736.98</v>
      </c>
      <c r="X141" t="s">
        <v>32</v>
      </c>
      <c r="Y141" t="s">
        <v>33</v>
      </c>
      <c r="Z141" t="str">
        <f t="shared" si="28"/>
        <v>Unique</v>
      </c>
      <c r="AA141" t="str">
        <f t="shared" si="29"/>
        <v>Unique</v>
      </c>
      <c r="AB141" t="str">
        <f t="shared" si="33"/>
        <v>OK</v>
      </c>
      <c r="AC141">
        <f t="shared" si="34"/>
        <v>0</v>
      </c>
      <c r="AD141" t="str">
        <f t="shared" si="35"/>
        <v>OK</v>
      </c>
      <c r="AE141">
        <f t="shared" si="36"/>
        <v>10301.040000000001</v>
      </c>
      <c r="AF141">
        <f t="shared" si="37"/>
        <v>3736.9800000000005</v>
      </c>
      <c r="AG141">
        <f t="shared" si="38"/>
        <v>0.3627769623261341</v>
      </c>
      <c r="AH141" t="str">
        <f t="shared" si="30"/>
        <v>March</v>
      </c>
      <c r="AI141">
        <f t="shared" si="31"/>
        <v>2025</v>
      </c>
      <c r="AJ141" t="str">
        <f t="shared" si="39"/>
        <v>OK</v>
      </c>
      <c r="AK141" t="str">
        <f t="shared" si="40"/>
        <v>OK</v>
      </c>
      <c r="AL141" t="str">
        <f t="shared" si="41"/>
        <v>Include</v>
      </c>
      <c r="AM141" t="str">
        <f t="shared" si="32"/>
        <v>Clean</v>
      </c>
    </row>
    <row r="142" spans="1:39">
      <c r="A142" t="s">
        <v>530</v>
      </c>
      <c r="B142" s="4">
        <v>45443</v>
      </c>
      <c r="C142" s="4">
        <v>45444</v>
      </c>
      <c r="D142" s="6">
        <v>1</v>
      </c>
      <c r="E142" t="s">
        <v>2788</v>
      </c>
      <c r="F142" t="s">
        <v>2788</v>
      </c>
      <c r="G142" t="s">
        <v>2788</v>
      </c>
      <c r="H142" t="s">
        <v>531</v>
      </c>
      <c r="I142" t="s">
        <v>36</v>
      </c>
      <c r="J142" t="s">
        <v>90</v>
      </c>
      <c r="K142" t="s">
        <v>54</v>
      </c>
      <c r="L142" t="s">
        <v>175</v>
      </c>
      <c r="M142" t="s">
        <v>176</v>
      </c>
      <c r="N142" t="s">
        <v>41</v>
      </c>
      <c r="O142" t="s">
        <v>158</v>
      </c>
      <c r="P142" t="s">
        <v>532</v>
      </c>
      <c r="Q142" t="s">
        <v>44</v>
      </c>
      <c r="R142">
        <v>3</v>
      </c>
      <c r="S142">
        <v>2914.55</v>
      </c>
      <c r="T142">
        <v>0</v>
      </c>
      <c r="U142">
        <v>8743.65</v>
      </c>
      <c r="V142">
        <v>6603.76</v>
      </c>
      <c r="W142">
        <v>2139.89</v>
      </c>
      <c r="X142" t="s">
        <v>32</v>
      </c>
      <c r="Y142" t="s">
        <v>33</v>
      </c>
      <c r="Z142" t="str">
        <f t="shared" si="28"/>
        <v>Unique</v>
      </c>
      <c r="AA142" t="str">
        <f t="shared" si="29"/>
        <v>Unique</v>
      </c>
      <c r="AB142" t="str">
        <f t="shared" si="33"/>
        <v>OK</v>
      </c>
      <c r="AC142">
        <f t="shared" si="34"/>
        <v>0</v>
      </c>
      <c r="AD142" t="str">
        <f t="shared" si="35"/>
        <v>OK</v>
      </c>
      <c r="AE142">
        <f t="shared" si="36"/>
        <v>8743.6500000000015</v>
      </c>
      <c r="AF142">
        <f t="shared" si="37"/>
        <v>2139.8900000000012</v>
      </c>
      <c r="AG142">
        <f t="shared" si="38"/>
        <v>0.24473646589239059</v>
      </c>
      <c r="AH142" t="str">
        <f t="shared" si="30"/>
        <v>May</v>
      </c>
      <c r="AI142">
        <f t="shared" si="31"/>
        <v>2024</v>
      </c>
      <c r="AJ142" t="str">
        <f t="shared" si="39"/>
        <v>OK</v>
      </c>
      <c r="AK142" t="str">
        <f t="shared" si="40"/>
        <v>OK</v>
      </c>
      <c r="AL142" t="str">
        <f t="shared" si="41"/>
        <v>Include</v>
      </c>
      <c r="AM142" t="str">
        <f t="shared" si="32"/>
        <v>Clean</v>
      </c>
    </row>
    <row r="143" spans="1:39">
      <c r="A143" t="s">
        <v>533</v>
      </c>
      <c r="B143" s="4">
        <v>45374</v>
      </c>
      <c r="C143" s="4">
        <v>45380</v>
      </c>
      <c r="D143" s="6">
        <v>6</v>
      </c>
      <c r="E143" t="s">
        <v>2788</v>
      </c>
      <c r="F143" t="s">
        <v>2788</v>
      </c>
      <c r="G143" t="s">
        <v>2788</v>
      </c>
      <c r="H143" t="s">
        <v>534</v>
      </c>
      <c r="I143" t="s">
        <v>114</v>
      </c>
      <c r="J143" t="s">
        <v>90</v>
      </c>
      <c r="K143" t="s">
        <v>25</v>
      </c>
      <c r="L143" t="s">
        <v>350</v>
      </c>
      <c r="M143" t="s">
        <v>351</v>
      </c>
      <c r="N143" t="s">
        <v>41</v>
      </c>
      <c r="O143" t="s">
        <v>158</v>
      </c>
      <c r="P143" t="s">
        <v>535</v>
      </c>
      <c r="Q143" t="s">
        <v>44</v>
      </c>
      <c r="R143">
        <v>7</v>
      </c>
      <c r="S143">
        <v>634.29</v>
      </c>
      <c r="T143">
        <v>0.1</v>
      </c>
      <c r="U143">
        <v>3996.03</v>
      </c>
      <c r="V143">
        <v>2859.51</v>
      </c>
      <c r="W143">
        <v>1136.52</v>
      </c>
      <c r="X143" t="s">
        <v>32</v>
      </c>
      <c r="Y143" t="s">
        <v>103</v>
      </c>
      <c r="Z143" t="str">
        <f t="shared" si="28"/>
        <v>Unique</v>
      </c>
      <c r="AA143" t="str">
        <f t="shared" si="29"/>
        <v>Unique</v>
      </c>
      <c r="AB143" t="str">
        <f t="shared" si="33"/>
        <v>OK</v>
      </c>
      <c r="AC143">
        <f t="shared" si="34"/>
        <v>0.1</v>
      </c>
      <c r="AD143" t="str">
        <f t="shared" si="35"/>
        <v>OK</v>
      </c>
      <c r="AE143">
        <f t="shared" si="36"/>
        <v>3996.027</v>
      </c>
      <c r="AF143">
        <f t="shared" si="37"/>
        <v>1136.5169999999998</v>
      </c>
      <c r="AG143">
        <f t="shared" si="38"/>
        <v>0.28441174196270441</v>
      </c>
      <c r="AH143" t="str">
        <f t="shared" si="30"/>
        <v>March</v>
      </c>
      <c r="AI143">
        <f t="shared" si="31"/>
        <v>2024</v>
      </c>
      <c r="AJ143" t="str">
        <f t="shared" si="39"/>
        <v>OK</v>
      </c>
      <c r="AK143" t="str">
        <f t="shared" si="40"/>
        <v>OK</v>
      </c>
      <c r="AL143" t="str">
        <f t="shared" si="41"/>
        <v>Exclude</v>
      </c>
      <c r="AM143" t="str">
        <f t="shared" si="32"/>
        <v>Clean</v>
      </c>
    </row>
    <row r="144" spans="1:39">
      <c r="A144" t="s">
        <v>536</v>
      </c>
      <c r="B144" s="4">
        <v>45381</v>
      </c>
      <c r="C144" s="4">
        <v>45377</v>
      </c>
      <c r="D144" s="6">
        <v>-4</v>
      </c>
      <c r="E144" t="s">
        <v>2788</v>
      </c>
      <c r="F144" t="s">
        <v>2788</v>
      </c>
      <c r="G144" t="s">
        <v>2790</v>
      </c>
      <c r="H144" t="s">
        <v>537</v>
      </c>
      <c r="I144" t="s">
        <v>89</v>
      </c>
      <c r="J144" t="s">
        <v>95</v>
      </c>
      <c r="K144" t="s">
        <v>25</v>
      </c>
      <c r="L144" t="s">
        <v>26</v>
      </c>
      <c r="M144" t="s">
        <v>27</v>
      </c>
      <c r="N144" t="s">
        <v>74</v>
      </c>
      <c r="O144" t="s">
        <v>171</v>
      </c>
      <c r="P144" t="s">
        <v>538</v>
      </c>
      <c r="Q144" t="s">
        <v>31</v>
      </c>
      <c r="R144">
        <v>5</v>
      </c>
      <c r="S144">
        <v>907.54</v>
      </c>
      <c r="T144">
        <v>0.15</v>
      </c>
      <c r="U144">
        <v>3857.04</v>
      </c>
      <c r="V144">
        <v>2769.26</v>
      </c>
      <c r="W144">
        <v>1087.78</v>
      </c>
      <c r="X144" t="s">
        <v>32</v>
      </c>
      <c r="Y144" t="s">
        <v>33</v>
      </c>
      <c r="Z144" t="str">
        <f t="shared" si="28"/>
        <v>Unique</v>
      </c>
      <c r="AA144" t="str">
        <f t="shared" si="29"/>
        <v>Duplicate Order ID</v>
      </c>
      <c r="AB144" t="str">
        <f t="shared" si="33"/>
        <v>Conflicting Duplicate</v>
      </c>
      <c r="AC144">
        <f t="shared" si="34"/>
        <v>0.15</v>
      </c>
      <c r="AD144" t="str">
        <f t="shared" si="35"/>
        <v>OK</v>
      </c>
      <c r="AE144">
        <f t="shared" si="36"/>
        <v>3857.0449999999996</v>
      </c>
      <c r="AF144">
        <f t="shared" si="37"/>
        <v>1087.7849999999994</v>
      </c>
      <c r="AG144">
        <f t="shared" si="38"/>
        <v>0.28202548842442843</v>
      </c>
      <c r="AH144" t="str">
        <f t="shared" si="30"/>
        <v>March</v>
      </c>
      <c r="AI144">
        <f t="shared" si="31"/>
        <v>2024</v>
      </c>
      <c r="AJ144" t="str">
        <f t="shared" si="39"/>
        <v>OK</v>
      </c>
      <c r="AK144" t="str">
        <f t="shared" si="40"/>
        <v>OK</v>
      </c>
      <c r="AL144" t="str">
        <f t="shared" si="41"/>
        <v>Include</v>
      </c>
      <c r="AM144" t="str">
        <f t="shared" si="32"/>
        <v>Invalid</v>
      </c>
    </row>
    <row r="145" spans="1:39">
      <c r="A145" t="s">
        <v>539</v>
      </c>
      <c r="B145" s="4">
        <v>45375</v>
      </c>
      <c r="C145" s="4">
        <v>45377</v>
      </c>
      <c r="D145" s="6">
        <v>2</v>
      </c>
      <c r="E145" t="s">
        <v>2788</v>
      </c>
      <c r="F145" t="s">
        <v>2788</v>
      </c>
      <c r="G145" t="s">
        <v>2788</v>
      </c>
      <c r="H145" t="s">
        <v>540</v>
      </c>
      <c r="I145" t="s">
        <v>114</v>
      </c>
      <c r="J145" t="s">
        <v>24</v>
      </c>
      <c r="K145" t="s">
        <v>63</v>
      </c>
      <c r="L145" t="s">
        <v>180</v>
      </c>
      <c r="M145" t="s">
        <v>181</v>
      </c>
      <c r="N145" t="s">
        <v>28</v>
      </c>
      <c r="O145" t="s">
        <v>29</v>
      </c>
      <c r="P145" t="s">
        <v>541</v>
      </c>
      <c r="Q145" t="s">
        <v>31</v>
      </c>
      <c r="R145">
        <v>1</v>
      </c>
      <c r="S145">
        <v>3409.5</v>
      </c>
      <c r="T145">
        <v>0.1</v>
      </c>
      <c r="U145">
        <v>3068.55</v>
      </c>
      <c r="V145">
        <v>1916.16</v>
      </c>
      <c r="W145">
        <v>1152.3900000000001</v>
      </c>
      <c r="X145" t="s">
        <v>32</v>
      </c>
      <c r="Y145" t="s">
        <v>103</v>
      </c>
      <c r="Z145" t="str">
        <f t="shared" si="28"/>
        <v>Unique</v>
      </c>
      <c r="AA145" t="str">
        <f t="shared" si="29"/>
        <v>Unique</v>
      </c>
      <c r="AB145" t="str">
        <f t="shared" si="33"/>
        <v>OK</v>
      </c>
      <c r="AC145">
        <f t="shared" si="34"/>
        <v>0.1</v>
      </c>
      <c r="AD145" t="str">
        <f t="shared" si="35"/>
        <v>OK</v>
      </c>
      <c r="AE145">
        <f t="shared" si="36"/>
        <v>3068.55</v>
      </c>
      <c r="AF145">
        <f t="shared" si="37"/>
        <v>1152.3900000000001</v>
      </c>
      <c r="AG145">
        <f t="shared" si="38"/>
        <v>0.3755487119323459</v>
      </c>
      <c r="AH145" t="str">
        <f t="shared" si="30"/>
        <v>March</v>
      </c>
      <c r="AI145">
        <f t="shared" si="31"/>
        <v>2024</v>
      </c>
      <c r="AJ145" t="str">
        <f t="shared" si="39"/>
        <v>OK</v>
      </c>
      <c r="AK145" t="str">
        <f t="shared" si="40"/>
        <v>OK</v>
      </c>
      <c r="AL145" t="str">
        <f t="shared" si="41"/>
        <v>Exclude</v>
      </c>
      <c r="AM145" t="str">
        <f t="shared" si="32"/>
        <v>Clean</v>
      </c>
    </row>
    <row r="146" spans="1:39">
      <c r="A146" t="s">
        <v>542</v>
      </c>
      <c r="B146" s="4">
        <v>45450</v>
      </c>
      <c r="C146" s="4">
        <v>45458</v>
      </c>
      <c r="D146" s="6">
        <v>8</v>
      </c>
      <c r="E146" t="s">
        <v>2788</v>
      </c>
      <c r="F146" t="s">
        <v>2788</v>
      </c>
      <c r="G146" t="s">
        <v>2788</v>
      </c>
      <c r="H146" t="s">
        <v>543</v>
      </c>
      <c r="I146" t="s">
        <v>264</v>
      </c>
      <c r="J146" t="s">
        <v>37</v>
      </c>
      <c r="K146" t="s">
        <v>54</v>
      </c>
      <c r="L146" t="s">
        <v>55</v>
      </c>
      <c r="M146" t="s">
        <v>56</v>
      </c>
      <c r="N146" t="s">
        <v>74</v>
      </c>
      <c r="O146" t="s">
        <v>75</v>
      </c>
      <c r="P146" t="s">
        <v>544</v>
      </c>
      <c r="Q146" t="s">
        <v>50</v>
      </c>
      <c r="R146">
        <v>7</v>
      </c>
      <c r="S146">
        <v>2147.9899999999998</v>
      </c>
      <c r="T146">
        <v>0.25</v>
      </c>
      <c r="U146">
        <v>11276.95</v>
      </c>
      <c r="V146">
        <v>6908.76</v>
      </c>
      <c r="W146">
        <v>4368.1899999999996</v>
      </c>
      <c r="X146" t="s">
        <v>102</v>
      </c>
      <c r="Y146" t="s">
        <v>103</v>
      </c>
      <c r="Z146" t="str">
        <f t="shared" si="28"/>
        <v>Unique</v>
      </c>
      <c r="AA146" t="str">
        <f t="shared" si="29"/>
        <v>Unique</v>
      </c>
      <c r="AB146" t="str">
        <f t="shared" si="33"/>
        <v>OK</v>
      </c>
      <c r="AC146">
        <f t="shared" si="34"/>
        <v>0.25</v>
      </c>
      <c r="AD146" t="str">
        <f t="shared" si="35"/>
        <v>OK</v>
      </c>
      <c r="AE146">
        <f t="shared" si="36"/>
        <v>11276.947499999998</v>
      </c>
      <c r="AF146">
        <f t="shared" si="37"/>
        <v>4368.1874999999982</v>
      </c>
      <c r="AG146">
        <f t="shared" si="38"/>
        <v>0.38735548782150481</v>
      </c>
      <c r="AH146" t="str">
        <f t="shared" si="30"/>
        <v>June</v>
      </c>
      <c r="AI146">
        <f t="shared" si="31"/>
        <v>2024</v>
      </c>
      <c r="AJ146" t="str">
        <f t="shared" si="39"/>
        <v>OK</v>
      </c>
      <c r="AK146" t="str">
        <f t="shared" si="40"/>
        <v>OK</v>
      </c>
      <c r="AL146" t="str">
        <f t="shared" si="41"/>
        <v>Exclude</v>
      </c>
      <c r="AM146" t="str">
        <f t="shared" si="32"/>
        <v>Clean</v>
      </c>
    </row>
    <row r="147" spans="1:39">
      <c r="A147" t="s">
        <v>545</v>
      </c>
      <c r="B147" s="4">
        <v>45758</v>
      </c>
      <c r="C147" s="4">
        <v>45760</v>
      </c>
      <c r="D147" s="6">
        <v>2</v>
      </c>
      <c r="E147" t="s">
        <v>2788</v>
      </c>
      <c r="F147" t="s">
        <v>2788</v>
      </c>
      <c r="G147" t="s">
        <v>2788</v>
      </c>
      <c r="H147" t="s">
        <v>546</v>
      </c>
      <c r="I147" t="s">
        <v>36</v>
      </c>
      <c r="J147" t="s">
        <v>37</v>
      </c>
      <c r="K147" t="s">
        <v>63</v>
      </c>
      <c r="L147" t="s">
        <v>190</v>
      </c>
      <c r="M147" t="s">
        <v>191</v>
      </c>
      <c r="N147" t="s">
        <v>28</v>
      </c>
      <c r="O147" t="s">
        <v>29</v>
      </c>
      <c r="P147" t="s">
        <v>547</v>
      </c>
      <c r="Q147" t="s">
        <v>59</v>
      </c>
      <c r="R147">
        <v>4</v>
      </c>
      <c r="S147">
        <v>4182.1499999999996</v>
      </c>
      <c r="T147">
        <v>0.1</v>
      </c>
      <c r="U147">
        <v>15055.74</v>
      </c>
      <c r="V147">
        <v>9808.83</v>
      </c>
      <c r="W147">
        <v>5246.91</v>
      </c>
      <c r="X147" t="s">
        <v>32</v>
      </c>
      <c r="Y147" t="s">
        <v>33</v>
      </c>
      <c r="Z147" t="str">
        <f t="shared" si="28"/>
        <v>Unique</v>
      </c>
      <c r="AA147" t="str">
        <f t="shared" si="29"/>
        <v>Unique</v>
      </c>
      <c r="AB147" t="str">
        <f t="shared" si="33"/>
        <v>OK</v>
      </c>
      <c r="AC147">
        <f t="shared" si="34"/>
        <v>0.1</v>
      </c>
      <c r="AD147" t="str">
        <f t="shared" si="35"/>
        <v>OK</v>
      </c>
      <c r="AE147">
        <f t="shared" si="36"/>
        <v>15055.74</v>
      </c>
      <c r="AF147">
        <f t="shared" si="37"/>
        <v>5246.91</v>
      </c>
      <c r="AG147">
        <f t="shared" si="38"/>
        <v>0.34849897779850075</v>
      </c>
      <c r="AH147" t="str">
        <f t="shared" si="30"/>
        <v>April</v>
      </c>
      <c r="AI147">
        <f t="shared" si="31"/>
        <v>2025</v>
      </c>
      <c r="AJ147" t="str">
        <f t="shared" si="39"/>
        <v>OK</v>
      </c>
      <c r="AK147" t="str">
        <f t="shared" si="40"/>
        <v>OK</v>
      </c>
      <c r="AL147" t="str">
        <f t="shared" si="41"/>
        <v>Include</v>
      </c>
      <c r="AM147" t="str">
        <f t="shared" si="32"/>
        <v>Clean</v>
      </c>
    </row>
    <row r="148" spans="1:39">
      <c r="A148" t="s">
        <v>548</v>
      </c>
      <c r="B148" s="4">
        <v>45868</v>
      </c>
      <c r="C148" s="4">
        <v>45870</v>
      </c>
      <c r="D148" s="6">
        <v>2</v>
      </c>
      <c r="E148" t="s">
        <v>2788</v>
      </c>
      <c r="F148" t="s">
        <v>2788</v>
      </c>
      <c r="G148" t="s">
        <v>2788</v>
      </c>
      <c r="H148" t="s">
        <v>549</v>
      </c>
      <c r="I148" t="s">
        <v>132</v>
      </c>
      <c r="J148" t="s">
        <v>37</v>
      </c>
      <c r="K148" t="s">
        <v>54</v>
      </c>
      <c r="L148" t="s">
        <v>247</v>
      </c>
      <c r="M148" t="s">
        <v>248</v>
      </c>
      <c r="N148" t="s">
        <v>28</v>
      </c>
      <c r="O148" t="s">
        <v>124</v>
      </c>
      <c r="P148" t="s">
        <v>550</v>
      </c>
      <c r="Q148" t="s">
        <v>44</v>
      </c>
      <c r="R148">
        <v>9</v>
      </c>
      <c r="S148">
        <v>3165.43</v>
      </c>
      <c r="T148">
        <v>0.1</v>
      </c>
      <c r="U148">
        <v>25639.98</v>
      </c>
      <c r="V148">
        <v>21635.08</v>
      </c>
      <c r="W148">
        <v>4004.9</v>
      </c>
      <c r="X148" t="s">
        <v>32</v>
      </c>
      <c r="Y148" t="s">
        <v>33</v>
      </c>
      <c r="Z148" t="str">
        <f t="shared" si="28"/>
        <v>Unique</v>
      </c>
      <c r="AA148" t="str">
        <f t="shared" si="29"/>
        <v>Unique</v>
      </c>
      <c r="AB148" t="str">
        <f t="shared" si="33"/>
        <v>OK</v>
      </c>
      <c r="AC148">
        <f t="shared" si="34"/>
        <v>0.1</v>
      </c>
      <c r="AD148" t="str">
        <f t="shared" si="35"/>
        <v>OK</v>
      </c>
      <c r="AE148">
        <f t="shared" si="36"/>
        <v>25639.983</v>
      </c>
      <c r="AF148">
        <f t="shared" si="37"/>
        <v>4004.9029999999984</v>
      </c>
      <c r="AG148">
        <f t="shared" si="38"/>
        <v>0.1561975684617263</v>
      </c>
      <c r="AH148" t="str">
        <f t="shared" si="30"/>
        <v>July</v>
      </c>
      <c r="AI148">
        <f t="shared" si="31"/>
        <v>2025</v>
      </c>
      <c r="AJ148" t="str">
        <f t="shared" si="39"/>
        <v>OK</v>
      </c>
      <c r="AK148" t="str">
        <f t="shared" si="40"/>
        <v>OK</v>
      </c>
      <c r="AL148" t="str">
        <f t="shared" si="41"/>
        <v>Include</v>
      </c>
      <c r="AM148" t="str">
        <f t="shared" si="32"/>
        <v>Clean</v>
      </c>
    </row>
    <row r="149" spans="1:39">
      <c r="A149" t="s">
        <v>551</v>
      </c>
      <c r="B149" s="4">
        <v>45649</v>
      </c>
      <c r="C149" s="4">
        <v>45656</v>
      </c>
      <c r="D149" s="6">
        <v>7</v>
      </c>
      <c r="E149" t="s">
        <v>2788</v>
      </c>
      <c r="F149" t="s">
        <v>2788</v>
      </c>
      <c r="G149" t="s">
        <v>2788</v>
      </c>
      <c r="H149" t="s">
        <v>552</v>
      </c>
      <c r="I149" t="s">
        <v>114</v>
      </c>
      <c r="J149" t="s">
        <v>95</v>
      </c>
      <c r="K149" t="s">
        <v>63</v>
      </c>
      <c r="L149" t="s">
        <v>190</v>
      </c>
      <c r="M149" t="s">
        <v>191</v>
      </c>
      <c r="N149" t="s">
        <v>41</v>
      </c>
      <c r="O149" t="s">
        <v>57</v>
      </c>
      <c r="P149" t="s">
        <v>553</v>
      </c>
      <c r="Q149" t="s">
        <v>50</v>
      </c>
      <c r="R149">
        <v>8</v>
      </c>
      <c r="S149">
        <v>386.1</v>
      </c>
      <c r="T149">
        <v>0.1</v>
      </c>
      <c r="U149">
        <v>2779.92</v>
      </c>
      <c r="V149">
        <v>1744.05</v>
      </c>
      <c r="W149">
        <v>1035.8699999999999</v>
      </c>
      <c r="X149" t="s">
        <v>32</v>
      </c>
      <c r="Y149" t="s">
        <v>33</v>
      </c>
      <c r="Z149" t="str">
        <f t="shared" si="28"/>
        <v>Unique</v>
      </c>
      <c r="AA149" t="str">
        <f t="shared" si="29"/>
        <v>Unique</v>
      </c>
      <c r="AB149" t="str">
        <f t="shared" si="33"/>
        <v>OK</v>
      </c>
      <c r="AC149">
        <f t="shared" si="34"/>
        <v>0.1</v>
      </c>
      <c r="AD149" t="str">
        <f t="shared" si="35"/>
        <v>OK</v>
      </c>
      <c r="AE149">
        <f t="shared" si="36"/>
        <v>2779.92</v>
      </c>
      <c r="AF149">
        <f t="shared" si="37"/>
        <v>1035.8700000000001</v>
      </c>
      <c r="AG149">
        <f t="shared" si="38"/>
        <v>0.37262583095916435</v>
      </c>
      <c r="AH149" t="str">
        <f t="shared" si="30"/>
        <v>December</v>
      </c>
      <c r="AI149">
        <f t="shared" si="31"/>
        <v>2024</v>
      </c>
      <c r="AJ149" t="str">
        <f t="shared" si="39"/>
        <v>OK</v>
      </c>
      <c r="AK149" t="str">
        <f t="shared" si="40"/>
        <v>OK</v>
      </c>
      <c r="AL149" t="str">
        <f t="shared" si="41"/>
        <v>Include</v>
      </c>
      <c r="AM149" t="str">
        <f t="shared" si="32"/>
        <v>Clean</v>
      </c>
    </row>
    <row r="150" spans="1:39">
      <c r="A150" t="s">
        <v>554</v>
      </c>
      <c r="B150" s="4">
        <v>45697</v>
      </c>
      <c r="C150" s="4">
        <v>45701</v>
      </c>
      <c r="D150" s="6">
        <v>4</v>
      </c>
      <c r="E150" t="s">
        <v>2788</v>
      </c>
      <c r="F150" t="s">
        <v>2788</v>
      </c>
      <c r="G150" t="s">
        <v>2788</v>
      </c>
      <c r="H150" t="s">
        <v>555</v>
      </c>
      <c r="I150" t="s">
        <v>36</v>
      </c>
      <c r="J150" t="s">
        <v>95</v>
      </c>
      <c r="K150" t="s">
        <v>63</v>
      </c>
      <c r="L150" t="s">
        <v>72</v>
      </c>
      <c r="M150" t="s">
        <v>73</v>
      </c>
      <c r="N150" t="s">
        <v>74</v>
      </c>
      <c r="O150" t="s">
        <v>171</v>
      </c>
      <c r="P150" t="s">
        <v>556</v>
      </c>
      <c r="Q150" t="s">
        <v>2783</v>
      </c>
      <c r="R150">
        <v>8</v>
      </c>
      <c r="S150">
        <v>1696.07</v>
      </c>
      <c r="T150">
        <v>0.25</v>
      </c>
      <c r="U150">
        <v>10176.42</v>
      </c>
      <c r="V150">
        <v>7604.47</v>
      </c>
      <c r="W150">
        <v>2571.9499999999998</v>
      </c>
      <c r="X150" t="s">
        <v>32</v>
      </c>
      <c r="Y150" t="s">
        <v>33</v>
      </c>
      <c r="Z150" t="str">
        <f t="shared" si="28"/>
        <v>Unique</v>
      </c>
      <c r="AA150" t="str">
        <f t="shared" si="29"/>
        <v>Unique</v>
      </c>
      <c r="AB150" t="str">
        <f t="shared" si="33"/>
        <v>OK</v>
      </c>
      <c r="AC150">
        <f t="shared" si="34"/>
        <v>0.25</v>
      </c>
      <c r="AD150" t="str">
        <f t="shared" si="35"/>
        <v>OK</v>
      </c>
      <c r="AE150">
        <f t="shared" si="36"/>
        <v>10176.42</v>
      </c>
      <c r="AF150">
        <f t="shared" si="37"/>
        <v>2571.9499999999998</v>
      </c>
      <c r="AG150">
        <f t="shared" si="38"/>
        <v>0.252736227474888</v>
      </c>
      <c r="AH150" t="str">
        <f t="shared" si="30"/>
        <v>February</v>
      </c>
      <c r="AI150">
        <f t="shared" si="31"/>
        <v>2025</v>
      </c>
      <c r="AJ150" t="str">
        <f t="shared" si="39"/>
        <v>OK</v>
      </c>
      <c r="AK150" t="str">
        <f t="shared" si="40"/>
        <v>OK</v>
      </c>
      <c r="AL150" t="str">
        <f t="shared" si="41"/>
        <v>Include</v>
      </c>
      <c r="AM150" t="str">
        <f t="shared" si="32"/>
        <v>Clean</v>
      </c>
    </row>
    <row r="151" spans="1:39">
      <c r="A151" t="s">
        <v>557</v>
      </c>
      <c r="B151" s="4">
        <v>45321</v>
      </c>
      <c r="C151" s="4">
        <v>45321</v>
      </c>
      <c r="D151" s="6">
        <v>0</v>
      </c>
      <c r="E151" t="s">
        <v>2788</v>
      </c>
      <c r="F151" t="s">
        <v>2788</v>
      </c>
      <c r="G151" t="s">
        <v>2788</v>
      </c>
      <c r="H151" t="s">
        <v>558</v>
      </c>
      <c r="I151" t="s">
        <v>128</v>
      </c>
      <c r="J151" t="s">
        <v>37</v>
      </c>
      <c r="K151" t="s">
        <v>63</v>
      </c>
      <c r="L151" t="s">
        <v>26</v>
      </c>
      <c r="M151" t="s">
        <v>109</v>
      </c>
      <c r="N151" t="s">
        <v>74</v>
      </c>
      <c r="O151" t="s">
        <v>80</v>
      </c>
      <c r="P151" t="s">
        <v>559</v>
      </c>
      <c r="Q151" t="s">
        <v>44</v>
      </c>
      <c r="R151">
        <v>7</v>
      </c>
      <c r="S151">
        <v>2527.61</v>
      </c>
      <c r="T151">
        <v>0.25</v>
      </c>
      <c r="U151">
        <v>13269.95</v>
      </c>
      <c r="V151">
        <v>8977.1</v>
      </c>
      <c r="W151">
        <v>4292.8500000000004</v>
      </c>
      <c r="X151" t="s">
        <v>32</v>
      </c>
      <c r="Y151" t="s">
        <v>33</v>
      </c>
      <c r="Z151" t="str">
        <f t="shared" si="28"/>
        <v>Unique</v>
      </c>
      <c r="AA151" t="str">
        <f t="shared" si="29"/>
        <v>Unique</v>
      </c>
      <c r="AB151" t="str">
        <f t="shared" si="33"/>
        <v>OK</v>
      </c>
      <c r="AC151">
        <f t="shared" si="34"/>
        <v>0.25</v>
      </c>
      <c r="AD151" t="str">
        <f t="shared" si="35"/>
        <v>OK</v>
      </c>
      <c r="AE151">
        <f t="shared" si="36"/>
        <v>13269.952499999999</v>
      </c>
      <c r="AF151">
        <f t="shared" si="37"/>
        <v>4292.8524999999991</v>
      </c>
      <c r="AG151">
        <f t="shared" si="38"/>
        <v>0.32350172315989822</v>
      </c>
      <c r="AH151" t="str">
        <f t="shared" si="30"/>
        <v>January</v>
      </c>
      <c r="AI151">
        <f t="shared" si="31"/>
        <v>2024</v>
      </c>
      <c r="AJ151" t="str">
        <f t="shared" si="39"/>
        <v>OK</v>
      </c>
      <c r="AK151" t="str">
        <f t="shared" si="40"/>
        <v>OK</v>
      </c>
      <c r="AL151" t="str">
        <f t="shared" si="41"/>
        <v>Include</v>
      </c>
      <c r="AM151" t="str">
        <f t="shared" si="32"/>
        <v>Clean</v>
      </c>
    </row>
    <row r="152" spans="1:39">
      <c r="A152" t="s">
        <v>560</v>
      </c>
      <c r="B152" s="4">
        <v>45355</v>
      </c>
      <c r="C152" s="4">
        <v>45363</v>
      </c>
      <c r="D152" s="6">
        <v>8</v>
      </c>
      <c r="E152" t="s">
        <v>2788</v>
      </c>
      <c r="F152" t="s">
        <v>2788</v>
      </c>
      <c r="G152" t="s">
        <v>2788</v>
      </c>
      <c r="H152" t="s">
        <v>561</v>
      </c>
      <c r="I152" t="s">
        <v>53</v>
      </c>
      <c r="J152" t="s">
        <v>24</v>
      </c>
      <c r="K152" t="s">
        <v>2783</v>
      </c>
      <c r="L152" t="s">
        <v>180</v>
      </c>
      <c r="M152" t="s">
        <v>181</v>
      </c>
      <c r="N152" t="s">
        <v>41</v>
      </c>
      <c r="O152" t="s">
        <v>158</v>
      </c>
      <c r="P152" t="s">
        <v>562</v>
      </c>
      <c r="Q152" t="s">
        <v>50</v>
      </c>
      <c r="R152">
        <v>1</v>
      </c>
      <c r="S152">
        <v>1554.12</v>
      </c>
      <c r="T152">
        <v>0.1</v>
      </c>
      <c r="U152">
        <v>1398.71</v>
      </c>
      <c r="V152">
        <v>1056.92</v>
      </c>
      <c r="W152">
        <v>341.79</v>
      </c>
      <c r="X152" t="s">
        <v>32</v>
      </c>
      <c r="Y152" t="s">
        <v>33</v>
      </c>
      <c r="Z152" t="str">
        <f t="shared" si="28"/>
        <v>Unique</v>
      </c>
      <c r="AA152" t="str">
        <f t="shared" si="29"/>
        <v>Unique</v>
      </c>
      <c r="AB152" t="str">
        <f t="shared" si="33"/>
        <v>OK</v>
      </c>
      <c r="AC152">
        <f t="shared" si="34"/>
        <v>0.1</v>
      </c>
      <c r="AD152" t="str">
        <f t="shared" si="35"/>
        <v>OK</v>
      </c>
      <c r="AE152">
        <f t="shared" si="36"/>
        <v>1398.7079999999999</v>
      </c>
      <c r="AF152">
        <f t="shared" si="37"/>
        <v>341.78799999999978</v>
      </c>
      <c r="AG152">
        <f t="shared" si="38"/>
        <v>0.24435979489643286</v>
      </c>
      <c r="AH152" t="str">
        <f t="shared" si="30"/>
        <v>March</v>
      </c>
      <c r="AI152">
        <f t="shared" si="31"/>
        <v>2024</v>
      </c>
      <c r="AJ152" t="str">
        <f t="shared" si="39"/>
        <v>OK</v>
      </c>
      <c r="AK152" t="str">
        <f t="shared" si="40"/>
        <v>OK</v>
      </c>
      <c r="AL152" t="str">
        <f t="shared" si="41"/>
        <v>Include</v>
      </c>
      <c r="AM152" t="str">
        <f t="shared" si="32"/>
        <v>Clean</v>
      </c>
    </row>
    <row r="153" spans="1:39">
      <c r="A153" t="s">
        <v>563</v>
      </c>
      <c r="B153" s="4">
        <v>45470</v>
      </c>
      <c r="C153" s="4">
        <v>45470</v>
      </c>
      <c r="D153" s="6">
        <v>0</v>
      </c>
      <c r="E153" t="s">
        <v>2788</v>
      </c>
      <c r="F153" t="s">
        <v>2788</v>
      </c>
      <c r="G153" t="s">
        <v>2788</v>
      </c>
      <c r="H153" t="s">
        <v>564</v>
      </c>
      <c r="I153" t="s">
        <v>79</v>
      </c>
      <c r="J153" t="s">
        <v>95</v>
      </c>
      <c r="K153" t="s">
        <v>2783</v>
      </c>
      <c r="L153" t="s">
        <v>72</v>
      </c>
      <c r="M153" t="s">
        <v>73</v>
      </c>
      <c r="N153" t="s">
        <v>74</v>
      </c>
      <c r="O153" t="s">
        <v>80</v>
      </c>
      <c r="P153" t="s">
        <v>565</v>
      </c>
      <c r="Q153" t="s">
        <v>59</v>
      </c>
      <c r="R153">
        <v>2</v>
      </c>
      <c r="S153">
        <v>3859.11</v>
      </c>
      <c r="T153">
        <v>0</v>
      </c>
      <c r="U153">
        <v>7718.22</v>
      </c>
      <c r="V153">
        <v>5355.93</v>
      </c>
      <c r="W153">
        <v>2362.29</v>
      </c>
      <c r="X153" t="s">
        <v>111</v>
      </c>
      <c r="Y153" t="s">
        <v>103</v>
      </c>
      <c r="Z153" t="str">
        <f t="shared" si="28"/>
        <v>Unique</v>
      </c>
      <c r="AA153" t="str">
        <f t="shared" si="29"/>
        <v>Unique</v>
      </c>
      <c r="AB153" t="str">
        <f t="shared" si="33"/>
        <v>OK</v>
      </c>
      <c r="AC153">
        <f t="shared" si="34"/>
        <v>0</v>
      </c>
      <c r="AD153" t="str">
        <f t="shared" si="35"/>
        <v>OK</v>
      </c>
      <c r="AE153">
        <f t="shared" si="36"/>
        <v>7718.22</v>
      </c>
      <c r="AF153">
        <f t="shared" si="37"/>
        <v>2362.29</v>
      </c>
      <c r="AG153">
        <f t="shared" si="38"/>
        <v>0.30606668376905555</v>
      </c>
      <c r="AH153" t="str">
        <f t="shared" si="30"/>
        <v>June</v>
      </c>
      <c r="AI153">
        <f t="shared" si="31"/>
        <v>2024</v>
      </c>
      <c r="AJ153" t="str">
        <f t="shared" si="39"/>
        <v>OK</v>
      </c>
      <c r="AK153" t="str">
        <f t="shared" si="40"/>
        <v>OK</v>
      </c>
      <c r="AL153" t="str">
        <f t="shared" si="41"/>
        <v>Exclude</v>
      </c>
      <c r="AM153" t="str">
        <f t="shared" si="32"/>
        <v>Clean</v>
      </c>
    </row>
    <row r="154" spans="1:39">
      <c r="A154" t="s">
        <v>566</v>
      </c>
      <c r="B154" s="4">
        <v>45457</v>
      </c>
      <c r="C154" s="4">
        <v>45460</v>
      </c>
      <c r="D154" s="6">
        <v>3</v>
      </c>
      <c r="E154" t="s">
        <v>2788</v>
      </c>
      <c r="F154" t="s">
        <v>2788</v>
      </c>
      <c r="G154" t="s">
        <v>2788</v>
      </c>
      <c r="H154" t="s">
        <v>567</v>
      </c>
      <c r="I154" t="s">
        <v>264</v>
      </c>
      <c r="J154" t="s">
        <v>37</v>
      </c>
      <c r="K154" t="s">
        <v>54</v>
      </c>
      <c r="L154" t="s">
        <v>185</v>
      </c>
      <c r="M154" t="s">
        <v>186</v>
      </c>
      <c r="N154" t="s">
        <v>41</v>
      </c>
      <c r="O154" t="s">
        <v>42</v>
      </c>
      <c r="P154" t="s">
        <v>568</v>
      </c>
      <c r="Q154" t="s">
        <v>31</v>
      </c>
      <c r="R154">
        <v>6</v>
      </c>
      <c r="S154">
        <v>1088.04</v>
      </c>
      <c r="T154">
        <v>0.1</v>
      </c>
      <c r="U154">
        <v>5875.42</v>
      </c>
      <c r="V154">
        <v>4380.55</v>
      </c>
      <c r="W154">
        <v>1494.87</v>
      </c>
      <c r="X154" t="s">
        <v>111</v>
      </c>
      <c r="Y154" t="s">
        <v>103</v>
      </c>
      <c r="Z154" t="str">
        <f t="shared" si="28"/>
        <v>Unique</v>
      </c>
      <c r="AA154" t="str">
        <f t="shared" si="29"/>
        <v>Unique</v>
      </c>
      <c r="AB154" t="str">
        <f t="shared" si="33"/>
        <v>OK</v>
      </c>
      <c r="AC154">
        <f t="shared" si="34"/>
        <v>0.1</v>
      </c>
      <c r="AD154" t="str">
        <f t="shared" si="35"/>
        <v>OK</v>
      </c>
      <c r="AE154">
        <f t="shared" si="36"/>
        <v>5875.4160000000002</v>
      </c>
      <c r="AF154">
        <f t="shared" si="37"/>
        <v>1494.866</v>
      </c>
      <c r="AG154">
        <f t="shared" si="38"/>
        <v>0.25442726098032886</v>
      </c>
      <c r="AH154" t="str">
        <f t="shared" si="30"/>
        <v>June</v>
      </c>
      <c r="AI154">
        <f t="shared" si="31"/>
        <v>2024</v>
      </c>
      <c r="AJ154" t="str">
        <f t="shared" si="39"/>
        <v>OK</v>
      </c>
      <c r="AK154" t="str">
        <f t="shared" si="40"/>
        <v>OK</v>
      </c>
      <c r="AL154" t="str">
        <f t="shared" si="41"/>
        <v>Exclude</v>
      </c>
      <c r="AM154" t="str">
        <f t="shared" si="32"/>
        <v>Clean</v>
      </c>
    </row>
    <row r="155" spans="1:39">
      <c r="A155" t="s">
        <v>569</v>
      </c>
      <c r="B155" s="4">
        <v>45923</v>
      </c>
      <c r="C155" s="4">
        <v>45925</v>
      </c>
      <c r="D155" s="6">
        <v>2</v>
      </c>
      <c r="E155" t="s">
        <v>2788</v>
      </c>
      <c r="F155" t="s">
        <v>2788</v>
      </c>
      <c r="G155" t="s">
        <v>2788</v>
      </c>
      <c r="H155" t="s">
        <v>570</v>
      </c>
      <c r="I155" t="s">
        <v>89</v>
      </c>
      <c r="J155" t="s">
        <v>24</v>
      </c>
      <c r="K155" t="s">
        <v>38</v>
      </c>
      <c r="L155" t="s">
        <v>39</v>
      </c>
      <c r="M155" t="s">
        <v>40</v>
      </c>
      <c r="N155" t="s">
        <v>28</v>
      </c>
      <c r="O155" t="s">
        <v>91</v>
      </c>
      <c r="P155" t="s">
        <v>571</v>
      </c>
      <c r="Q155" t="s">
        <v>59</v>
      </c>
      <c r="R155">
        <v>7</v>
      </c>
      <c r="S155">
        <v>3280.31</v>
      </c>
      <c r="T155">
        <v>0</v>
      </c>
      <c r="U155">
        <v>22962.17</v>
      </c>
      <c r="V155">
        <v>15716.5</v>
      </c>
      <c r="W155">
        <v>7245.67</v>
      </c>
      <c r="X155" t="s">
        <v>102</v>
      </c>
      <c r="Y155" t="s">
        <v>103</v>
      </c>
      <c r="Z155" t="str">
        <f t="shared" si="28"/>
        <v>Unique</v>
      </c>
      <c r="AA155" t="str">
        <f t="shared" si="29"/>
        <v>Unique</v>
      </c>
      <c r="AB155" t="str">
        <f t="shared" si="33"/>
        <v>OK</v>
      </c>
      <c r="AC155">
        <f t="shared" si="34"/>
        <v>0</v>
      </c>
      <c r="AD155" t="str">
        <f t="shared" si="35"/>
        <v>OK</v>
      </c>
      <c r="AE155">
        <f t="shared" si="36"/>
        <v>22962.17</v>
      </c>
      <c r="AF155">
        <f t="shared" si="37"/>
        <v>7245.6699999999983</v>
      </c>
      <c r="AG155">
        <f t="shared" si="38"/>
        <v>0.31554813852523517</v>
      </c>
      <c r="AH155" t="str">
        <f t="shared" si="30"/>
        <v>September</v>
      </c>
      <c r="AI155">
        <f t="shared" si="31"/>
        <v>2025</v>
      </c>
      <c r="AJ155" t="str">
        <f t="shared" si="39"/>
        <v>OK</v>
      </c>
      <c r="AK155" t="str">
        <f t="shared" si="40"/>
        <v>OK</v>
      </c>
      <c r="AL155" t="str">
        <f t="shared" si="41"/>
        <v>Exclude</v>
      </c>
      <c r="AM155" t="str">
        <f t="shared" si="32"/>
        <v>Clean</v>
      </c>
    </row>
    <row r="156" spans="1:39">
      <c r="A156" t="s">
        <v>572</v>
      </c>
      <c r="B156" s="4">
        <v>45334</v>
      </c>
      <c r="C156" s="4">
        <v>45333</v>
      </c>
      <c r="D156" s="6">
        <v>-1</v>
      </c>
      <c r="E156" t="s">
        <v>2788</v>
      </c>
      <c r="F156" t="s">
        <v>2788</v>
      </c>
      <c r="G156" t="s">
        <v>2790</v>
      </c>
      <c r="H156" t="s">
        <v>455</v>
      </c>
      <c r="I156" t="s">
        <v>114</v>
      </c>
      <c r="J156" t="s">
        <v>24</v>
      </c>
      <c r="K156" t="s">
        <v>54</v>
      </c>
      <c r="L156" t="s">
        <v>247</v>
      </c>
      <c r="M156" t="s">
        <v>248</v>
      </c>
      <c r="N156" t="s">
        <v>41</v>
      </c>
      <c r="O156" t="s">
        <v>158</v>
      </c>
      <c r="P156" t="s">
        <v>573</v>
      </c>
      <c r="Q156" t="s">
        <v>44</v>
      </c>
      <c r="R156">
        <v>1</v>
      </c>
      <c r="S156">
        <v>2599.12</v>
      </c>
      <c r="T156">
        <v>0.15</v>
      </c>
      <c r="U156">
        <v>2209.25</v>
      </c>
      <c r="V156">
        <v>1523.78</v>
      </c>
      <c r="W156">
        <v>685.47</v>
      </c>
      <c r="X156" t="s">
        <v>32</v>
      </c>
      <c r="Y156" t="s">
        <v>33</v>
      </c>
      <c r="Z156" t="str">
        <f t="shared" si="28"/>
        <v>Unique</v>
      </c>
      <c r="AA156" t="str">
        <f t="shared" si="29"/>
        <v>Unique</v>
      </c>
      <c r="AB156" t="str">
        <f t="shared" si="33"/>
        <v>OK</v>
      </c>
      <c r="AC156">
        <f t="shared" si="34"/>
        <v>0.15</v>
      </c>
      <c r="AD156" t="str">
        <f t="shared" si="35"/>
        <v>OK</v>
      </c>
      <c r="AE156">
        <f t="shared" si="36"/>
        <v>2209.252</v>
      </c>
      <c r="AF156">
        <f t="shared" si="37"/>
        <v>685.47199999999998</v>
      </c>
      <c r="AG156">
        <f t="shared" si="38"/>
        <v>0.31027334138432372</v>
      </c>
      <c r="AH156" t="str">
        <f t="shared" si="30"/>
        <v>February</v>
      </c>
      <c r="AI156">
        <f t="shared" si="31"/>
        <v>2024</v>
      </c>
      <c r="AJ156" t="str">
        <f t="shared" si="39"/>
        <v>OK</v>
      </c>
      <c r="AK156" t="str">
        <f t="shared" si="40"/>
        <v>OK</v>
      </c>
      <c r="AL156" t="str">
        <f t="shared" si="41"/>
        <v>Include</v>
      </c>
      <c r="AM156" t="str">
        <f t="shared" si="32"/>
        <v>Warning</v>
      </c>
    </row>
    <row r="157" spans="1:39">
      <c r="A157" t="s">
        <v>574</v>
      </c>
      <c r="B157" s="4">
        <v>45683</v>
      </c>
      <c r="C157" s="4">
        <v>45691</v>
      </c>
      <c r="D157" s="6">
        <v>8</v>
      </c>
      <c r="E157" t="s">
        <v>2788</v>
      </c>
      <c r="F157" t="s">
        <v>2788</v>
      </c>
      <c r="G157" t="s">
        <v>2788</v>
      </c>
      <c r="H157" t="s">
        <v>575</v>
      </c>
      <c r="I157" t="s">
        <v>23</v>
      </c>
      <c r="J157" t="s">
        <v>90</v>
      </c>
      <c r="K157" t="s">
        <v>63</v>
      </c>
      <c r="L157" t="s">
        <v>26</v>
      </c>
      <c r="M157" t="s">
        <v>109</v>
      </c>
      <c r="N157" t="s">
        <v>41</v>
      </c>
      <c r="O157" t="s">
        <v>57</v>
      </c>
      <c r="P157" t="s">
        <v>576</v>
      </c>
      <c r="Q157" t="s">
        <v>44</v>
      </c>
      <c r="R157">
        <v>3</v>
      </c>
      <c r="S157">
        <v>2859.32</v>
      </c>
      <c r="T157">
        <v>0.1</v>
      </c>
      <c r="U157">
        <v>7720.16</v>
      </c>
      <c r="V157">
        <v>5881</v>
      </c>
      <c r="W157">
        <v>1839.16</v>
      </c>
      <c r="X157" t="s">
        <v>102</v>
      </c>
      <c r="Y157" t="s">
        <v>103</v>
      </c>
      <c r="Z157" t="str">
        <f t="shared" si="28"/>
        <v>Unique</v>
      </c>
      <c r="AA157" t="str">
        <f t="shared" si="29"/>
        <v>Unique</v>
      </c>
      <c r="AB157" t="str">
        <f t="shared" si="33"/>
        <v>OK</v>
      </c>
      <c r="AC157">
        <f t="shared" si="34"/>
        <v>0.1</v>
      </c>
      <c r="AD157" t="str">
        <f t="shared" si="35"/>
        <v>OK</v>
      </c>
      <c r="AE157">
        <f t="shared" si="36"/>
        <v>7720.1640000000007</v>
      </c>
      <c r="AF157">
        <f t="shared" si="37"/>
        <v>1839.1640000000007</v>
      </c>
      <c r="AG157">
        <f t="shared" si="38"/>
        <v>0.23822861794127695</v>
      </c>
      <c r="AH157" t="str">
        <f t="shared" si="30"/>
        <v>January</v>
      </c>
      <c r="AI157">
        <f t="shared" si="31"/>
        <v>2025</v>
      </c>
      <c r="AJ157" t="str">
        <f t="shared" si="39"/>
        <v>OK</v>
      </c>
      <c r="AK157" t="str">
        <f t="shared" si="40"/>
        <v>OK</v>
      </c>
      <c r="AL157" t="str">
        <f t="shared" si="41"/>
        <v>Exclude</v>
      </c>
      <c r="AM157" t="str">
        <f t="shared" si="32"/>
        <v>Clean</v>
      </c>
    </row>
    <row r="158" spans="1:39">
      <c r="A158" t="s">
        <v>577</v>
      </c>
      <c r="B158" s="4">
        <v>45743</v>
      </c>
      <c r="C158" s="4">
        <v>45743</v>
      </c>
      <c r="D158" s="6">
        <v>0</v>
      </c>
      <c r="E158" t="s">
        <v>2788</v>
      </c>
      <c r="F158" t="s">
        <v>2788</v>
      </c>
      <c r="G158" t="s">
        <v>2788</v>
      </c>
      <c r="H158" t="s">
        <v>578</v>
      </c>
      <c r="I158" t="s">
        <v>71</v>
      </c>
      <c r="J158" t="s">
        <v>37</v>
      </c>
      <c r="K158" t="s">
        <v>38</v>
      </c>
      <c r="L158" t="s">
        <v>145</v>
      </c>
      <c r="M158" t="s">
        <v>146</v>
      </c>
      <c r="N158" t="s">
        <v>74</v>
      </c>
      <c r="O158" t="s">
        <v>274</v>
      </c>
      <c r="P158" t="s">
        <v>579</v>
      </c>
      <c r="Q158" t="s">
        <v>31</v>
      </c>
      <c r="R158">
        <v>7</v>
      </c>
      <c r="S158">
        <v>2305.37</v>
      </c>
      <c r="T158">
        <v>0.25</v>
      </c>
      <c r="U158">
        <v>12103.19</v>
      </c>
      <c r="V158">
        <v>6717.87</v>
      </c>
      <c r="W158">
        <v>5385.32</v>
      </c>
      <c r="X158" t="s">
        <v>32</v>
      </c>
      <c r="Y158" t="s">
        <v>33</v>
      </c>
      <c r="Z158" t="str">
        <f t="shared" si="28"/>
        <v>Unique</v>
      </c>
      <c r="AA158" t="str">
        <f t="shared" si="29"/>
        <v>Unique</v>
      </c>
      <c r="AB158" t="str">
        <f t="shared" si="33"/>
        <v>OK</v>
      </c>
      <c r="AC158">
        <f t="shared" si="34"/>
        <v>0.25</v>
      </c>
      <c r="AD158" t="str">
        <f t="shared" si="35"/>
        <v>OK</v>
      </c>
      <c r="AE158">
        <f t="shared" si="36"/>
        <v>12103.192500000001</v>
      </c>
      <c r="AF158">
        <f t="shared" si="37"/>
        <v>5385.3225000000011</v>
      </c>
      <c r="AG158">
        <f t="shared" si="38"/>
        <v>0.44495057812225997</v>
      </c>
      <c r="AH158" t="str">
        <f t="shared" si="30"/>
        <v>March</v>
      </c>
      <c r="AI158">
        <f t="shared" si="31"/>
        <v>2025</v>
      </c>
      <c r="AJ158" t="str">
        <f t="shared" si="39"/>
        <v>OK</v>
      </c>
      <c r="AK158" t="str">
        <f t="shared" si="40"/>
        <v>OK</v>
      </c>
      <c r="AL158" t="str">
        <f t="shared" si="41"/>
        <v>Include</v>
      </c>
      <c r="AM158" t="str">
        <f t="shared" si="32"/>
        <v>Clean</v>
      </c>
    </row>
    <row r="159" spans="1:39">
      <c r="A159" t="s">
        <v>580</v>
      </c>
      <c r="B159" s="4">
        <v>45587</v>
      </c>
      <c r="C159" s="4">
        <v>45589</v>
      </c>
      <c r="D159" s="6">
        <v>2</v>
      </c>
      <c r="E159" t="s">
        <v>2788</v>
      </c>
      <c r="F159" t="s">
        <v>2788</v>
      </c>
      <c r="G159" t="s">
        <v>2788</v>
      </c>
      <c r="H159" t="s">
        <v>581</v>
      </c>
      <c r="I159" t="s">
        <v>141</v>
      </c>
      <c r="J159" t="s">
        <v>37</v>
      </c>
      <c r="K159" t="s">
        <v>54</v>
      </c>
      <c r="L159" t="s">
        <v>84</v>
      </c>
      <c r="M159" t="s">
        <v>85</v>
      </c>
      <c r="N159" t="s">
        <v>41</v>
      </c>
      <c r="O159" t="s">
        <v>158</v>
      </c>
      <c r="P159" t="s">
        <v>582</v>
      </c>
      <c r="Q159" t="s">
        <v>59</v>
      </c>
      <c r="R159">
        <v>3</v>
      </c>
      <c r="S159">
        <v>915.84</v>
      </c>
      <c r="T159">
        <v>0.15</v>
      </c>
      <c r="U159">
        <v>2335.39</v>
      </c>
      <c r="V159">
        <v>1466.15</v>
      </c>
      <c r="W159">
        <v>869.24</v>
      </c>
      <c r="X159" t="s">
        <v>32</v>
      </c>
      <c r="Y159" t="s">
        <v>33</v>
      </c>
      <c r="Z159" t="str">
        <f t="shared" si="28"/>
        <v>Unique</v>
      </c>
      <c r="AA159" t="str">
        <f t="shared" si="29"/>
        <v>Unique</v>
      </c>
      <c r="AB159" t="str">
        <f t="shared" si="33"/>
        <v>OK</v>
      </c>
      <c r="AC159">
        <f t="shared" si="34"/>
        <v>0.15</v>
      </c>
      <c r="AD159" t="str">
        <f t="shared" si="35"/>
        <v>OK</v>
      </c>
      <c r="AE159">
        <f t="shared" si="36"/>
        <v>2335.3919999999998</v>
      </c>
      <c r="AF159">
        <f t="shared" si="37"/>
        <v>869.24199999999973</v>
      </c>
      <c r="AG159">
        <f t="shared" si="38"/>
        <v>0.3722038955344541</v>
      </c>
      <c r="AH159" t="str">
        <f t="shared" si="30"/>
        <v>October</v>
      </c>
      <c r="AI159">
        <f t="shared" si="31"/>
        <v>2024</v>
      </c>
      <c r="AJ159" t="str">
        <f t="shared" si="39"/>
        <v>OK</v>
      </c>
      <c r="AK159" t="str">
        <f t="shared" si="40"/>
        <v>OK</v>
      </c>
      <c r="AL159" t="str">
        <f t="shared" si="41"/>
        <v>Include</v>
      </c>
      <c r="AM159" t="str">
        <f t="shared" si="32"/>
        <v>Clean</v>
      </c>
    </row>
    <row r="160" spans="1:39">
      <c r="A160" t="s">
        <v>583</v>
      </c>
      <c r="B160" s="4">
        <v>45544</v>
      </c>
      <c r="C160" s="4">
        <v>45546</v>
      </c>
      <c r="D160" s="6">
        <v>2</v>
      </c>
      <c r="E160" t="s">
        <v>2788</v>
      </c>
      <c r="F160" t="s">
        <v>2788</v>
      </c>
      <c r="G160" t="s">
        <v>2788</v>
      </c>
      <c r="H160" t="s">
        <v>584</v>
      </c>
      <c r="I160" t="s">
        <v>79</v>
      </c>
      <c r="J160" t="s">
        <v>95</v>
      </c>
      <c r="K160" t="s">
        <v>54</v>
      </c>
      <c r="L160" t="s">
        <v>55</v>
      </c>
      <c r="M160" t="s">
        <v>56</v>
      </c>
      <c r="N160" t="s">
        <v>41</v>
      </c>
      <c r="O160" t="s">
        <v>158</v>
      </c>
      <c r="P160" t="s">
        <v>585</v>
      </c>
      <c r="Q160" t="s">
        <v>50</v>
      </c>
      <c r="R160">
        <v>1</v>
      </c>
      <c r="S160">
        <v>4199.54</v>
      </c>
      <c r="T160">
        <v>0.05</v>
      </c>
      <c r="U160">
        <v>3989.56</v>
      </c>
      <c r="V160">
        <v>2381.38</v>
      </c>
      <c r="W160">
        <v>1608.18</v>
      </c>
      <c r="X160" t="s">
        <v>32</v>
      </c>
      <c r="Y160" t="s">
        <v>33</v>
      </c>
      <c r="Z160" t="str">
        <f t="shared" si="28"/>
        <v>Unique</v>
      </c>
      <c r="AA160" t="str">
        <f t="shared" si="29"/>
        <v>Unique</v>
      </c>
      <c r="AB160" t="str">
        <f t="shared" si="33"/>
        <v>OK</v>
      </c>
      <c r="AC160">
        <f t="shared" si="34"/>
        <v>0.05</v>
      </c>
      <c r="AD160" t="str">
        <f t="shared" si="35"/>
        <v>OK</v>
      </c>
      <c r="AE160">
        <f t="shared" si="36"/>
        <v>3989.5629999999996</v>
      </c>
      <c r="AF160">
        <f t="shared" si="37"/>
        <v>1608.1829999999995</v>
      </c>
      <c r="AG160">
        <f t="shared" si="38"/>
        <v>0.40309753223598666</v>
      </c>
      <c r="AH160" t="str">
        <f t="shared" si="30"/>
        <v>September</v>
      </c>
      <c r="AI160">
        <f t="shared" si="31"/>
        <v>2024</v>
      </c>
      <c r="AJ160" t="str">
        <f t="shared" si="39"/>
        <v>OK</v>
      </c>
      <c r="AK160" t="str">
        <f t="shared" si="40"/>
        <v>OK</v>
      </c>
      <c r="AL160" t="str">
        <f t="shared" si="41"/>
        <v>Include</v>
      </c>
      <c r="AM160" t="str">
        <f t="shared" si="32"/>
        <v>Clean</v>
      </c>
    </row>
    <row r="161" spans="1:39">
      <c r="A161" t="s">
        <v>586</v>
      </c>
      <c r="B161" s="4">
        <v>45687</v>
      </c>
      <c r="C161" s="4">
        <v>45692</v>
      </c>
      <c r="D161" s="6">
        <v>5</v>
      </c>
      <c r="E161" t="s">
        <v>2788</v>
      </c>
      <c r="F161" t="s">
        <v>2788</v>
      </c>
      <c r="G161" t="s">
        <v>2788</v>
      </c>
      <c r="H161" t="s">
        <v>587</v>
      </c>
      <c r="I161" t="s">
        <v>114</v>
      </c>
      <c r="J161" t="s">
        <v>90</v>
      </c>
      <c r="K161" t="s">
        <v>25</v>
      </c>
      <c r="L161" t="s">
        <v>236</v>
      </c>
      <c r="M161" t="s">
        <v>237</v>
      </c>
      <c r="N161" t="s">
        <v>41</v>
      </c>
      <c r="O161" t="s">
        <v>66</v>
      </c>
      <c r="P161" t="s">
        <v>588</v>
      </c>
      <c r="Q161" t="s">
        <v>44</v>
      </c>
      <c r="R161">
        <v>9</v>
      </c>
      <c r="S161">
        <v>4430.5</v>
      </c>
      <c r="T161">
        <v>0.15</v>
      </c>
      <c r="U161">
        <v>33893.32</v>
      </c>
      <c r="V161">
        <v>25750.35</v>
      </c>
      <c r="W161">
        <v>8142.97</v>
      </c>
      <c r="X161" t="s">
        <v>111</v>
      </c>
      <c r="Y161" t="s">
        <v>68</v>
      </c>
      <c r="Z161" t="str">
        <f t="shared" si="28"/>
        <v>Unique</v>
      </c>
      <c r="AA161" t="str">
        <f t="shared" si="29"/>
        <v>Unique</v>
      </c>
      <c r="AB161" t="str">
        <f t="shared" si="33"/>
        <v>OK</v>
      </c>
      <c r="AC161">
        <f t="shared" si="34"/>
        <v>0.15</v>
      </c>
      <c r="AD161" t="str">
        <f t="shared" si="35"/>
        <v>OK</v>
      </c>
      <c r="AE161">
        <f t="shared" si="36"/>
        <v>33893.324999999997</v>
      </c>
      <c r="AF161">
        <f t="shared" si="37"/>
        <v>8142.9749999999985</v>
      </c>
      <c r="AG161">
        <f t="shared" si="38"/>
        <v>0.24025305867748292</v>
      </c>
      <c r="AH161" t="str">
        <f t="shared" si="30"/>
        <v>January</v>
      </c>
      <c r="AI161">
        <f t="shared" si="31"/>
        <v>2025</v>
      </c>
      <c r="AJ161" t="str">
        <f t="shared" si="39"/>
        <v>OK</v>
      </c>
      <c r="AK161" t="str">
        <f t="shared" si="40"/>
        <v>OK</v>
      </c>
      <c r="AL161" t="str">
        <f t="shared" si="41"/>
        <v>Exclude</v>
      </c>
      <c r="AM161" t="str">
        <f t="shared" si="32"/>
        <v>Clean</v>
      </c>
    </row>
    <row r="162" spans="1:39">
      <c r="A162" t="s">
        <v>589</v>
      </c>
      <c r="B162" s="4">
        <v>45938</v>
      </c>
      <c r="C162" s="4">
        <v>45936</v>
      </c>
      <c r="D162" s="6">
        <v>-2</v>
      </c>
      <c r="E162" t="s">
        <v>2788</v>
      </c>
      <c r="F162" t="s">
        <v>2788</v>
      </c>
      <c r="G162" t="s">
        <v>2790</v>
      </c>
      <c r="H162" t="s">
        <v>590</v>
      </c>
      <c r="I162" t="s">
        <v>71</v>
      </c>
      <c r="J162" t="s">
        <v>37</v>
      </c>
      <c r="K162" t="s">
        <v>63</v>
      </c>
      <c r="L162" t="s">
        <v>64</v>
      </c>
      <c r="M162" t="s">
        <v>65</v>
      </c>
      <c r="N162" t="s">
        <v>28</v>
      </c>
      <c r="O162" t="s">
        <v>29</v>
      </c>
      <c r="P162" t="s">
        <v>591</v>
      </c>
      <c r="Q162" t="s">
        <v>31</v>
      </c>
      <c r="R162">
        <v>4</v>
      </c>
      <c r="S162">
        <v>1260.42</v>
      </c>
      <c r="T162">
        <v>0.05</v>
      </c>
      <c r="U162">
        <v>4789.6000000000004</v>
      </c>
      <c r="V162">
        <v>4037.64</v>
      </c>
      <c r="W162">
        <v>751.96</v>
      </c>
      <c r="X162" t="s">
        <v>111</v>
      </c>
      <c r="Y162" t="s">
        <v>68</v>
      </c>
      <c r="Z162" t="str">
        <f t="shared" si="28"/>
        <v>Unique</v>
      </c>
      <c r="AA162" t="str">
        <f t="shared" si="29"/>
        <v>Unique</v>
      </c>
      <c r="AB162" t="str">
        <f t="shared" si="33"/>
        <v>OK</v>
      </c>
      <c r="AC162">
        <f t="shared" si="34"/>
        <v>0.05</v>
      </c>
      <c r="AD162" t="str">
        <f t="shared" si="35"/>
        <v>OK</v>
      </c>
      <c r="AE162">
        <f t="shared" si="36"/>
        <v>4789.5960000000005</v>
      </c>
      <c r="AF162">
        <f t="shared" si="37"/>
        <v>751.95600000000059</v>
      </c>
      <c r="AG162">
        <f t="shared" si="38"/>
        <v>0.1569977927157114</v>
      </c>
      <c r="AH162" t="str">
        <f t="shared" si="30"/>
        <v>October</v>
      </c>
      <c r="AI162">
        <f t="shared" si="31"/>
        <v>2025</v>
      </c>
      <c r="AJ162" t="str">
        <f t="shared" si="39"/>
        <v>OK</v>
      </c>
      <c r="AK162" t="str">
        <f t="shared" si="40"/>
        <v>OK</v>
      </c>
      <c r="AL162" t="str">
        <f t="shared" si="41"/>
        <v>Exclude</v>
      </c>
      <c r="AM162" t="str">
        <f t="shared" si="32"/>
        <v>Warning</v>
      </c>
    </row>
    <row r="163" spans="1:39">
      <c r="A163" t="s">
        <v>592</v>
      </c>
      <c r="B163" s="4">
        <v>45862</v>
      </c>
      <c r="C163" s="4">
        <v>45868</v>
      </c>
      <c r="D163" s="6">
        <v>6</v>
      </c>
      <c r="E163" t="s">
        <v>2788</v>
      </c>
      <c r="F163" t="s">
        <v>2788</v>
      </c>
      <c r="G163" t="s">
        <v>2788</v>
      </c>
      <c r="H163" t="s">
        <v>593</v>
      </c>
      <c r="I163" t="s">
        <v>53</v>
      </c>
      <c r="J163" t="s">
        <v>24</v>
      </c>
      <c r="K163" t="s">
        <v>63</v>
      </c>
      <c r="L163" t="s">
        <v>26</v>
      </c>
      <c r="M163" t="s">
        <v>109</v>
      </c>
      <c r="N163" t="s">
        <v>28</v>
      </c>
      <c r="O163" t="s">
        <v>153</v>
      </c>
      <c r="P163" t="s">
        <v>594</v>
      </c>
      <c r="Q163" t="s">
        <v>59</v>
      </c>
      <c r="R163">
        <v>1</v>
      </c>
      <c r="S163">
        <v>1643.41</v>
      </c>
      <c r="T163">
        <v>0</v>
      </c>
      <c r="U163">
        <v>1643.41</v>
      </c>
      <c r="V163">
        <v>907.4</v>
      </c>
      <c r="W163">
        <v>736.01</v>
      </c>
      <c r="X163" t="s">
        <v>111</v>
      </c>
      <c r="Y163" t="s">
        <v>68</v>
      </c>
      <c r="Z163" t="str">
        <f t="shared" si="28"/>
        <v>Unique</v>
      </c>
      <c r="AA163" t="str">
        <f t="shared" si="29"/>
        <v>Unique</v>
      </c>
      <c r="AB163" t="str">
        <f t="shared" si="33"/>
        <v>OK</v>
      </c>
      <c r="AC163">
        <f t="shared" si="34"/>
        <v>0</v>
      </c>
      <c r="AD163" t="str">
        <f t="shared" si="35"/>
        <v>OK</v>
      </c>
      <c r="AE163">
        <f t="shared" si="36"/>
        <v>1643.41</v>
      </c>
      <c r="AF163">
        <f t="shared" si="37"/>
        <v>736.0100000000001</v>
      </c>
      <c r="AG163">
        <f t="shared" si="38"/>
        <v>0.44785537388722235</v>
      </c>
      <c r="AH163" t="str">
        <f t="shared" si="30"/>
        <v>July</v>
      </c>
      <c r="AI163">
        <f t="shared" si="31"/>
        <v>2025</v>
      </c>
      <c r="AJ163" t="str">
        <f t="shared" si="39"/>
        <v>OK</v>
      </c>
      <c r="AK163" t="str">
        <f t="shared" si="40"/>
        <v>OK</v>
      </c>
      <c r="AL163" t="str">
        <f t="shared" si="41"/>
        <v>Exclude</v>
      </c>
      <c r="AM163" t="str">
        <f t="shared" si="32"/>
        <v>Clean</v>
      </c>
    </row>
    <row r="164" spans="1:39">
      <c r="A164" t="s">
        <v>595</v>
      </c>
      <c r="B164" s="4">
        <v>45360</v>
      </c>
      <c r="C164" s="4">
        <v>45365</v>
      </c>
      <c r="D164" s="6">
        <v>5</v>
      </c>
      <c r="E164" t="s">
        <v>2788</v>
      </c>
      <c r="F164" t="s">
        <v>2788</v>
      </c>
      <c r="G164" t="s">
        <v>2788</v>
      </c>
      <c r="H164" t="s">
        <v>596</v>
      </c>
      <c r="I164" t="s">
        <v>79</v>
      </c>
      <c r="J164" t="s">
        <v>37</v>
      </c>
      <c r="K164" t="s">
        <v>63</v>
      </c>
      <c r="L164" t="s">
        <v>190</v>
      </c>
      <c r="M164" t="s">
        <v>191</v>
      </c>
      <c r="N164" t="s">
        <v>41</v>
      </c>
      <c r="O164" t="s">
        <v>57</v>
      </c>
      <c r="P164" t="s">
        <v>597</v>
      </c>
      <c r="Q164" t="s">
        <v>31</v>
      </c>
      <c r="R164">
        <v>8</v>
      </c>
      <c r="S164">
        <v>4472.84</v>
      </c>
      <c r="T164">
        <v>0</v>
      </c>
      <c r="U164">
        <v>35997.620000000003</v>
      </c>
      <c r="V164">
        <v>26424.41</v>
      </c>
      <c r="W164">
        <v>9358.31</v>
      </c>
      <c r="X164" t="s">
        <v>111</v>
      </c>
      <c r="Y164" t="s">
        <v>103</v>
      </c>
      <c r="Z164" t="str">
        <f t="shared" si="28"/>
        <v>Unique</v>
      </c>
      <c r="AA164" t="str">
        <f t="shared" si="29"/>
        <v>Unique</v>
      </c>
      <c r="AB164" t="str">
        <f t="shared" si="33"/>
        <v>OK</v>
      </c>
      <c r="AC164">
        <f t="shared" si="34"/>
        <v>0</v>
      </c>
      <c r="AD164" t="str">
        <f t="shared" si="35"/>
        <v>OK</v>
      </c>
      <c r="AE164">
        <f t="shared" si="36"/>
        <v>35782.720000000001</v>
      </c>
      <c r="AF164">
        <f t="shared" si="37"/>
        <v>9358.3100000000013</v>
      </c>
      <c r="AG164">
        <f t="shared" si="38"/>
        <v>0.2615315437171909</v>
      </c>
      <c r="AH164" t="str">
        <f t="shared" si="30"/>
        <v>March</v>
      </c>
      <c r="AI164">
        <f t="shared" si="31"/>
        <v>2024</v>
      </c>
      <c r="AJ164" t="str">
        <f t="shared" si="39"/>
        <v>Sales Mismatch</v>
      </c>
      <c r="AK164" t="str">
        <f t="shared" si="40"/>
        <v>OK</v>
      </c>
      <c r="AL164" t="str">
        <f t="shared" si="41"/>
        <v>Exclude</v>
      </c>
      <c r="AM164" t="str">
        <f t="shared" si="32"/>
        <v>Warning</v>
      </c>
    </row>
    <row r="165" spans="1:39">
      <c r="A165" t="s">
        <v>598</v>
      </c>
      <c r="B165" s="4">
        <v>45921</v>
      </c>
      <c r="C165" s="4">
        <v>45926</v>
      </c>
      <c r="D165" s="6">
        <v>5</v>
      </c>
      <c r="E165" t="s">
        <v>2788</v>
      </c>
      <c r="F165" t="s">
        <v>2788</v>
      </c>
      <c r="G165" t="s">
        <v>2788</v>
      </c>
      <c r="H165" t="s">
        <v>599</v>
      </c>
      <c r="I165" t="s">
        <v>141</v>
      </c>
      <c r="J165" t="s">
        <v>95</v>
      </c>
      <c r="K165" t="s">
        <v>63</v>
      </c>
      <c r="L165" t="s">
        <v>180</v>
      </c>
      <c r="M165" t="s">
        <v>181</v>
      </c>
      <c r="N165" t="s">
        <v>41</v>
      </c>
      <c r="O165" t="s">
        <v>42</v>
      </c>
      <c r="P165" t="s">
        <v>600</v>
      </c>
      <c r="Q165" t="s">
        <v>2783</v>
      </c>
      <c r="R165">
        <v>6</v>
      </c>
      <c r="S165">
        <v>2903.58</v>
      </c>
      <c r="T165">
        <v>0.1</v>
      </c>
      <c r="U165">
        <v>15679.33</v>
      </c>
      <c r="V165">
        <v>12477.82</v>
      </c>
      <c r="W165">
        <v>3201.51</v>
      </c>
      <c r="X165" t="s">
        <v>111</v>
      </c>
      <c r="Y165" t="s">
        <v>103</v>
      </c>
      <c r="Z165" t="str">
        <f t="shared" si="28"/>
        <v>Unique</v>
      </c>
      <c r="AA165" t="str">
        <f t="shared" si="29"/>
        <v>Unique</v>
      </c>
      <c r="AB165" t="str">
        <f t="shared" si="33"/>
        <v>OK</v>
      </c>
      <c r="AC165">
        <f t="shared" si="34"/>
        <v>0.1</v>
      </c>
      <c r="AD165" t="str">
        <f t="shared" si="35"/>
        <v>OK</v>
      </c>
      <c r="AE165">
        <f t="shared" si="36"/>
        <v>15679.332</v>
      </c>
      <c r="AF165">
        <f t="shared" si="37"/>
        <v>3201.5120000000006</v>
      </c>
      <c r="AG165">
        <f t="shared" si="38"/>
        <v>0.20418675999717339</v>
      </c>
      <c r="AH165" t="str">
        <f t="shared" si="30"/>
        <v>September</v>
      </c>
      <c r="AI165">
        <f t="shared" si="31"/>
        <v>2025</v>
      </c>
      <c r="AJ165" t="str">
        <f t="shared" si="39"/>
        <v>OK</v>
      </c>
      <c r="AK165" t="str">
        <f t="shared" si="40"/>
        <v>OK</v>
      </c>
      <c r="AL165" t="str">
        <f t="shared" si="41"/>
        <v>Exclude</v>
      </c>
      <c r="AM165" t="str">
        <f t="shared" si="32"/>
        <v>Clean</v>
      </c>
    </row>
    <row r="166" spans="1:39">
      <c r="A166" t="s">
        <v>601</v>
      </c>
      <c r="B166" s="4">
        <v>45909</v>
      </c>
      <c r="C166" s="4">
        <v>45914</v>
      </c>
      <c r="D166" s="6">
        <v>5</v>
      </c>
      <c r="E166" t="s">
        <v>2788</v>
      </c>
      <c r="F166" t="s">
        <v>2788</v>
      </c>
      <c r="G166" t="s">
        <v>2788</v>
      </c>
      <c r="H166" t="s">
        <v>602</v>
      </c>
      <c r="I166" t="s">
        <v>118</v>
      </c>
      <c r="J166" t="s">
        <v>37</v>
      </c>
      <c r="K166" t="s">
        <v>38</v>
      </c>
      <c r="L166" t="s">
        <v>99</v>
      </c>
      <c r="M166" t="s">
        <v>100</v>
      </c>
      <c r="N166" t="s">
        <v>41</v>
      </c>
      <c r="O166" t="s">
        <v>158</v>
      </c>
      <c r="P166" t="s">
        <v>603</v>
      </c>
      <c r="Q166" t="s">
        <v>31</v>
      </c>
      <c r="R166">
        <v>1</v>
      </c>
      <c r="S166">
        <v>3154.42</v>
      </c>
      <c r="T166">
        <v>0.25</v>
      </c>
      <c r="U166">
        <v>2365.8200000000002</v>
      </c>
      <c r="V166">
        <v>1547.99</v>
      </c>
      <c r="W166">
        <v>817.83</v>
      </c>
      <c r="X166" t="s">
        <v>32</v>
      </c>
      <c r="Y166" t="s">
        <v>33</v>
      </c>
      <c r="Z166" t="str">
        <f t="shared" si="28"/>
        <v>Unique</v>
      </c>
      <c r="AA166" t="str">
        <f t="shared" si="29"/>
        <v>Unique</v>
      </c>
      <c r="AB166" t="str">
        <f t="shared" si="33"/>
        <v>OK</v>
      </c>
      <c r="AC166">
        <f t="shared" si="34"/>
        <v>0.25</v>
      </c>
      <c r="AD166" t="str">
        <f t="shared" si="35"/>
        <v>OK</v>
      </c>
      <c r="AE166">
        <f t="shared" si="36"/>
        <v>2365.8150000000001</v>
      </c>
      <c r="AF166">
        <f t="shared" si="37"/>
        <v>817.82500000000005</v>
      </c>
      <c r="AG166">
        <f t="shared" si="38"/>
        <v>0.34568425679945392</v>
      </c>
      <c r="AH166" t="str">
        <f t="shared" si="30"/>
        <v>September</v>
      </c>
      <c r="AI166">
        <f t="shared" si="31"/>
        <v>2025</v>
      </c>
      <c r="AJ166" t="str">
        <f t="shared" si="39"/>
        <v>OK</v>
      </c>
      <c r="AK166" t="str">
        <f t="shared" si="40"/>
        <v>OK</v>
      </c>
      <c r="AL166" t="str">
        <f t="shared" si="41"/>
        <v>Include</v>
      </c>
      <c r="AM166" t="str">
        <f t="shared" si="32"/>
        <v>Clean</v>
      </c>
    </row>
    <row r="167" spans="1:39">
      <c r="A167" t="s">
        <v>604</v>
      </c>
      <c r="B167" s="4">
        <v>45618</v>
      </c>
      <c r="C167" s="4">
        <v>45625</v>
      </c>
      <c r="D167" s="6">
        <v>7</v>
      </c>
      <c r="E167" t="s">
        <v>2788</v>
      </c>
      <c r="F167" t="s">
        <v>2788</v>
      </c>
      <c r="G167" t="s">
        <v>2788</v>
      </c>
      <c r="H167" t="s">
        <v>605</v>
      </c>
      <c r="I167" t="s">
        <v>36</v>
      </c>
      <c r="J167" t="s">
        <v>95</v>
      </c>
      <c r="K167" t="s">
        <v>38</v>
      </c>
      <c r="L167" t="s">
        <v>145</v>
      </c>
      <c r="M167" t="s">
        <v>146</v>
      </c>
      <c r="N167" t="s">
        <v>41</v>
      </c>
      <c r="O167" t="s">
        <v>66</v>
      </c>
      <c r="P167" t="s">
        <v>606</v>
      </c>
      <c r="Q167" t="s">
        <v>59</v>
      </c>
      <c r="R167">
        <v>4</v>
      </c>
      <c r="S167">
        <v>3422.99</v>
      </c>
      <c r="T167">
        <v>0.25</v>
      </c>
      <c r="U167">
        <v>10268.969999999999</v>
      </c>
      <c r="V167">
        <v>6470.92</v>
      </c>
      <c r="W167">
        <v>3798.05</v>
      </c>
      <c r="X167" t="s">
        <v>32</v>
      </c>
      <c r="Y167" t="s">
        <v>33</v>
      </c>
      <c r="Z167" t="str">
        <f t="shared" si="28"/>
        <v>Unique</v>
      </c>
      <c r="AA167" t="str">
        <f t="shared" si="29"/>
        <v>Unique</v>
      </c>
      <c r="AB167" t="str">
        <f t="shared" si="33"/>
        <v>OK</v>
      </c>
      <c r="AC167">
        <f t="shared" si="34"/>
        <v>0.25</v>
      </c>
      <c r="AD167" t="str">
        <f t="shared" si="35"/>
        <v>OK</v>
      </c>
      <c r="AE167">
        <f t="shared" si="36"/>
        <v>10268.969999999999</v>
      </c>
      <c r="AF167">
        <f t="shared" si="37"/>
        <v>3798.0499999999993</v>
      </c>
      <c r="AG167">
        <f t="shared" si="38"/>
        <v>0.36985695741637181</v>
      </c>
      <c r="AH167" t="str">
        <f t="shared" si="30"/>
        <v>November</v>
      </c>
      <c r="AI167">
        <f t="shared" si="31"/>
        <v>2024</v>
      </c>
      <c r="AJ167" t="str">
        <f t="shared" si="39"/>
        <v>OK</v>
      </c>
      <c r="AK167" t="str">
        <f t="shared" si="40"/>
        <v>OK</v>
      </c>
      <c r="AL167" t="str">
        <f t="shared" si="41"/>
        <v>Include</v>
      </c>
      <c r="AM167" t="str">
        <f t="shared" si="32"/>
        <v>Clean</v>
      </c>
    </row>
    <row r="168" spans="1:39">
      <c r="A168" t="s">
        <v>607</v>
      </c>
      <c r="B168" s="4">
        <v>45708</v>
      </c>
      <c r="C168" s="4">
        <v>45714</v>
      </c>
      <c r="D168" s="6">
        <v>6</v>
      </c>
      <c r="E168" t="s">
        <v>2788</v>
      </c>
      <c r="F168" t="s">
        <v>2788</v>
      </c>
      <c r="G168" t="s">
        <v>2788</v>
      </c>
      <c r="H168" t="s">
        <v>608</v>
      </c>
      <c r="I168" t="s">
        <v>23</v>
      </c>
      <c r="J168" t="s">
        <v>37</v>
      </c>
      <c r="K168" t="s">
        <v>63</v>
      </c>
      <c r="L168" t="s">
        <v>180</v>
      </c>
      <c r="M168" t="s">
        <v>181</v>
      </c>
      <c r="N168" t="s">
        <v>28</v>
      </c>
      <c r="O168" t="s">
        <v>91</v>
      </c>
      <c r="P168" t="s">
        <v>609</v>
      </c>
      <c r="Q168" t="s">
        <v>50</v>
      </c>
      <c r="R168">
        <v>1</v>
      </c>
      <c r="S168">
        <v>2557.85</v>
      </c>
      <c r="T168">
        <v>0.2</v>
      </c>
      <c r="U168">
        <v>2046.28</v>
      </c>
      <c r="V168">
        <v>1449.54</v>
      </c>
      <c r="W168">
        <v>596.74</v>
      </c>
      <c r="X168" t="s">
        <v>32</v>
      </c>
      <c r="Y168" t="s">
        <v>33</v>
      </c>
      <c r="Z168" t="str">
        <f t="shared" si="28"/>
        <v>Unique</v>
      </c>
      <c r="AA168" t="str">
        <f t="shared" si="29"/>
        <v>Unique</v>
      </c>
      <c r="AB168" t="str">
        <f t="shared" si="33"/>
        <v>OK</v>
      </c>
      <c r="AC168">
        <f t="shared" si="34"/>
        <v>0.2</v>
      </c>
      <c r="AD168" t="str">
        <f t="shared" si="35"/>
        <v>OK</v>
      </c>
      <c r="AE168">
        <f t="shared" si="36"/>
        <v>2046.28</v>
      </c>
      <c r="AF168">
        <f t="shared" si="37"/>
        <v>596.74</v>
      </c>
      <c r="AG168">
        <f t="shared" si="38"/>
        <v>0.29162186992982386</v>
      </c>
      <c r="AH168" t="str">
        <f t="shared" si="30"/>
        <v>February</v>
      </c>
      <c r="AI168">
        <f t="shared" si="31"/>
        <v>2025</v>
      </c>
      <c r="AJ168" t="str">
        <f t="shared" si="39"/>
        <v>OK</v>
      </c>
      <c r="AK168" t="str">
        <f t="shared" si="40"/>
        <v>OK</v>
      </c>
      <c r="AL168" t="str">
        <f t="shared" si="41"/>
        <v>Include</v>
      </c>
      <c r="AM168" t="str">
        <f t="shared" si="32"/>
        <v>Clean</v>
      </c>
    </row>
    <row r="169" spans="1:39">
      <c r="A169" t="s">
        <v>610</v>
      </c>
      <c r="B169" s="4">
        <v>45887</v>
      </c>
      <c r="C169" s="4">
        <v>45887</v>
      </c>
      <c r="D169" s="6">
        <v>0</v>
      </c>
      <c r="E169" t="s">
        <v>2788</v>
      </c>
      <c r="F169" t="s">
        <v>2788</v>
      </c>
      <c r="G169" t="s">
        <v>2788</v>
      </c>
      <c r="H169" t="s">
        <v>611</v>
      </c>
      <c r="I169" t="s">
        <v>53</v>
      </c>
      <c r="J169" t="s">
        <v>95</v>
      </c>
      <c r="K169" t="s">
        <v>54</v>
      </c>
      <c r="L169" t="s">
        <v>175</v>
      </c>
      <c r="M169" t="s">
        <v>176</v>
      </c>
      <c r="N169" t="s">
        <v>28</v>
      </c>
      <c r="O169" t="s">
        <v>124</v>
      </c>
      <c r="P169" t="s">
        <v>612</v>
      </c>
      <c r="Q169" t="s">
        <v>50</v>
      </c>
      <c r="R169">
        <v>9</v>
      </c>
      <c r="S169">
        <v>3030.93</v>
      </c>
      <c r="T169">
        <v>0.15</v>
      </c>
      <c r="U169">
        <v>23186.61</v>
      </c>
      <c r="V169">
        <v>17906.54</v>
      </c>
      <c r="W169">
        <v>5280.07</v>
      </c>
      <c r="X169" t="s">
        <v>32</v>
      </c>
      <c r="Y169" t="s">
        <v>103</v>
      </c>
      <c r="Z169" t="str">
        <f t="shared" si="28"/>
        <v>Unique</v>
      </c>
      <c r="AA169" t="str">
        <f t="shared" si="29"/>
        <v>Unique</v>
      </c>
      <c r="AB169" t="str">
        <f t="shared" si="33"/>
        <v>OK</v>
      </c>
      <c r="AC169">
        <f t="shared" si="34"/>
        <v>0.15</v>
      </c>
      <c r="AD169" t="str">
        <f t="shared" si="35"/>
        <v>OK</v>
      </c>
      <c r="AE169">
        <f t="shared" si="36"/>
        <v>23186.6145</v>
      </c>
      <c r="AF169">
        <f t="shared" si="37"/>
        <v>5280.0744999999988</v>
      </c>
      <c r="AG169">
        <f t="shared" si="38"/>
        <v>0.22772080417345961</v>
      </c>
      <c r="AH169" t="str">
        <f t="shared" si="30"/>
        <v>August</v>
      </c>
      <c r="AI169">
        <f t="shared" si="31"/>
        <v>2025</v>
      </c>
      <c r="AJ169" t="str">
        <f t="shared" si="39"/>
        <v>OK</v>
      </c>
      <c r="AK169" t="str">
        <f t="shared" si="40"/>
        <v>OK</v>
      </c>
      <c r="AL169" t="str">
        <f t="shared" si="41"/>
        <v>Exclude</v>
      </c>
      <c r="AM169" t="str">
        <f t="shared" si="32"/>
        <v>Clean</v>
      </c>
    </row>
    <row r="170" spans="1:39">
      <c r="A170" t="s">
        <v>613</v>
      </c>
      <c r="B170" s="4">
        <v>45677</v>
      </c>
      <c r="C170" s="4">
        <v>45680</v>
      </c>
      <c r="D170" s="6">
        <v>3</v>
      </c>
      <c r="E170" t="s">
        <v>2788</v>
      </c>
      <c r="F170" t="s">
        <v>2788</v>
      </c>
      <c r="G170" t="s">
        <v>2788</v>
      </c>
      <c r="H170" t="s">
        <v>614</v>
      </c>
      <c r="I170" t="s">
        <v>264</v>
      </c>
      <c r="J170" t="s">
        <v>24</v>
      </c>
      <c r="K170" t="s">
        <v>63</v>
      </c>
      <c r="L170" t="s">
        <v>64</v>
      </c>
      <c r="M170" t="s">
        <v>65</v>
      </c>
      <c r="N170" t="s">
        <v>74</v>
      </c>
      <c r="O170" t="s">
        <v>75</v>
      </c>
      <c r="P170" t="s">
        <v>615</v>
      </c>
      <c r="Q170" t="s">
        <v>44</v>
      </c>
      <c r="R170">
        <v>5</v>
      </c>
      <c r="S170">
        <v>639.27</v>
      </c>
      <c r="T170">
        <v>0.2</v>
      </c>
      <c r="U170">
        <v>2557.08</v>
      </c>
      <c r="V170">
        <v>2025.69</v>
      </c>
      <c r="W170">
        <v>531.39</v>
      </c>
      <c r="X170" t="s">
        <v>32</v>
      </c>
      <c r="Y170" t="s">
        <v>68</v>
      </c>
      <c r="Z170" t="str">
        <f t="shared" si="28"/>
        <v>Unique</v>
      </c>
      <c r="AA170" t="str">
        <f t="shared" si="29"/>
        <v>Unique</v>
      </c>
      <c r="AB170" t="str">
        <f t="shared" si="33"/>
        <v>OK</v>
      </c>
      <c r="AC170">
        <f t="shared" si="34"/>
        <v>0.2</v>
      </c>
      <c r="AD170" t="str">
        <f t="shared" si="35"/>
        <v>OK</v>
      </c>
      <c r="AE170">
        <f t="shared" si="36"/>
        <v>2557.08</v>
      </c>
      <c r="AF170">
        <f t="shared" si="37"/>
        <v>531.38999999999987</v>
      </c>
      <c r="AG170">
        <f t="shared" si="38"/>
        <v>0.2078112534609789</v>
      </c>
      <c r="AH170" t="str">
        <f t="shared" si="30"/>
        <v>January</v>
      </c>
      <c r="AI170">
        <f t="shared" si="31"/>
        <v>2025</v>
      </c>
      <c r="AJ170" t="str">
        <f t="shared" si="39"/>
        <v>OK</v>
      </c>
      <c r="AK170" t="str">
        <f t="shared" si="40"/>
        <v>OK</v>
      </c>
      <c r="AL170" t="str">
        <f t="shared" si="41"/>
        <v>Exclude</v>
      </c>
      <c r="AM170" t="str">
        <f t="shared" si="32"/>
        <v>Clean</v>
      </c>
    </row>
    <row r="171" spans="1:39">
      <c r="A171" t="s">
        <v>616</v>
      </c>
      <c r="B171" s="4">
        <v>45913</v>
      </c>
      <c r="C171" s="4">
        <v>45913</v>
      </c>
      <c r="D171" s="6">
        <v>0</v>
      </c>
      <c r="E171" t="s">
        <v>2788</v>
      </c>
      <c r="F171" t="s">
        <v>2788</v>
      </c>
      <c r="G171" t="s">
        <v>2788</v>
      </c>
      <c r="H171" t="s">
        <v>617</v>
      </c>
      <c r="I171" t="s">
        <v>162</v>
      </c>
      <c r="J171" t="s">
        <v>24</v>
      </c>
      <c r="K171" t="s">
        <v>38</v>
      </c>
      <c r="L171" t="s">
        <v>166</v>
      </c>
      <c r="M171" t="s">
        <v>167</v>
      </c>
      <c r="N171" t="s">
        <v>28</v>
      </c>
      <c r="O171" t="s">
        <v>48</v>
      </c>
      <c r="P171" t="s">
        <v>618</v>
      </c>
      <c r="Q171" t="s">
        <v>59</v>
      </c>
      <c r="R171">
        <v>8</v>
      </c>
      <c r="S171">
        <v>733.9</v>
      </c>
      <c r="T171">
        <v>0.05</v>
      </c>
      <c r="U171">
        <v>5577.64</v>
      </c>
      <c r="V171">
        <v>3541.29</v>
      </c>
      <c r="W171">
        <v>2036.35</v>
      </c>
      <c r="X171" t="s">
        <v>111</v>
      </c>
      <c r="Y171" t="s">
        <v>103</v>
      </c>
      <c r="Z171" t="str">
        <f t="shared" si="28"/>
        <v>Unique</v>
      </c>
      <c r="AA171" t="str">
        <f t="shared" si="29"/>
        <v>Unique</v>
      </c>
      <c r="AB171" t="str">
        <f t="shared" si="33"/>
        <v>OK</v>
      </c>
      <c r="AC171">
        <f t="shared" si="34"/>
        <v>0.05</v>
      </c>
      <c r="AD171" t="str">
        <f t="shared" si="35"/>
        <v>OK</v>
      </c>
      <c r="AE171">
        <f t="shared" si="36"/>
        <v>5577.6399999999994</v>
      </c>
      <c r="AF171">
        <f t="shared" si="37"/>
        <v>2036.3499999999995</v>
      </c>
      <c r="AG171">
        <f t="shared" si="38"/>
        <v>0.36509168752375548</v>
      </c>
      <c r="AH171" t="str">
        <f t="shared" si="30"/>
        <v>September</v>
      </c>
      <c r="AI171">
        <f t="shared" si="31"/>
        <v>2025</v>
      </c>
      <c r="AJ171" t="str">
        <f t="shared" si="39"/>
        <v>OK</v>
      </c>
      <c r="AK171" t="str">
        <f t="shared" si="40"/>
        <v>OK</v>
      </c>
      <c r="AL171" t="str">
        <f t="shared" si="41"/>
        <v>Exclude</v>
      </c>
      <c r="AM171" t="str">
        <f t="shared" si="32"/>
        <v>Clean</v>
      </c>
    </row>
    <row r="172" spans="1:39">
      <c r="A172" t="s">
        <v>619</v>
      </c>
      <c r="B172" s="4">
        <v>45907</v>
      </c>
      <c r="C172" s="4">
        <v>45915</v>
      </c>
      <c r="D172" s="6">
        <v>8</v>
      </c>
      <c r="E172" t="s">
        <v>2788</v>
      </c>
      <c r="F172" t="s">
        <v>2788</v>
      </c>
      <c r="G172" t="s">
        <v>2788</v>
      </c>
      <c r="H172" t="s">
        <v>620</v>
      </c>
      <c r="I172" t="s">
        <v>141</v>
      </c>
      <c r="J172" t="s">
        <v>90</v>
      </c>
      <c r="K172" t="s">
        <v>38</v>
      </c>
      <c r="L172" t="s">
        <v>145</v>
      </c>
      <c r="M172" t="s">
        <v>146</v>
      </c>
      <c r="N172" t="s">
        <v>74</v>
      </c>
      <c r="O172" t="s">
        <v>80</v>
      </c>
      <c r="P172" t="s">
        <v>621</v>
      </c>
      <c r="Q172" t="s">
        <v>59</v>
      </c>
      <c r="R172">
        <v>3</v>
      </c>
      <c r="S172">
        <v>1711.32</v>
      </c>
      <c r="T172">
        <v>0</v>
      </c>
      <c r="U172">
        <v>5133.96</v>
      </c>
      <c r="V172">
        <v>3930</v>
      </c>
      <c r="W172">
        <v>1203.96</v>
      </c>
      <c r="X172" t="s">
        <v>32</v>
      </c>
      <c r="Y172" t="s">
        <v>33</v>
      </c>
      <c r="Z172" t="str">
        <f t="shared" si="28"/>
        <v>Unique</v>
      </c>
      <c r="AA172" t="str">
        <f t="shared" si="29"/>
        <v>Duplicate Order ID</v>
      </c>
      <c r="AB172" t="str">
        <f t="shared" si="33"/>
        <v>Conflicting Duplicate</v>
      </c>
      <c r="AC172">
        <f t="shared" si="34"/>
        <v>0</v>
      </c>
      <c r="AD172" t="str">
        <f t="shared" si="35"/>
        <v>OK</v>
      </c>
      <c r="AE172">
        <f t="shared" si="36"/>
        <v>5133.96</v>
      </c>
      <c r="AF172">
        <f t="shared" si="37"/>
        <v>1203.96</v>
      </c>
      <c r="AG172">
        <f t="shared" si="38"/>
        <v>0.23450903396208775</v>
      </c>
      <c r="AH172" t="str">
        <f t="shared" si="30"/>
        <v>September</v>
      </c>
      <c r="AI172">
        <f t="shared" si="31"/>
        <v>2025</v>
      </c>
      <c r="AJ172" t="str">
        <f t="shared" si="39"/>
        <v>OK</v>
      </c>
      <c r="AK172" t="str">
        <f t="shared" si="40"/>
        <v>OK</v>
      </c>
      <c r="AL172" t="str">
        <f t="shared" si="41"/>
        <v>Include</v>
      </c>
      <c r="AM172" t="str">
        <f t="shared" si="32"/>
        <v>Invalid</v>
      </c>
    </row>
    <row r="173" spans="1:39">
      <c r="A173" t="s">
        <v>622</v>
      </c>
      <c r="B173" s="4">
        <v>45711</v>
      </c>
      <c r="C173" s="4">
        <v>45713</v>
      </c>
      <c r="D173" s="6">
        <v>2</v>
      </c>
      <c r="E173" t="s">
        <v>2788</v>
      </c>
      <c r="F173" t="s">
        <v>2788</v>
      </c>
      <c r="G173" t="s">
        <v>2788</v>
      </c>
      <c r="H173" t="s">
        <v>623</v>
      </c>
      <c r="I173" t="s">
        <v>23</v>
      </c>
      <c r="J173" t="s">
        <v>90</v>
      </c>
      <c r="K173" t="s">
        <v>38</v>
      </c>
      <c r="L173" t="s">
        <v>145</v>
      </c>
      <c r="M173" t="s">
        <v>146</v>
      </c>
      <c r="N173" t="s">
        <v>28</v>
      </c>
      <c r="O173" t="s">
        <v>91</v>
      </c>
      <c r="P173" t="s">
        <v>624</v>
      </c>
      <c r="Q173" t="s">
        <v>44</v>
      </c>
      <c r="R173">
        <v>5</v>
      </c>
      <c r="S173">
        <v>4246.2700000000004</v>
      </c>
      <c r="T173">
        <v>0.25</v>
      </c>
      <c r="U173">
        <v>15923.51</v>
      </c>
      <c r="V173">
        <v>11291.8</v>
      </c>
      <c r="W173">
        <v>4631.71</v>
      </c>
      <c r="X173" t="s">
        <v>32</v>
      </c>
      <c r="Y173" t="s">
        <v>33</v>
      </c>
      <c r="Z173" t="str">
        <f t="shared" si="28"/>
        <v>Unique</v>
      </c>
      <c r="AA173" t="str">
        <f t="shared" si="29"/>
        <v>Unique</v>
      </c>
      <c r="AB173" t="str">
        <f t="shared" si="33"/>
        <v>OK</v>
      </c>
      <c r="AC173">
        <f t="shared" si="34"/>
        <v>0.25</v>
      </c>
      <c r="AD173" t="str">
        <f t="shared" si="35"/>
        <v>OK</v>
      </c>
      <c r="AE173">
        <f t="shared" si="36"/>
        <v>15923.512500000001</v>
      </c>
      <c r="AF173">
        <f t="shared" si="37"/>
        <v>4631.7125000000015</v>
      </c>
      <c r="AG173">
        <f t="shared" si="38"/>
        <v>0.29087253832971849</v>
      </c>
      <c r="AH173" t="str">
        <f t="shared" si="30"/>
        <v>February</v>
      </c>
      <c r="AI173">
        <f t="shared" si="31"/>
        <v>2025</v>
      </c>
      <c r="AJ173" t="str">
        <f t="shared" si="39"/>
        <v>OK</v>
      </c>
      <c r="AK173" t="str">
        <f t="shared" si="40"/>
        <v>OK</v>
      </c>
      <c r="AL173" t="str">
        <f t="shared" si="41"/>
        <v>Include</v>
      </c>
      <c r="AM173" t="str">
        <f t="shared" si="32"/>
        <v>Clean</v>
      </c>
    </row>
    <row r="174" spans="1:39">
      <c r="A174" t="s">
        <v>625</v>
      </c>
      <c r="B174" s="4">
        <v>45871</v>
      </c>
      <c r="C174" s="4">
        <v>45879</v>
      </c>
      <c r="D174" s="6">
        <v>8</v>
      </c>
      <c r="E174" t="s">
        <v>2788</v>
      </c>
      <c r="F174" t="s">
        <v>2788</v>
      </c>
      <c r="G174" t="s">
        <v>2788</v>
      </c>
      <c r="H174" t="s">
        <v>626</v>
      </c>
      <c r="I174" t="s">
        <v>23</v>
      </c>
      <c r="J174" t="s">
        <v>90</v>
      </c>
      <c r="K174" t="s">
        <v>25</v>
      </c>
      <c r="L174" t="s">
        <v>350</v>
      </c>
      <c r="M174" t="s">
        <v>351</v>
      </c>
      <c r="N174" t="s">
        <v>41</v>
      </c>
      <c r="O174" t="s">
        <v>57</v>
      </c>
      <c r="P174" t="s">
        <v>627</v>
      </c>
      <c r="Q174" t="s">
        <v>44</v>
      </c>
      <c r="R174">
        <v>9</v>
      </c>
      <c r="S174">
        <v>2962.62</v>
      </c>
      <c r="T174">
        <v>0.1</v>
      </c>
      <c r="U174">
        <v>23997.22</v>
      </c>
      <c r="V174">
        <v>16134.63</v>
      </c>
      <c r="W174">
        <v>7862.59</v>
      </c>
      <c r="X174" t="s">
        <v>102</v>
      </c>
      <c r="Y174" t="s">
        <v>103</v>
      </c>
      <c r="Z174" t="str">
        <f t="shared" si="28"/>
        <v>Unique</v>
      </c>
      <c r="AA174" t="str">
        <f t="shared" si="29"/>
        <v>Unique</v>
      </c>
      <c r="AB174" t="str">
        <f t="shared" si="33"/>
        <v>OK</v>
      </c>
      <c r="AC174">
        <f t="shared" si="34"/>
        <v>0.1</v>
      </c>
      <c r="AD174" t="str">
        <f t="shared" si="35"/>
        <v>OK</v>
      </c>
      <c r="AE174">
        <f t="shared" si="36"/>
        <v>23997.221999999998</v>
      </c>
      <c r="AF174">
        <f t="shared" si="37"/>
        <v>7862.5919999999987</v>
      </c>
      <c r="AG174">
        <f t="shared" si="38"/>
        <v>0.32764592501582057</v>
      </c>
      <c r="AH174" t="str">
        <f t="shared" si="30"/>
        <v>August</v>
      </c>
      <c r="AI174">
        <f t="shared" si="31"/>
        <v>2025</v>
      </c>
      <c r="AJ174" t="str">
        <f t="shared" si="39"/>
        <v>OK</v>
      </c>
      <c r="AK174" t="str">
        <f t="shared" si="40"/>
        <v>OK</v>
      </c>
      <c r="AL174" t="str">
        <f t="shared" si="41"/>
        <v>Exclude</v>
      </c>
      <c r="AM174" t="str">
        <f t="shared" si="32"/>
        <v>Clean</v>
      </c>
    </row>
    <row r="175" spans="1:39">
      <c r="A175" t="s">
        <v>628</v>
      </c>
      <c r="B175" s="4">
        <v>45414</v>
      </c>
      <c r="C175" s="4">
        <v>45420</v>
      </c>
      <c r="D175" s="6">
        <v>6</v>
      </c>
      <c r="E175" t="s">
        <v>2788</v>
      </c>
      <c r="F175" t="s">
        <v>2788</v>
      </c>
      <c r="G175" t="s">
        <v>2788</v>
      </c>
      <c r="H175" t="s">
        <v>629</v>
      </c>
      <c r="I175" t="s">
        <v>114</v>
      </c>
      <c r="J175" t="s">
        <v>95</v>
      </c>
      <c r="K175" t="s">
        <v>25</v>
      </c>
      <c r="L175" t="s">
        <v>122</v>
      </c>
      <c r="M175" t="s">
        <v>123</v>
      </c>
      <c r="N175" t="s">
        <v>74</v>
      </c>
      <c r="O175" t="s">
        <v>80</v>
      </c>
      <c r="P175" t="s">
        <v>630</v>
      </c>
      <c r="Q175" t="s">
        <v>31</v>
      </c>
      <c r="R175">
        <v>1</v>
      </c>
      <c r="S175">
        <v>2312.25</v>
      </c>
      <c r="T175">
        <v>0.25</v>
      </c>
      <c r="U175">
        <v>1734.19</v>
      </c>
      <c r="V175">
        <v>1386.07</v>
      </c>
      <c r="W175">
        <v>348.12</v>
      </c>
      <c r="X175" t="s">
        <v>32</v>
      </c>
      <c r="Y175" t="s">
        <v>33</v>
      </c>
      <c r="Z175" t="str">
        <f t="shared" si="28"/>
        <v>Unique</v>
      </c>
      <c r="AA175" t="str">
        <f t="shared" si="29"/>
        <v>Unique</v>
      </c>
      <c r="AB175" t="str">
        <f t="shared" si="33"/>
        <v>OK</v>
      </c>
      <c r="AC175">
        <f t="shared" si="34"/>
        <v>0.25</v>
      </c>
      <c r="AD175" t="str">
        <f t="shared" si="35"/>
        <v>OK</v>
      </c>
      <c r="AE175">
        <f t="shared" si="36"/>
        <v>1734.1875</v>
      </c>
      <c r="AF175">
        <f t="shared" si="37"/>
        <v>348.11750000000006</v>
      </c>
      <c r="AG175">
        <f t="shared" si="38"/>
        <v>0.20073809781237614</v>
      </c>
      <c r="AH175" t="str">
        <f t="shared" si="30"/>
        <v>May</v>
      </c>
      <c r="AI175">
        <f t="shared" si="31"/>
        <v>2024</v>
      </c>
      <c r="AJ175" t="str">
        <f t="shared" si="39"/>
        <v>OK</v>
      </c>
      <c r="AK175" t="str">
        <f t="shared" si="40"/>
        <v>OK</v>
      </c>
      <c r="AL175" t="str">
        <f t="shared" si="41"/>
        <v>Include</v>
      </c>
      <c r="AM175" t="str">
        <f t="shared" si="32"/>
        <v>Clean</v>
      </c>
    </row>
    <row r="176" spans="1:39">
      <c r="A176" t="s">
        <v>631</v>
      </c>
      <c r="B176" s="4">
        <v>45928</v>
      </c>
      <c r="C176" s="4">
        <v>45934</v>
      </c>
      <c r="D176" s="6">
        <v>6</v>
      </c>
      <c r="E176" t="s">
        <v>2788</v>
      </c>
      <c r="F176" t="s">
        <v>2788</v>
      </c>
      <c r="G176" t="s">
        <v>2788</v>
      </c>
      <c r="H176" t="s">
        <v>632</v>
      </c>
      <c r="I176" t="s">
        <v>23</v>
      </c>
      <c r="J176" t="s">
        <v>37</v>
      </c>
      <c r="K176" t="s">
        <v>54</v>
      </c>
      <c r="L176" t="s">
        <v>175</v>
      </c>
      <c r="M176" t="s">
        <v>176</v>
      </c>
      <c r="N176" t="s">
        <v>41</v>
      </c>
      <c r="O176" t="s">
        <v>158</v>
      </c>
      <c r="P176" t="s">
        <v>633</v>
      </c>
      <c r="Q176" t="s">
        <v>50</v>
      </c>
      <c r="R176">
        <v>6</v>
      </c>
      <c r="S176">
        <v>1620.53</v>
      </c>
      <c r="T176">
        <v>0.15</v>
      </c>
      <c r="U176">
        <v>8264.7000000000007</v>
      </c>
      <c r="V176">
        <v>4768.75</v>
      </c>
      <c r="W176">
        <v>3495.95</v>
      </c>
      <c r="X176" t="s">
        <v>111</v>
      </c>
      <c r="Y176" t="s">
        <v>103</v>
      </c>
      <c r="Z176" t="str">
        <f t="shared" si="28"/>
        <v>Unique</v>
      </c>
      <c r="AA176" t="str">
        <f t="shared" si="29"/>
        <v>Unique</v>
      </c>
      <c r="AB176" t="str">
        <f t="shared" si="33"/>
        <v>OK</v>
      </c>
      <c r="AC176">
        <f t="shared" si="34"/>
        <v>0.15</v>
      </c>
      <c r="AD176" t="str">
        <f t="shared" si="35"/>
        <v>OK</v>
      </c>
      <c r="AE176">
        <f t="shared" si="36"/>
        <v>8264.7029999999995</v>
      </c>
      <c r="AF176">
        <f t="shared" si="37"/>
        <v>3495.9529999999995</v>
      </c>
      <c r="AG176">
        <f t="shared" si="38"/>
        <v>0.42299801940856191</v>
      </c>
      <c r="AH176" t="str">
        <f t="shared" si="30"/>
        <v>September</v>
      </c>
      <c r="AI176">
        <f t="shared" si="31"/>
        <v>2025</v>
      </c>
      <c r="AJ176" t="str">
        <f t="shared" si="39"/>
        <v>OK</v>
      </c>
      <c r="AK176" t="str">
        <f t="shared" si="40"/>
        <v>OK</v>
      </c>
      <c r="AL176" t="str">
        <f t="shared" si="41"/>
        <v>Exclude</v>
      </c>
      <c r="AM176" t="str">
        <f t="shared" si="32"/>
        <v>Clean</v>
      </c>
    </row>
    <row r="177" spans="1:39">
      <c r="A177" t="s">
        <v>634</v>
      </c>
      <c r="B177" s="4">
        <v>45318</v>
      </c>
      <c r="C177" s="4">
        <v>45325</v>
      </c>
      <c r="D177" s="6">
        <v>7</v>
      </c>
      <c r="E177" t="s">
        <v>2788</v>
      </c>
      <c r="F177" t="s">
        <v>2788</v>
      </c>
      <c r="G177" t="s">
        <v>2788</v>
      </c>
      <c r="H177" t="s">
        <v>635</v>
      </c>
      <c r="I177" t="s">
        <v>53</v>
      </c>
      <c r="J177" t="s">
        <v>37</v>
      </c>
      <c r="K177" t="s">
        <v>38</v>
      </c>
      <c r="L177" t="s">
        <v>145</v>
      </c>
      <c r="M177" t="s">
        <v>146</v>
      </c>
      <c r="N177" t="s">
        <v>74</v>
      </c>
      <c r="O177" t="s">
        <v>274</v>
      </c>
      <c r="P177" t="s">
        <v>636</v>
      </c>
      <c r="Q177" t="s">
        <v>44</v>
      </c>
      <c r="R177">
        <v>7</v>
      </c>
      <c r="S177">
        <v>2673.42</v>
      </c>
      <c r="T177">
        <v>0.15</v>
      </c>
      <c r="U177">
        <v>15906.85</v>
      </c>
      <c r="V177">
        <v>11014.46</v>
      </c>
      <c r="W177">
        <v>4892.3900000000003</v>
      </c>
      <c r="X177" t="s">
        <v>32</v>
      </c>
      <c r="Y177" t="s">
        <v>103</v>
      </c>
      <c r="Z177" t="str">
        <f t="shared" si="28"/>
        <v>Unique</v>
      </c>
      <c r="AA177" t="str">
        <f t="shared" si="29"/>
        <v>Unique</v>
      </c>
      <c r="AB177" t="str">
        <f t="shared" si="33"/>
        <v>OK</v>
      </c>
      <c r="AC177">
        <f t="shared" si="34"/>
        <v>0.15</v>
      </c>
      <c r="AD177" t="str">
        <f t="shared" si="35"/>
        <v>OK</v>
      </c>
      <c r="AE177">
        <f t="shared" si="36"/>
        <v>15906.849000000002</v>
      </c>
      <c r="AF177">
        <f t="shared" si="37"/>
        <v>4892.3890000000029</v>
      </c>
      <c r="AG177">
        <f t="shared" si="38"/>
        <v>0.30756493633654297</v>
      </c>
      <c r="AH177" t="str">
        <f t="shared" si="30"/>
        <v>January</v>
      </c>
      <c r="AI177">
        <f t="shared" si="31"/>
        <v>2024</v>
      </c>
      <c r="AJ177" t="str">
        <f t="shared" si="39"/>
        <v>OK</v>
      </c>
      <c r="AK177" t="str">
        <f t="shared" si="40"/>
        <v>OK</v>
      </c>
      <c r="AL177" t="str">
        <f t="shared" si="41"/>
        <v>Exclude</v>
      </c>
      <c r="AM177" t="str">
        <f t="shared" si="32"/>
        <v>Clean</v>
      </c>
    </row>
    <row r="178" spans="1:39">
      <c r="A178" t="s">
        <v>637</v>
      </c>
      <c r="B178" s="4">
        <v>45734</v>
      </c>
      <c r="C178" s="4">
        <v>45742</v>
      </c>
      <c r="D178" s="6">
        <v>8</v>
      </c>
      <c r="E178" t="s">
        <v>2788</v>
      </c>
      <c r="F178" t="s">
        <v>2788</v>
      </c>
      <c r="G178" t="s">
        <v>2788</v>
      </c>
      <c r="H178" t="s">
        <v>638</v>
      </c>
      <c r="I178" t="s">
        <v>71</v>
      </c>
      <c r="J178" t="s">
        <v>90</v>
      </c>
      <c r="K178" t="s">
        <v>38</v>
      </c>
      <c r="L178" t="s">
        <v>228</v>
      </c>
      <c r="M178" t="s">
        <v>229</v>
      </c>
      <c r="N178" t="s">
        <v>41</v>
      </c>
      <c r="O178" t="s">
        <v>158</v>
      </c>
      <c r="P178" t="s">
        <v>639</v>
      </c>
      <c r="Q178" t="s">
        <v>59</v>
      </c>
      <c r="R178">
        <v>8</v>
      </c>
      <c r="S178">
        <v>3563.09</v>
      </c>
      <c r="T178">
        <v>0.15</v>
      </c>
      <c r="U178">
        <v>24229.01</v>
      </c>
      <c r="V178">
        <v>13910.64</v>
      </c>
      <c r="W178">
        <v>10318.370000000001</v>
      </c>
      <c r="X178" t="s">
        <v>32</v>
      </c>
      <c r="Y178" t="s">
        <v>33</v>
      </c>
      <c r="Z178" t="str">
        <f t="shared" si="28"/>
        <v>Unique</v>
      </c>
      <c r="AA178" t="str">
        <f t="shared" si="29"/>
        <v>Unique</v>
      </c>
      <c r="AB178" t="str">
        <f t="shared" si="33"/>
        <v>OK</v>
      </c>
      <c r="AC178">
        <f t="shared" si="34"/>
        <v>0.15</v>
      </c>
      <c r="AD178" t="str">
        <f t="shared" si="35"/>
        <v>OK</v>
      </c>
      <c r="AE178">
        <f t="shared" si="36"/>
        <v>24229.011999999999</v>
      </c>
      <c r="AF178">
        <f t="shared" si="37"/>
        <v>10318.371999999999</v>
      </c>
      <c r="AG178">
        <f t="shared" si="38"/>
        <v>0.42586845885420338</v>
      </c>
      <c r="AH178" t="str">
        <f t="shared" si="30"/>
        <v>March</v>
      </c>
      <c r="AI178">
        <f t="shared" si="31"/>
        <v>2025</v>
      </c>
      <c r="AJ178" t="str">
        <f t="shared" si="39"/>
        <v>OK</v>
      </c>
      <c r="AK178" t="str">
        <f t="shared" si="40"/>
        <v>OK</v>
      </c>
      <c r="AL178" t="str">
        <f t="shared" si="41"/>
        <v>Include</v>
      </c>
      <c r="AM178" t="str">
        <f t="shared" si="32"/>
        <v>Clean</v>
      </c>
    </row>
    <row r="179" spans="1:39">
      <c r="A179" t="s">
        <v>640</v>
      </c>
      <c r="B179" s="4">
        <v>45444</v>
      </c>
      <c r="C179" s="4">
        <v>45446</v>
      </c>
      <c r="D179" s="6">
        <v>2</v>
      </c>
      <c r="E179" t="s">
        <v>2788</v>
      </c>
      <c r="F179" t="s">
        <v>2788</v>
      </c>
      <c r="G179" t="s">
        <v>2788</v>
      </c>
      <c r="H179" t="s">
        <v>641</v>
      </c>
      <c r="I179" t="s">
        <v>132</v>
      </c>
      <c r="J179" t="s">
        <v>95</v>
      </c>
      <c r="K179" t="s">
        <v>2783</v>
      </c>
      <c r="L179" t="s">
        <v>145</v>
      </c>
      <c r="M179" t="s">
        <v>146</v>
      </c>
      <c r="N179" t="s">
        <v>28</v>
      </c>
      <c r="O179" t="s">
        <v>48</v>
      </c>
      <c r="P179" t="s">
        <v>642</v>
      </c>
      <c r="Q179" t="s">
        <v>44</v>
      </c>
      <c r="R179">
        <v>8</v>
      </c>
      <c r="S179">
        <v>3879.95</v>
      </c>
      <c r="T179">
        <v>0</v>
      </c>
      <c r="U179">
        <v>31039.599999999999</v>
      </c>
      <c r="V179">
        <v>20866.72</v>
      </c>
      <c r="W179">
        <v>10172.879999999999</v>
      </c>
      <c r="X179" t="s">
        <v>32</v>
      </c>
      <c r="Y179" t="s">
        <v>33</v>
      </c>
      <c r="Z179" t="str">
        <f t="shared" si="28"/>
        <v>Unique</v>
      </c>
      <c r="AA179" t="str">
        <f t="shared" si="29"/>
        <v>Unique</v>
      </c>
      <c r="AB179" t="str">
        <f t="shared" si="33"/>
        <v>OK</v>
      </c>
      <c r="AC179">
        <f t="shared" si="34"/>
        <v>0</v>
      </c>
      <c r="AD179" t="str">
        <f t="shared" si="35"/>
        <v>OK</v>
      </c>
      <c r="AE179">
        <f t="shared" si="36"/>
        <v>31039.599999999999</v>
      </c>
      <c r="AF179">
        <f t="shared" si="37"/>
        <v>10172.879999999997</v>
      </c>
      <c r="AG179">
        <f t="shared" si="38"/>
        <v>0.32773875952009685</v>
      </c>
      <c r="AH179" t="str">
        <f t="shared" si="30"/>
        <v>June</v>
      </c>
      <c r="AI179">
        <f t="shared" si="31"/>
        <v>2024</v>
      </c>
      <c r="AJ179" t="str">
        <f t="shared" si="39"/>
        <v>OK</v>
      </c>
      <c r="AK179" t="str">
        <f t="shared" si="40"/>
        <v>OK</v>
      </c>
      <c r="AL179" t="str">
        <f t="shared" si="41"/>
        <v>Include</v>
      </c>
      <c r="AM179" t="str">
        <f t="shared" si="32"/>
        <v>Clean</v>
      </c>
    </row>
    <row r="180" spans="1:39">
      <c r="A180" t="s">
        <v>643</v>
      </c>
      <c r="B180" s="4">
        <v>45565</v>
      </c>
      <c r="C180" s="4">
        <v>45565</v>
      </c>
      <c r="D180" s="6">
        <v>0</v>
      </c>
      <c r="E180" t="s">
        <v>2788</v>
      </c>
      <c r="F180" t="s">
        <v>2788</v>
      </c>
      <c r="G180" t="s">
        <v>2788</v>
      </c>
      <c r="H180" t="s">
        <v>644</v>
      </c>
      <c r="I180" t="s">
        <v>47</v>
      </c>
      <c r="J180" t="s">
        <v>90</v>
      </c>
      <c r="K180" t="s">
        <v>54</v>
      </c>
      <c r="L180" t="s">
        <v>55</v>
      </c>
      <c r="M180" t="s">
        <v>56</v>
      </c>
      <c r="N180" t="s">
        <v>28</v>
      </c>
      <c r="O180" t="s">
        <v>48</v>
      </c>
      <c r="P180" t="s">
        <v>645</v>
      </c>
      <c r="Q180" t="s">
        <v>59</v>
      </c>
      <c r="R180">
        <v>4</v>
      </c>
      <c r="S180">
        <v>3281.74</v>
      </c>
      <c r="T180">
        <v>0</v>
      </c>
      <c r="U180">
        <v>13126.96</v>
      </c>
      <c r="V180">
        <v>10732.44</v>
      </c>
      <c r="W180">
        <v>2394.52</v>
      </c>
      <c r="X180" t="s">
        <v>32</v>
      </c>
      <c r="Y180" t="s">
        <v>33</v>
      </c>
      <c r="Z180" t="str">
        <f t="shared" si="28"/>
        <v>Unique</v>
      </c>
      <c r="AA180" t="str">
        <f t="shared" si="29"/>
        <v>Unique</v>
      </c>
      <c r="AB180" t="str">
        <f t="shared" si="33"/>
        <v>OK</v>
      </c>
      <c r="AC180">
        <f t="shared" si="34"/>
        <v>0</v>
      </c>
      <c r="AD180" t="str">
        <f t="shared" si="35"/>
        <v>OK</v>
      </c>
      <c r="AE180">
        <f t="shared" si="36"/>
        <v>13126.96</v>
      </c>
      <c r="AF180">
        <f t="shared" si="37"/>
        <v>2394.5199999999986</v>
      </c>
      <c r="AG180">
        <f t="shared" si="38"/>
        <v>0.18241237879905162</v>
      </c>
      <c r="AH180" t="str">
        <f t="shared" si="30"/>
        <v>September</v>
      </c>
      <c r="AI180">
        <f t="shared" si="31"/>
        <v>2024</v>
      </c>
      <c r="AJ180" t="str">
        <f t="shared" si="39"/>
        <v>OK</v>
      </c>
      <c r="AK180" t="str">
        <f t="shared" si="40"/>
        <v>OK</v>
      </c>
      <c r="AL180" t="str">
        <f t="shared" si="41"/>
        <v>Include</v>
      </c>
      <c r="AM180" t="str">
        <f t="shared" si="32"/>
        <v>Clean</v>
      </c>
    </row>
    <row r="181" spans="1:39">
      <c r="A181" t="s">
        <v>646</v>
      </c>
      <c r="B181" s="4">
        <v>45366</v>
      </c>
      <c r="C181" s="4">
        <v>45370</v>
      </c>
      <c r="D181" s="6">
        <v>4</v>
      </c>
      <c r="E181" t="s">
        <v>2788</v>
      </c>
      <c r="F181" t="s">
        <v>2788</v>
      </c>
      <c r="G181" t="s">
        <v>2788</v>
      </c>
      <c r="H181" t="s">
        <v>647</v>
      </c>
      <c r="I181" t="s">
        <v>62</v>
      </c>
      <c r="J181" t="s">
        <v>37</v>
      </c>
      <c r="K181" t="s">
        <v>54</v>
      </c>
      <c r="L181" t="s">
        <v>247</v>
      </c>
      <c r="M181" t="s">
        <v>248</v>
      </c>
      <c r="N181" t="s">
        <v>41</v>
      </c>
      <c r="O181" t="s">
        <v>57</v>
      </c>
      <c r="P181" t="s">
        <v>648</v>
      </c>
      <c r="Q181" t="s">
        <v>59</v>
      </c>
      <c r="R181">
        <v>4</v>
      </c>
      <c r="S181">
        <v>3186.3</v>
      </c>
      <c r="T181">
        <v>0.25</v>
      </c>
      <c r="U181">
        <v>9558.9</v>
      </c>
      <c r="V181">
        <v>5516.76</v>
      </c>
      <c r="W181">
        <v>4042.14</v>
      </c>
      <c r="X181" t="s">
        <v>102</v>
      </c>
      <c r="Y181" t="s">
        <v>103</v>
      </c>
      <c r="Z181" t="str">
        <f t="shared" si="28"/>
        <v>Unique</v>
      </c>
      <c r="AA181" t="str">
        <f t="shared" si="29"/>
        <v>Unique</v>
      </c>
      <c r="AB181" t="str">
        <f t="shared" si="33"/>
        <v>OK</v>
      </c>
      <c r="AC181">
        <f t="shared" si="34"/>
        <v>0.25</v>
      </c>
      <c r="AD181" t="str">
        <f t="shared" si="35"/>
        <v>OK</v>
      </c>
      <c r="AE181">
        <f t="shared" si="36"/>
        <v>9558.9000000000015</v>
      </c>
      <c r="AF181">
        <f t="shared" si="37"/>
        <v>4042.1400000000012</v>
      </c>
      <c r="AG181">
        <f t="shared" si="38"/>
        <v>0.42286664783604816</v>
      </c>
      <c r="AH181" t="str">
        <f t="shared" si="30"/>
        <v>March</v>
      </c>
      <c r="AI181">
        <f t="shared" si="31"/>
        <v>2024</v>
      </c>
      <c r="AJ181" t="str">
        <f t="shared" si="39"/>
        <v>OK</v>
      </c>
      <c r="AK181" t="str">
        <f t="shared" si="40"/>
        <v>OK</v>
      </c>
      <c r="AL181" t="str">
        <f t="shared" si="41"/>
        <v>Exclude</v>
      </c>
      <c r="AM181" t="str">
        <f t="shared" si="32"/>
        <v>Clean</v>
      </c>
    </row>
    <row r="182" spans="1:39">
      <c r="A182" t="s">
        <v>649</v>
      </c>
      <c r="B182" s="4">
        <v>45530</v>
      </c>
      <c r="C182" s="4">
        <v>45530</v>
      </c>
      <c r="D182" s="6">
        <v>0</v>
      </c>
      <c r="E182" t="s">
        <v>2788</v>
      </c>
      <c r="F182" t="s">
        <v>2788</v>
      </c>
      <c r="G182" t="s">
        <v>2788</v>
      </c>
      <c r="H182" t="s">
        <v>650</v>
      </c>
      <c r="I182" t="s">
        <v>36</v>
      </c>
      <c r="J182" t="s">
        <v>95</v>
      </c>
      <c r="K182" t="s">
        <v>25</v>
      </c>
      <c r="L182" t="s">
        <v>136</v>
      </c>
      <c r="M182" t="s">
        <v>137</v>
      </c>
      <c r="N182" t="s">
        <v>28</v>
      </c>
      <c r="O182" t="s">
        <v>153</v>
      </c>
      <c r="P182" t="s">
        <v>651</v>
      </c>
      <c r="Q182" t="s">
        <v>50</v>
      </c>
      <c r="R182">
        <v>7</v>
      </c>
      <c r="S182">
        <v>844.59</v>
      </c>
      <c r="T182">
        <v>0.1</v>
      </c>
      <c r="U182">
        <v>5320.92</v>
      </c>
      <c r="V182">
        <v>3041.5</v>
      </c>
      <c r="W182">
        <v>2279.42</v>
      </c>
      <c r="X182" t="s">
        <v>32</v>
      </c>
      <c r="Y182" t="s">
        <v>33</v>
      </c>
      <c r="Z182" t="str">
        <f t="shared" si="28"/>
        <v>Unique</v>
      </c>
      <c r="AA182" t="str">
        <f t="shared" si="29"/>
        <v>Unique</v>
      </c>
      <c r="AB182" t="str">
        <f t="shared" si="33"/>
        <v>OK</v>
      </c>
      <c r="AC182">
        <f t="shared" si="34"/>
        <v>0.1</v>
      </c>
      <c r="AD182" t="str">
        <f t="shared" si="35"/>
        <v>OK</v>
      </c>
      <c r="AE182">
        <f t="shared" si="36"/>
        <v>5320.9170000000004</v>
      </c>
      <c r="AF182">
        <f t="shared" si="37"/>
        <v>2279.4170000000004</v>
      </c>
      <c r="AG182">
        <f t="shared" si="38"/>
        <v>0.42838800154183954</v>
      </c>
      <c r="AH182" t="str">
        <f t="shared" si="30"/>
        <v>August</v>
      </c>
      <c r="AI182">
        <f t="shared" si="31"/>
        <v>2024</v>
      </c>
      <c r="AJ182" t="str">
        <f t="shared" si="39"/>
        <v>OK</v>
      </c>
      <c r="AK182" t="str">
        <f t="shared" si="40"/>
        <v>OK</v>
      </c>
      <c r="AL182" t="str">
        <f t="shared" si="41"/>
        <v>Include</v>
      </c>
      <c r="AM182" t="str">
        <f t="shared" si="32"/>
        <v>Clean</v>
      </c>
    </row>
    <row r="183" spans="1:39">
      <c r="A183" t="s">
        <v>652</v>
      </c>
      <c r="B183" s="4">
        <v>45909</v>
      </c>
      <c r="C183" s="4">
        <v>45910</v>
      </c>
      <c r="D183" s="6">
        <v>1</v>
      </c>
      <c r="E183" t="s">
        <v>2788</v>
      </c>
      <c r="F183" t="s">
        <v>2788</v>
      </c>
      <c r="G183" t="s">
        <v>2788</v>
      </c>
      <c r="H183" t="s">
        <v>653</v>
      </c>
      <c r="I183" t="s">
        <v>114</v>
      </c>
      <c r="J183" t="s">
        <v>95</v>
      </c>
      <c r="K183" t="s">
        <v>54</v>
      </c>
      <c r="L183" t="s">
        <v>247</v>
      </c>
      <c r="M183" t="s">
        <v>248</v>
      </c>
      <c r="N183" t="s">
        <v>28</v>
      </c>
      <c r="O183" t="s">
        <v>48</v>
      </c>
      <c r="P183" t="s">
        <v>654</v>
      </c>
      <c r="Q183" t="s">
        <v>31</v>
      </c>
      <c r="R183">
        <v>4</v>
      </c>
      <c r="S183">
        <v>2551.4499999999998</v>
      </c>
      <c r="T183">
        <v>0</v>
      </c>
      <c r="U183">
        <v>10205.799999999999</v>
      </c>
      <c r="V183">
        <v>5986.31</v>
      </c>
      <c r="W183">
        <v>4219.49</v>
      </c>
      <c r="X183" t="s">
        <v>32</v>
      </c>
      <c r="Y183" t="s">
        <v>33</v>
      </c>
      <c r="Z183" t="str">
        <f t="shared" si="28"/>
        <v>Unique</v>
      </c>
      <c r="AA183" t="str">
        <f t="shared" si="29"/>
        <v>Unique</v>
      </c>
      <c r="AB183" t="str">
        <f t="shared" si="33"/>
        <v>OK</v>
      </c>
      <c r="AC183">
        <f t="shared" si="34"/>
        <v>0</v>
      </c>
      <c r="AD183" t="str">
        <f t="shared" si="35"/>
        <v>OK</v>
      </c>
      <c r="AE183">
        <f t="shared" si="36"/>
        <v>10205.799999999999</v>
      </c>
      <c r="AF183">
        <f t="shared" si="37"/>
        <v>4219.4899999999989</v>
      </c>
      <c r="AG183">
        <f t="shared" si="38"/>
        <v>0.41344039663720622</v>
      </c>
      <c r="AH183" t="str">
        <f t="shared" si="30"/>
        <v>September</v>
      </c>
      <c r="AI183">
        <f t="shared" si="31"/>
        <v>2025</v>
      </c>
      <c r="AJ183" t="str">
        <f t="shared" si="39"/>
        <v>OK</v>
      </c>
      <c r="AK183" t="str">
        <f t="shared" si="40"/>
        <v>OK</v>
      </c>
      <c r="AL183" t="str">
        <f t="shared" si="41"/>
        <v>Include</v>
      </c>
      <c r="AM183" t="str">
        <f t="shared" si="32"/>
        <v>Clean</v>
      </c>
    </row>
    <row r="184" spans="1:39">
      <c r="A184" t="s">
        <v>655</v>
      </c>
      <c r="B184" s="4">
        <v>45581</v>
      </c>
      <c r="C184" s="4">
        <v>45581</v>
      </c>
      <c r="D184" s="6">
        <v>0</v>
      </c>
      <c r="E184" t="s">
        <v>2788</v>
      </c>
      <c r="F184" t="s">
        <v>2788</v>
      </c>
      <c r="G184" t="s">
        <v>2788</v>
      </c>
      <c r="H184" t="s">
        <v>656</v>
      </c>
      <c r="I184" t="s">
        <v>62</v>
      </c>
      <c r="J184" t="s">
        <v>95</v>
      </c>
      <c r="K184" t="s">
        <v>38</v>
      </c>
      <c r="L184" t="s">
        <v>145</v>
      </c>
      <c r="M184" t="s">
        <v>146</v>
      </c>
      <c r="N184" t="s">
        <v>74</v>
      </c>
      <c r="O184" t="s">
        <v>274</v>
      </c>
      <c r="P184" t="s">
        <v>657</v>
      </c>
      <c r="Q184" t="s">
        <v>59</v>
      </c>
      <c r="R184">
        <v>7</v>
      </c>
      <c r="S184">
        <v>775.77</v>
      </c>
      <c r="T184">
        <v>0</v>
      </c>
      <c r="U184">
        <v>5430.39</v>
      </c>
      <c r="V184">
        <v>3707.66</v>
      </c>
      <c r="W184">
        <v>1722.73</v>
      </c>
      <c r="X184" t="s">
        <v>32</v>
      </c>
      <c r="Y184" t="s">
        <v>33</v>
      </c>
      <c r="Z184" t="str">
        <f t="shared" si="28"/>
        <v>Unique</v>
      </c>
      <c r="AA184" t="str">
        <f t="shared" si="29"/>
        <v>Unique</v>
      </c>
      <c r="AB184" t="str">
        <f t="shared" si="33"/>
        <v>OK</v>
      </c>
      <c r="AC184">
        <f t="shared" si="34"/>
        <v>0</v>
      </c>
      <c r="AD184" t="str">
        <f t="shared" si="35"/>
        <v>OK</v>
      </c>
      <c r="AE184">
        <f t="shared" si="36"/>
        <v>5430.3899999999994</v>
      </c>
      <c r="AF184">
        <f t="shared" si="37"/>
        <v>1722.7299999999996</v>
      </c>
      <c r="AG184">
        <f t="shared" si="38"/>
        <v>0.31723872502711586</v>
      </c>
      <c r="AH184" t="str">
        <f t="shared" si="30"/>
        <v>October</v>
      </c>
      <c r="AI184">
        <f t="shared" si="31"/>
        <v>2024</v>
      </c>
      <c r="AJ184" t="str">
        <f t="shared" si="39"/>
        <v>OK</v>
      </c>
      <c r="AK184" t="str">
        <f t="shared" si="40"/>
        <v>OK</v>
      </c>
      <c r="AL184" t="str">
        <f t="shared" si="41"/>
        <v>Include</v>
      </c>
      <c r="AM184" t="str">
        <f t="shared" si="32"/>
        <v>Clean</v>
      </c>
    </row>
    <row r="185" spans="1:39">
      <c r="A185" t="s">
        <v>658</v>
      </c>
      <c r="B185" s="4">
        <v>45832</v>
      </c>
      <c r="C185" s="4">
        <v>45835</v>
      </c>
      <c r="D185" s="6">
        <v>3</v>
      </c>
      <c r="E185" t="s">
        <v>2788</v>
      </c>
      <c r="F185" t="s">
        <v>2788</v>
      </c>
      <c r="G185" t="s">
        <v>2788</v>
      </c>
      <c r="H185" t="s">
        <v>659</v>
      </c>
      <c r="I185" t="s">
        <v>71</v>
      </c>
      <c r="J185" t="s">
        <v>95</v>
      </c>
      <c r="K185" t="s">
        <v>54</v>
      </c>
      <c r="L185" t="s">
        <v>55</v>
      </c>
      <c r="M185" t="s">
        <v>56</v>
      </c>
      <c r="N185" t="s">
        <v>74</v>
      </c>
      <c r="O185" t="s">
        <v>80</v>
      </c>
      <c r="P185" t="s">
        <v>660</v>
      </c>
      <c r="Q185" t="s">
        <v>59</v>
      </c>
      <c r="R185">
        <v>7</v>
      </c>
      <c r="S185">
        <v>2304.86</v>
      </c>
      <c r="T185">
        <v>0.2</v>
      </c>
      <c r="U185">
        <v>12907.22</v>
      </c>
      <c r="V185">
        <v>8327.89</v>
      </c>
      <c r="W185">
        <v>4579.33</v>
      </c>
      <c r="X185" t="s">
        <v>32</v>
      </c>
      <c r="Y185" t="s">
        <v>103</v>
      </c>
      <c r="Z185" t="str">
        <f t="shared" si="28"/>
        <v>Unique</v>
      </c>
      <c r="AA185" t="str">
        <f t="shared" si="29"/>
        <v>Unique</v>
      </c>
      <c r="AB185" t="str">
        <f t="shared" si="33"/>
        <v>OK</v>
      </c>
      <c r="AC185">
        <f t="shared" si="34"/>
        <v>0.2</v>
      </c>
      <c r="AD185" t="str">
        <f t="shared" si="35"/>
        <v>OK</v>
      </c>
      <c r="AE185">
        <f t="shared" si="36"/>
        <v>12907.216</v>
      </c>
      <c r="AF185">
        <f t="shared" si="37"/>
        <v>4579.3260000000009</v>
      </c>
      <c r="AG185">
        <f t="shared" si="38"/>
        <v>0.3547880503433119</v>
      </c>
      <c r="AH185" t="str">
        <f t="shared" si="30"/>
        <v>June</v>
      </c>
      <c r="AI185">
        <f t="shared" si="31"/>
        <v>2025</v>
      </c>
      <c r="AJ185" t="str">
        <f t="shared" si="39"/>
        <v>OK</v>
      </c>
      <c r="AK185" t="str">
        <f t="shared" si="40"/>
        <v>OK</v>
      </c>
      <c r="AL185" t="str">
        <f t="shared" si="41"/>
        <v>Exclude</v>
      </c>
      <c r="AM185" t="str">
        <f t="shared" si="32"/>
        <v>Clean</v>
      </c>
    </row>
    <row r="186" spans="1:39">
      <c r="A186" t="s">
        <v>661</v>
      </c>
      <c r="B186" s="4">
        <v>45384</v>
      </c>
      <c r="C186" s="4">
        <v>45388</v>
      </c>
      <c r="D186" s="6">
        <v>4</v>
      </c>
      <c r="E186" t="s">
        <v>2788</v>
      </c>
      <c r="F186" t="s">
        <v>2788</v>
      </c>
      <c r="G186" t="s">
        <v>2788</v>
      </c>
      <c r="H186" t="s">
        <v>662</v>
      </c>
      <c r="I186" t="s">
        <v>71</v>
      </c>
      <c r="J186" t="s">
        <v>90</v>
      </c>
      <c r="K186" t="s">
        <v>63</v>
      </c>
      <c r="L186" t="s">
        <v>72</v>
      </c>
      <c r="M186" t="s">
        <v>73</v>
      </c>
      <c r="N186" t="s">
        <v>41</v>
      </c>
      <c r="O186" t="s">
        <v>158</v>
      </c>
      <c r="P186" t="s">
        <v>663</v>
      </c>
      <c r="Q186" t="s">
        <v>59</v>
      </c>
      <c r="R186">
        <v>2</v>
      </c>
      <c r="S186">
        <v>888.98</v>
      </c>
      <c r="T186">
        <v>0</v>
      </c>
      <c r="U186">
        <v>1777.96</v>
      </c>
      <c r="V186">
        <v>1021.16</v>
      </c>
      <c r="W186">
        <v>756.8</v>
      </c>
      <c r="X186" t="s">
        <v>102</v>
      </c>
      <c r="Y186" t="s">
        <v>103</v>
      </c>
      <c r="Z186" t="str">
        <f t="shared" si="28"/>
        <v>Unique</v>
      </c>
      <c r="AA186" t="str">
        <f t="shared" si="29"/>
        <v>Unique</v>
      </c>
      <c r="AB186" t="str">
        <f t="shared" si="33"/>
        <v>OK</v>
      </c>
      <c r="AC186">
        <f t="shared" si="34"/>
        <v>0</v>
      </c>
      <c r="AD186" t="str">
        <f t="shared" si="35"/>
        <v>OK</v>
      </c>
      <c r="AE186">
        <f t="shared" si="36"/>
        <v>1777.96</v>
      </c>
      <c r="AF186">
        <f t="shared" si="37"/>
        <v>756.80000000000007</v>
      </c>
      <c r="AG186">
        <f t="shared" si="38"/>
        <v>0.42565637022205227</v>
      </c>
      <c r="AH186" t="str">
        <f t="shared" si="30"/>
        <v>April</v>
      </c>
      <c r="AI186">
        <f t="shared" si="31"/>
        <v>2024</v>
      </c>
      <c r="AJ186" t="str">
        <f t="shared" si="39"/>
        <v>OK</v>
      </c>
      <c r="AK186" t="str">
        <f t="shared" si="40"/>
        <v>OK</v>
      </c>
      <c r="AL186" t="str">
        <f t="shared" si="41"/>
        <v>Exclude</v>
      </c>
      <c r="AM186" t="str">
        <f t="shared" si="32"/>
        <v>Clean</v>
      </c>
    </row>
    <row r="187" spans="1:39">
      <c r="A187" t="s">
        <v>664</v>
      </c>
      <c r="B187" s="4">
        <v>45601</v>
      </c>
      <c r="C187" s="4">
        <v>45609</v>
      </c>
      <c r="D187" s="6">
        <v>8</v>
      </c>
      <c r="E187" t="s">
        <v>2788</v>
      </c>
      <c r="F187" t="s">
        <v>2788</v>
      </c>
      <c r="G187" t="s">
        <v>2788</v>
      </c>
      <c r="H187" t="s">
        <v>665</v>
      </c>
      <c r="I187" t="s">
        <v>53</v>
      </c>
      <c r="J187" t="s">
        <v>24</v>
      </c>
      <c r="K187" t="s">
        <v>2783</v>
      </c>
      <c r="L187" t="s">
        <v>122</v>
      </c>
      <c r="M187" t="s">
        <v>123</v>
      </c>
      <c r="N187" t="s">
        <v>28</v>
      </c>
      <c r="O187" t="s">
        <v>91</v>
      </c>
      <c r="P187" t="s">
        <v>666</v>
      </c>
      <c r="Q187" t="s">
        <v>31</v>
      </c>
      <c r="R187">
        <v>2</v>
      </c>
      <c r="S187">
        <v>1003.17</v>
      </c>
      <c r="T187">
        <v>0.2</v>
      </c>
      <c r="U187">
        <v>1605.07</v>
      </c>
      <c r="V187">
        <v>1337.28</v>
      </c>
      <c r="W187">
        <v>267.79000000000002</v>
      </c>
      <c r="X187" t="s">
        <v>32</v>
      </c>
      <c r="Y187" t="s">
        <v>33</v>
      </c>
      <c r="Z187" t="str">
        <f t="shared" si="28"/>
        <v>Unique</v>
      </c>
      <c r="AA187" t="str">
        <f t="shared" si="29"/>
        <v>Unique</v>
      </c>
      <c r="AB187" t="str">
        <f t="shared" si="33"/>
        <v>OK</v>
      </c>
      <c r="AC187">
        <f t="shared" si="34"/>
        <v>0.2</v>
      </c>
      <c r="AD187" t="str">
        <f t="shared" si="35"/>
        <v>OK</v>
      </c>
      <c r="AE187">
        <f t="shared" si="36"/>
        <v>1605.0720000000001</v>
      </c>
      <c r="AF187">
        <f t="shared" si="37"/>
        <v>267.79200000000014</v>
      </c>
      <c r="AG187">
        <f t="shared" si="38"/>
        <v>0.16684111366966722</v>
      </c>
      <c r="AH187" t="str">
        <f t="shared" si="30"/>
        <v>November</v>
      </c>
      <c r="AI187">
        <f t="shared" si="31"/>
        <v>2024</v>
      </c>
      <c r="AJ187" t="str">
        <f t="shared" si="39"/>
        <v>OK</v>
      </c>
      <c r="AK187" t="str">
        <f t="shared" si="40"/>
        <v>OK</v>
      </c>
      <c r="AL187" t="str">
        <f t="shared" si="41"/>
        <v>Include</v>
      </c>
      <c r="AM187" t="str">
        <f t="shared" si="32"/>
        <v>Clean</v>
      </c>
    </row>
    <row r="188" spans="1:39">
      <c r="A188" t="s">
        <v>667</v>
      </c>
      <c r="B188" s="4">
        <v>45492</v>
      </c>
      <c r="C188" s="4">
        <v>45493</v>
      </c>
      <c r="D188" s="6">
        <v>1</v>
      </c>
      <c r="E188" t="s">
        <v>2788</v>
      </c>
      <c r="F188" t="s">
        <v>2788</v>
      </c>
      <c r="G188" t="s">
        <v>2788</v>
      </c>
      <c r="H188" t="s">
        <v>263</v>
      </c>
      <c r="I188" t="s">
        <v>71</v>
      </c>
      <c r="J188" t="s">
        <v>24</v>
      </c>
      <c r="K188" t="s">
        <v>54</v>
      </c>
      <c r="L188" t="s">
        <v>247</v>
      </c>
      <c r="M188" t="s">
        <v>248</v>
      </c>
      <c r="N188" t="s">
        <v>41</v>
      </c>
      <c r="O188" t="s">
        <v>42</v>
      </c>
      <c r="P188" t="s">
        <v>668</v>
      </c>
      <c r="Q188" t="s">
        <v>50</v>
      </c>
      <c r="R188">
        <v>7</v>
      </c>
      <c r="S188">
        <v>3608.43</v>
      </c>
      <c r="T188">
        <v>0.05</v>
      </c>
      <c r="U188">
        <v>23996.06</v>
      </c>
      <c r="V188">
        <v>20167.28</v>
      </c>
      <c r="W188">
        <v>3828.78</v>
      </c>
      <c r="X188" t="s">
        <v>32</v>
      </c>
      <c r="Y188" t="s">
        <v>33</v>
      </c>
      <c r="Z188" t="str">
        <f t="shared" si="28"/>
        <v>Unique</v>
      </c>
      <c r="AA188" t="str">
        <f t="shared" si="29"/>
        <v>Unique</v>
      </c>
      <c r="AB188" t="str">
        <f t="shared" si="33"/>
        <v>OK</v>
      </c>
      <c r="AC188">
        <f t="shared" si="34"/>
        <v>0.05</v>
      </c>
      <c r="AD188" t="str">
        <f t="shared" si="35"/>
        <v>OK</v>
      </c>
      <c r="AE188">
        <f t="shared" si="36"/>
        <v>23996.059499999996</v>
      </c>
      <c r="AF188">
        <f t="shared" si="37"/>
        <v>3828.7794999999969</v>
      </c>
      <c r="AG188">
        <f t="shared" si="38"/>
        <v>0.15955867670689838</v>
      </c>
      <c r="AH188" t="str">
        <f t="shared" si="30"/>
        <v>July</v>
      </c>
      <c r="AI188">
        <f t="shared" si="31"/>
        <v>2024</v>
      </c>
      <c r="AJ188" t="str">
        <f t="shared" si="39"/>
        <v>OK</v>
      </c>
      <c r="AK188" t="str">
        <f t="shared" si="40"/>
        <v>OK</v>
      </c>
      <c r="AL188" t="str">
        <f t="shared" si="41"/>
        <v>Include</v>
      </c>
      <c r="AM188" t="str">
        <f t="shared" si="32"/>
        <v>Clean</v>
      </c>
    </row>
    <row r="189" spans="1:39">
      <c r="A189" t="s">
        <v>669</v>
      </c>
      <c r="B189" s="4">
        <v>45778</v>
      </c>
      <c r="C189" s="4">
        <v>45779</v>
      </c>
      <c r="D189" s="6">
        <v>1</v>
      </c>
      <c r="E189" t="s">
        <v>2788</v>
      </c>
      <c r="F189" t="s">
        <v>2788</v>
      </c>
      <c r="G189" t="s">
        <v>2788</v>
      </c>
      <c r="H189" t="s">
        <v>670</v>
      </c>
      <c r="I189" t="s">
        <v>36</v>
      </c>
      <c r="J189" t="s">
        <v>24</v>
      </c>
      <c r="K189" t="s">
        <v>63</v>
      </c>
      <c r="L189" t="s">
        <v>72</v>
      </c>
      <c r="M189" t="s">
        <v>73</v>
      </c>
      <c r="N189" t="s">
        <v>41</v>
      </c>
      <c r="O189" t="s">
        <v>66</v>
      </c>
      <c r="P189" t="s">
        <v>671</v>
      </c>
      <c r="Q189" t="s">
        <v>44</v>
      </c>
      <c r="R189">
        <v>3</v>
      </c>
      <c r="S189">
        <v>2905.74</v>
      </c>
      <c r="T189">
        <v>0</v>
      </c>
      <c r="U189">
        <v>8717.2199999999993</v>
      </c>
      <c r="V189">
        <v>6215.96</v>
      </c>
      <c r="W189">
        <v>2501.2600000000002</v>
      </c>
      <c r="X189" t="s">
        <v>32</v>
      </c>
      <c r="Y189" t="s">
        <v>103</v>
      </c>
      <c r="Z189" t="str">
        <f t="shared" si="28"/>
        <v>Unique</v>
      </c>
      <c r="AA189" t="str">
        <f t="shared" si="29"/>
        <v>Unique</v>
      </c>
      <c r="AB189" t="str">
        <f t="shared" si="33"/>
        <v>OK</v>
      </c>
      <c r="AC189">
        <f t="shared" si="34"/>
        <v>0</v>
      </c>
      <c r="AD189" t="str">
        <f t="shared" si="35"/>
        <v>OK</v>
      </c>
      <c r="AE189">
        <f t="shared" si="36"/>
        <v>8717.2199999999993</v>
      </c>
      <c r="AF189">
        <f t="shared" si="37"/>
        <v>2501.2599999999993</v>
      </c>
      <c r="AG189">
        <f t="shared" si="38"/>
        <v>0.28693321953558582</v>
      </c>
      <c r="AH189" t="str">
        <f t="shared" si="30"/>
        <v>May</v>
      </c>
      <c r="AI189">
        <f t="shared" si="31"/>
        <v>2025</v>
      </c>
      <c r="AJ189" t="str">
        <f t="shared" si="39"/>
        <v>OK</v>
      </c>
      <c r="AK189" t="str">
        <f t="shared" si="40"/>
        <v>OK</v>
      </c>
      <c r="AL189" t="str">
        <f t="shared" si="41"/>
        <v>Exclude</v>
      </c>
      <c r="AM189" t="str">
        <f t="shared" si="32"/>
        <v>Clean</v>
      </c>
    </row>
    <row r="190" spans="1:39">
      <c r="A190" t="s">
        <v>672</v>
      </c>
      <c r="B190" s="4">
        <v>45798</v>
      </c>
      <c r="C190" s="4">
        <v>45805</v>
      </c>
      <c r="D190" s="6">
        <v>7</v>
      </c>
      <c r="E190" t="s">
        <v>2788</v>
      </c>
      <c r="F190" t="s">
        <v>2788</v>
      </c>
      <c r="G190" t="s">
        <v>2788</v>
      </c>
      <c r="H190" t="s">
        <v>673</v>
      </c>
      <c r="I190" t="s">
        <v>114</v>
      </c>
      <c r="J190" t="s">
        <v>90</v>
      </c>
      <c r="K190" t="s">
        <v>38</v>
      </c>
      <c r="L190" t="s">
        <v>99</v>
      </c>
      <c r="M190" t="s">
        <v>100</v>
      </c>
      <c r="N190" t="s">
        <v>41</v>
      </c>
      <c r="O190" t="s">
        <v>158</v>
      </c>
      <c r="P190" t="s">
        <v>674</v>
      </c>
      <c r="Q190" t="s">
        <v>44</v>
      </c>
      <c r="R190">
        <v>2</v>
      </c>
      <c r="S190">
        <v>3559.57</v>
      </c>
      <c r="T190">
        <v>0.1</v>
      </c>
      <c r="U190">
        <v>6553.95</v>
      </c>
      <c r="V190">
        <v>4923.09</v>
      </c>
      <c r="W190">
        <v>1484.14</v>
      </c>
      <c r="X190" t="s">
        <v>32</v>
      </c>
      <c r="Y190" t="s">
        <v>33</v>
      </c>
      <c r="Z190" t="str">
        <f t="shared" si="28"/>
        <v>Unique</v>
      </c>
      <c r="AA190" t="str">
        <f t="shared" si="29"/>
        <v>Unique</v>
      </c>
      <c r="AB190" t="str">
        <f t="shared" si="33"/>
        <v>OK</v>
      </c>
      <c r="AC190">
        <f t="shared" si="34"/>
        <v>0.1</v>
      </c>
      <c r="AD190" t="str">
        <f t="shared" si="35"/>
        <v>OK</v>
      </c>
      <c r="AE190">
        <f t="shared" si="36"/>
        <v>6407.2260000000006</v>
      </c>
      <c r="AF190">
        <f t="shared" si="37"/>
        <v>1484.1360000000004</v>
      </c>
      <c r="AG190">
        <f t="shared" si="38"/>
        <v>0.23163471992403581</v>
      </c>
      <c r="AH190" t="str">
        <f t="shared" si="30"/>
        <v>May</v>
      </c>
      <c r="AI190">
        <f t="shared" si="31"/>
        <v>2025</v>
      </c>
      <c r="AJ190" t="str">
        <f t="shared" si="39"/>
        <v>Sales Mismatch</v>
      </c>
      <c r="AK190" t="str">
        <f t="shared" si="40"/>
        <v>OK</v>
      </c>
      <c r="AL190" t="str">
        <f t="shared" si="41"/>
        <v>Include</v>
      </c>
      <c r="AM190" t="str">
        <f t="shared" si="32"/>
        <v>Warning</v>
      </c>
    </row>
    <row r="191" spans="1:39">
      <c r="A191" t="s">
        <v>675</v>
      </c>
      <c r="B191" s="4">
        <v>45783</v>
      </c>
      <c r="C191" s="4">
        <v>45784</v>
      </c>
      <c r="D191" s="6">
        <v>1</v>
      </c>
      <c r="E191" t="s">
        <v>2788</v>
      </c>
      <c r="F191" t="s">
        <v>2788</v>
      </c>
      <c r="G191" t="s">
        <v>2788</v>
      </c>
      <c r="H191" t="s">
        <v>676</v>
      </c>
      <c r="I191" t="s">
        <v>53</v>
      </c>
      <c r="J191" t="s">
        <v>24</v>
      </c>
      <c r="K191" t="s">
        <v>63</v>
      </c>
      <c r="L191" t="s">
        <v>26</v>
      </c>
      <c r="M191" t="s">
        <v>109</v>
      </c>
      <c r="N191" t="s">
        <v>41</v>
      </c>
      <c r="O191" t="s">
        <v>158</v>
      </c>
      <c r="P191" t="s">
        <v>677</v>
      </c>
      <c r="Q191" t="s">
        <v>50</v>
      </c>
      <c r="R191">
        <v>9</v>
      </c>
      <c r="S191">
        <v>3318.24</v>
      </c>
      <c r="U191">
        <v>25384.54</v>
      </c>
      <c r="V191">
        <v>16872.39</v>
      </c>
      <c r="W191">
        <v>8512.15</v>
      </c>
      <c r="X191" t="s">
        <v>32</v>
      </c>
      <c r="Y191" t="s">
        <v>33</v>
      </c>
      <c r="Z191" t="str">
        <f t="shared" si="28"/>
        <v>Unique</v>
      </c>
      <c r="AA191" t="str">
        <f t="shared" si="29"/>
        <v>Unique</v>
      </c>
      <c r="AB191" t="str">
        <f t="shared" si="33"/>
        <v>OK</v>
      </c>
      <c r="AC191">
        <f t="shared" si="34"/>
        <v>0</v>
      </c>
      <c r="AD191" t="str">
        <f t="shared" si="35"/>
        <v>OK</v>
      </c>
      <c r="AE191">
        <f t="shared" si="36"/>
        <v>29864.159999999996</v>
      </c>
      <c r="AF191">
        <f t="shared" si="37"/>
        <v>12991.769999999997</v>
      </c>
      <c r="AG191">
        <f t="shared" si="38"/>
        <v>0.43502881045373448</v>
      </c>
      <c r="AH191" t="str">
        <f t="shared" si="30"/>
        <v>May</v>
      </c>
      <c r="AI191">
        <f t="shared" si="31"/>
        <v>2025</v>
      </c>
      <c r="AJ191" t="str">
        <f t="shared" si="39"/>
        <v>Sales Mismatch</v>
      </c>
      <c r="AK191" t="str">
        <f t="shared" si="40"/>
        <v>Profit Mismatch</v>
      </c>
      <c r="AL191" t="str">
        <f t="shared" si="41"/>
        <v>Include</v>
      </c>
      <c r="AM191" t="str">
        <f t="shared" si="32"/>
        <v>Warning</v>
      </c>
    </row>
    <row r="192" spans="1:39">
      <c r="A192" t="s">
        <v>678</v>
      </c>
      <c r="B192" s="4">
        <v>45767</v>
      </c>
      <c r="C192" s="4">
        <v>45768</v>
      </c>
      <c r="D192" s="6">
        <v>1</v>
      </c>
      <c r="E192" t="s">
        <v>2788</v>
      </c>
      <c r="F192" t="s">
        <v>2788</v>
      </c>
      <c r="G192" t="s">
        <v>2788</v>
      </c>
      <c r="H192" t="s">
        <v>679</v>
      </c>
      <c r="I192" t="s">
        <v>89</v>
      </c>
      <c r="J192" t="s">
        <v>24</v>
      </c>
      <c r="K192" t="s">
        <v>54</v>
      </c>
      <c r="L192" t="s">
        <v>247</v>
      </c>
      <c r="M192" t="s">
        <v>248</v>
      </c>
      <c r="N192" t="s">
        <v>28</v>
      </c>
      <c r="O192" t="s">
        <v>124</v>
      </c>
      <c r="P192" t="s">
        <v>680</v>
      </c>
      <c r="Q192" t="s">
        <v>50</v>
      </c>
      <c r="R192">
        <v>3</v>
      </c>
      <c r="S192">
        <v>540.09</v>
      </c>
      <c r="T192">
        <v>0.1</v>
      </c>
      <c r="U192">
        <v>1458.24</v>
      </c>
      <c r="V192">
        <v>943.32</v>
      </c>
      <c r="W192">
        <v>514.91999999999996</v>
      </c>
      <c r="X192" t="s">
        <v>32</v>
      </c>
      <c r="Y192" t="s">
        <v>33</v>
      </c>
      <c r="Z192" t="str">
        <f t="shared" si="28"/>
        <v>Unique</v>
      </c>
      <c r="AA192" t="str">
        <f t="shared" si="29"/>
        <v>Unique</v>
      </c>
      <c r="AB192" t="str">
        <f t="shared" si="33"/>
        <v>OK</v>
      </c>
      <c r="AC192">
        <f t="shared" si="34"/>
        <v>0.1</v>
      </c>
      <c r="AD192" t="str">
        <f t="shared" si="35"/>
        <v>OK</v>
      </c>
      <c r="AE192">
        <f t="shared" si="36"/>
        <v>1458.2429999999999</v>
      </c>
      <c r="AF192">
        <f t="shared" si="37"/>
        <v>514.92299999999989</v>
      </c>
      <c r="AG192">
        <f t="shared" si="38"/>
        <v>0.35311192990468659</v>
      </c>
      <c r="AH192" t="str">
        <f t="shared" si="30"/>
        <v>April</v>
      </c>
      <c r="AI192">
        <f t="shared" si="31"/>
        <v>2025</v>
      </c>
      <c r="AJ192" t="str">
        <f t="shared" si="39"/>
        <v>OK</v>
      </c>
      <c r="AK192" t="str">
        <f t="shared" si="40"/>
        <v>OK</v>
      </c>
      <c r="AL192" t="str">
        <f t="shared" si="41"/>
        <v>Include</v>
      </c>
      <c r="AM192" t="str">
        <f t="shared" si="32"/>
        <v>Clean</v>
      </c>
    </row>
    <row r="193" spans="1:39">
      <c r="A193" t="s">
        <v>681</v>
      </c>
      <c r="B193" s="4">
        <v>45584</v>
      </c>
      <c r="C193" s="4">
        <v>45589</v>
      </c>
      <c r="D193" s="6">
        <v>5</v>
      </c>
      <c r="E193" t="s">
        <v>2788</v>
      </c>
      <c r="F193" t="s">
        <v>2788</v>
      </c>
      <c r="G193" t="s">
        <v>2788</v>
      </c>
      <c r="H193" t="s">
        <v>682</v>
      </c>
      <c r="I193" t="s">
        <v>132</v>
      </c>
      <c r="J193" t="s">
        <v>37</v>
      </c>
      <c r="K193" t="s">
        <v>54</v>
      </c>
      <c r="L193" t="s">
        <v>247</v>
      </c>
      <c r="M193" t="s">
        <v>248</v>
      </c>
      <c r="N193" t="s">
        <v>41</v>
      </c>
      <c r="O193" t="s">
        <v>158</v>
      </c>
      <c r="P193" t="s">
        <v>683</v>
      </c>
      <c r="Q193" t="s">
        <v>31</v>
      </c>
      <c r="R193">
        <v>6</v>
      </c>
      <c r="S193">
        <v>4308.3999999999996</v>
      </c>
      <c r="T193">
        <v>0.65</v>
      </c>
      <c r="U193">
        <v>25850.400000000001</v>
      </c>
      <c r="V193">
        <v>19397.68</v>
      </c>
      <c r="W193">
        <v>6452.72</v>
      </c>
      <c r="X193" t="s">
        <v>32</v>
      </c>
      <c r="Y193" t="s">
        <v>33</v>
      </c>
      <c r="Z193" t="str">
        <f t="shared" si="28"/>
        <v>Unique</v>
      </c>
      <c r="AA193" t="str">
        <f t="shared" si="29"/>
        <v>Unique</v>
      </c>
      <c r="AB193" t="str">
        <f t="shared" si="33"/>
        <v>OK</v>
      </c>
      <c r="AC193">
        <f t="shared" si="34"/>
        <v>0.65</v>
      </c>
      <c r="AD193" t="str">
        <f t="shared" si="35"/>
        <v>OK</v>
      </c>
      <c r="AE193">
        <f t="shared" si="36"/>
        <v>9047.64</v>
      </c>
      <c r="AF193">
        <f t="shared" si="37"/>
        <v>-10350.040000000001</v>
      </c>
      <c r="AG193">
        <f t="shared" si="38"/>
        <v>-1.1439491403283069</v>
      </c>
      <c r="AH193" t="str">
        <f t="shared" si="30"/>
        <v>October</v>
      </c>
      <c r="AI193">
        <f t="shared" si="31"/>
        <v>2024</v>
      </c>
      <c r="AJ193" t="str">
        <f t="shared" si="39"/>
        <v>Sales Mismatch</v>
      </c>
      <c r="AK193" t="str">
        <f t="shared" si="40"/>
        <v>Profit Mismatch</v>
      </c>
      <c r="AL193" t="str">
        <f t="shared" si="41"/>
        <v>Include</v>
      </c>
      <c r="AM193" t="str">
        <f t="shared" si="32"/>
        <v>Warning</v>
      </c>
    </row>
    <row r="194" spans="1:39">
      <c r="A194" t="s">
        <v>684</v>
      </c>
      <c r="B194" s="4">
        <v>45635</v>
      </c>
      <c r="C194" s="4">
        <v>45642</v>
      </c>
      <c r="D194" s="6">
        <v>7</v>
      </c>
      <c r="E194" t="s">
        <v>2788</v>
      </c>
      <c r="F194" t="s">
        <v>2788</v>
      </c>
      <c r="G194" t="s">
        <v>2788</v>
      </c>
      <c r="H194" t="s">
        <v>685</v>
      </c>
      <c r="I194" t="s">
        <v>47</v>
      </c>
      <c r="J194" t="s">
        <v>95</v>
      </c>
      <c r="K194" t="s">
        <v>63</v>
      </c>
      <c r="L194" t="s">
        <v>180</v>
      </c>
      <c r="M194" t="s">
        <v>181</v>
      </c>
      <c r="N194" t="s">
        <v>41</v>
      </c>
      <c r="O194" t="s">
        <v>66</v>
      </c>
      <c r="P194" t="s">
        <v>686</v>
      </c>
      <c r="Q194" t="s">
        <v>50</v>
      </c>
      <c r="R194">
        <v>4</v>
      </c>
      <c r="S194">
        <v>2191.0300000000002</v>
      </c>
      <c r="T194">
        <v>0</v>
      </c>
      <c r="U194">
        <v>8764.1200000000008</v>
      </c>
      <c r="V194">
        <v>7220.05</v>
      </c>
      <c r="W194">
        <v>1544.07</v>
      </c>
      <c r="X194" t="s">
        <v>32</v>
      </c>
      <c r="Y194" t="s">
        <v>33</v>
      </c>
      <c r="Z194" t="str">
        <f t="shared" ref="Z194:Z257" si="42">IF(COUNTIFS($A:$A,A194,$B:$B,B194,$C:$C,C194,$H:$H,H194,$U:$U,U194,$W:$W,W194)&gt;1,"Exact Duplicate","Unique")</f>
        <v>Unique</v>
      </c>
      <c r="AA194" t="str">
        <f t="shared" ref="AA194:AA257" si="43">IF(COUNTIF($A:$A,A194)&gt;1,"Duplicate Order ID","Unique")</f>
        <v>Unique</v>
      </c>
      <c r="AB194" t="str">
        <f t="shared" si="33"/>
        <v>OK</v>
      </c>
      <c r="AC194">
        <f t="shared" si="34"/>
        <v>0</v>
      </c>
      <c r="AD194" t="str">
        <f t="shared" si="35"/>
        <v>OK</v>
      </c>
      <c r="AE194">
        <f t="shared" si="36"/>
        <v>8764.1200000000008</v>
      </c>
      <c r="AF194">
        <f t="shared" si="37"/>
        <v>1544.0700000000006</v>
      </c>
      <c r="AG194">
        <f t="shared" si="38"/>
        <v>0.17618083732308554</v>
      </c>
      <c r="AH194" t="str">
        <f t="shared" ref="AH194:AH257" si="44">IFERROR(TEXT(B194,"mmmm"),"")</f>
        <v>December</v>
      </c>
      <c r="AI194">
        <f t="shared" ref="AI194:AI257" si="45">IFERROR(YEAR(B194),"")</f>
        <v>2024</v>
      </c>
      <c r="AJ194" t="str">
        <f t="shared" si="39"/>
        <v>OK</v>
      </c>
      <c r="AK194" t="str">
        <f t="shared" si="40"/>
        <v>OK</v>
      </c>
      <c r="AL194" t="str">
        <f t="shared" si="41"/>
        <v>Include</v>
      </c>
      <c r="AM194" t="str">
        <f t="shared" ref="AM194:AM257" si="46">IF(OR(E194&lt;&gt;"OK",F194&lt;&gt;"OK",AD194&lt;&gt;"OK",AB194="Conflicting Duplicate"),"Invalid",IF(OR(G194&lt;&gt;"OK",AJ194&lt;&gt;"OK",AK194&lt;&gt;"OK"),"Warning","Clean"))</f>
        <v>Clean</v>
      </c>
    </row>
    <row r="195" spans="1:39">
      <c r="A195" t="s">
        <v>687</v>
      </c>
      <c r="B195" s="4">
        <v>45466</v>
      </c>
      <c r="C195" s="4">
        <v>45471</v>
      </c>
      <c r="D195" s="6">
        <v>5</v>
      </c>
      <c r="E195" t="s">
        <v>2788</v>
      </c>
      <c r="F195" t="s">
        <v>2788</v>
      </c>
      <c r="G195" t="s">
        <v>2788</v>
      </c>
      <c r="H195" t="s">
        <v>688</v>
      </c>
      <c r="I195" t="s">
        <v>114</v>
      </c>
      <c r="J195" t="s">
        <v>37</v>
      </c>
      <c r="K195" t="s">
        <v>25</v>
      </c>
      <c r="L195" t="s">
        <v>122</v>
      </c>
      <c r="M195" t="s">
        <v>123</v>
      </c>
      <c r="N195" t="s">
        <v>74</v>
      </c>
      <c r="O195" t="s">
        <v>80</v>
      </c>
      <c r="P195" t="s">
        <v>689</v>
      </c>
      <c r="Q195" t="s">
        <v>44</v>
      </c>
      <c r="R195">
        <v>6</v>
      </c>
      <c r="S195">
        <v>1956.63</v>
      </c>
      <c r="T195">
        <v>0.2</v>
      </c>
      <c r="U195">
        <v>9391.82</v>
      </c>
      <c r="V195">
        <v>6013.22</v>
      </c>
      <c r="W195">
        <v>3378.6</v>
      </c>
      <c r="X195" t="s">
        <v>102</v>
      </c>
      <c r="Y195" t="s">
        <v>103</v>
      </c>
      <c r="Z195" t="str">
        <f t="shared" si="42"/>
        <v>Unique</v>
      </c>
      <c r="AA195" t="str">
        <f t="shared" si="43"/>
        <v>Unique</v>
      </c>
      <c r="AB195" t="str">
        <f t="shared" ref="AB195:AB258" si="47">IF(AND(AA195="Duplicate Order ID",Z195&lt;&gt;"Exact Duplicate"),"Conflicting Duplicate","OK")</f>
        <v>OK</v>
      </c>
      <c r="AC195">
        <f t="shared" ref="AC195:AC258" si="48">IF(OR(T195="",ISBLANK(T195)),0,T195)</f>
        <v>0.2</v>
      </c>
      <c r="AD195" t="str">
        <f t="shared" ref="AD195:AD258" si="49">IF(AC195&lt;0,"Invalid Negative Discount",IF(AC195&gt;1,"Invalid High Discount","OK"))</f>
        <v>OK</v>
      </c>
      <c r="AE195">
        <f t="shared" ref="AE195:AE258" si="50">R195*S195*(1-AC195)</f>
        <v>9391.8240000000005</v>
      </c>
      <c r="AF195">
        <f t="shared" ref="AF195:AF258" si="51">AE195-V195</f>
        <v>3378.6040000000003</v>
      </c>
      <c r="AG195">
        <f t="shared" ref="AG195:AG258" si="52">IF(AE195=0,0,AF195/AE195)</f>
        <v>0.35973885370935399</v>
      </c>
      <c r="AH195" t="str">
        <f t="shared" si="44"/>
        <v>June</v>
      </c>
      <c r="AI195">
        <f t="shared" si="45"/>
        <v>2024</v>
      </c>
      <c r="AJ195" t="str">
        <f t="shared" ref="AJ195:AJ258" si="53">IF(ABS(U195-AE195)&gt;1,"Sales Mismatch","OK")</f>
        <v>OK</v>
      </c>
      <c r="AK195" t="str">
        <f t="shared" ref="AK195:AK258" si="54">IF(ABS(W195-AF195)&gt;1,"Profit Mismatch","OK")</f>
        <v>OK</v>
      </c>
      <c r="AL195" t="str">
        <f t="shared" ref="AL195:AL258" si="55">IF(AND(X195="Paid",Y195="Completed"),"Include","Exclude")</f>
        <v>Exclude</v>
      </c>
      <c r="AM195" t="str">
        <f t="shared" si="46"/>
        <v>Clean</v>
      </c>
    </row>
    <row r="196" spans="1:39">
      <c r="A196" t="s">
        <v>690</v>
      </c>
      <c r="B196" s="4">
        <v>45685</v>
      </c>
      <c r="C196" s="4">
        <v>45688</v>
      </c>
      <c r="D196" s="6">
        <v>3</v>
      </c>
      <c r="E196" t="s">
        <v>2788</v>
      </c>
      <c r="F196" t="s">
        <v>2788</v>
      </c>
      <c r="G196" t="s">
        <v>2788</v>
      </c>
      <c r="H196" t="s">
        <v>691</v>
      </c>
      <c r="I196" t="s">
        <v>114</v>
      </c>
      <c r="J196" t="s">
        <v>24</v>
      </c>
      <c r="K196" t="s">
        <v>63</v>
      </c>
      <c r="L196" t="s">
        <v>64</v>
      </c>
      <c r="M196" t="s">
        <v>65</v>
      </c>
      <c r="N196" t="s">
        <v>41</v>
      </c>
      <c r="O196" t="s">
        <v>57</v>
      </c>
      <c r="P196" t="s">
        <v>692</v>
      </c>
      <c r="Q196" t="s">
        <v>50</v>
      </c>
      <c r="R196">
        <v>9</v>
      </c>
      <c r="S196">
        <v>858.39</v>
      </c>
      <c r="T196">
        <v>0.05</v>
      </c>
      <c r="U196">
        <v>7339.23</v>
      </c>
      <c r="V196">
        <v>5434.12</v>
      </c>
      <c r="W196">
        <v>1905.11</v>
      </c>
      <c r="X196" t="s">
        <v>111</v>
      </c>
      <c r="Y196" t="s">
        <v>103</v>
      </c>
      <c r="Z196" t="str">
        <f t="shared" si="42"/>
        <v>Unique</v>
      </c>
      <c r="AA196" t="str">
        <f t="shared" si="43"/>
        <v>Unique</v>
      </c>
      <c r="AB196" t="str">
        <f t="shared" si="47"/>
        <v>OK</v>
      </c>
      <c r="AC196">
        <f t="shared" si="48"/>
        <v>0.05</v>
      </c>
      <c r="AD196" t="str">
        <f t="shared" si="49"/>
        <v>OK</v>
      </c>
      <c r="AE196">
        <f t="shared" si="50"/>
        <v>7339.2344999999996</v>
      </c>
      <c r="AF196">
        <f t="shared" si="51"/>
        <v>1905.1144999999997</v>
      </c>
      <c r="AG196">
        <f t="shared" si="52"/>
        <v>0.25957945614082772</v>
      </c>
      <c r="AH196" t="str">
        <f t="shared" si="44"/>
        <v>January</v>
      </c>
      <c r="AI196">
        <f t="shared" si="45"/>
        <v>2025</v>
      </c>
      <c r="AJ196" t="str">
        <f t="shared" si="53"/>
        <v>OK</v>
      </c>
      <c r="AK196" t="str">
        <f t="shared" si="54"/>
        <v>OK</v>
      </c>
      <c r="AL196" t="str">
        <f t="shared" si="55"/>
        <v>Exclude</v>
      </c>
      <c r="AM196" t="str">
        <f t="shared" si="46"/>
        <v>Clean</v>
      </c>
    </row>
    <row r="197" spans="1:39">
      <c r="A197" t="s">
        <v>693</v>
      </c>
      <c r="B197" s="4">
        <v>45860</v>
      </c>
      <c r="C197" s="4">
        <v>45862</v>
      </c>
      <c r="D197" s="6">
        <v>2</v>
      </c>
      <c r="E197" t="s">
        <v>2788</v>
      </c>
      <c r="F197" t="s">
        <v>2788</v>
      </c>
      <c r="G197" t="s">
        <v>2788</v>
      </c>
      <c r="H197" t="s">
        <v>694</v>
      </c>
      <c r="I197" t="s">
        <v>79</v>
      </c>
      <c r="J197" t="s">
        <v>95</v>
      </c>
      <c r="K197" t="s">
        <v>54</v>
      </c>
      <c r="L197" t="s">
        <v>84</v>
      </c>
      <c r="M197" t="s">
        <v>85</v>
      </c>
      <c r="N197" t="s">
        <v>41</v>
      </c>
      <c r="O197" t="s">
        <v>57</v>
      </c>
      <c r="P197" t="s">
        <v>695</v>
      </c>
      <c r="Q197" t="s">
        <v>44</v>
      </c>
      <c r="R197">
        <v>5</v>
      </c>
      <c r="S197">
        <v>1922.83</v>
      </c>
      <c r="T197">
        <v>0</v>
      </c>
      <c r="U197">
        <v>9614.15</v>
      </c>
      <c r="V197">
        <v>7576.84</v>
      </c>
      <c r="W197">
        <v>2037.31</v>
      </c>
      <c r="X197" t="s">
        <v>32</v>
      </c>
      <c r="Y197" t="s">
        <v>33</v>
      </c>
      <c r="Z197" t="str">
        <f t="shared" si="42"/>
        <v>Unique</v>
      </c>
      <c r="AA197" t="str">
        <f t="shared" si="43"/>
        <v>Unique</v>
      </c>
      <c r="AB197" t="str">
        <f t="shared" si="47"/>
        <v>OK</v>
      </c>
      <c r="AC197">
        <f t="shared" si="48"/>
        <v>0</v>
      </c>
      <c r="AD197" t="str">
        <f t="shared" si="49"/>
        <v>OK</v>
      </c>
      <c r="AE197">
        <f t="shared" si="50"/>
        <v>9614.15</v>
      </c>
      <c r="AF197">
        <f t="shared" si="51"/>
        <v>2037.3099999999995</v>
      </c>
      <c r="AG197">
        <f t="shared" si="52"/>
        <v>0.21190744891644084</v>
      </c>
      <c r="AH197" t="str">
        <f t="shared" si="44"/>
        <v>July</v>
      </c>
      <c r="AI197">
        <f t="shared" si="45"/>
        <v>2025</v>
      </c>
      <c r="AJ197" t="str">
        <f t="shared" si="53"/>
        <v>OK</v>
      </c>
      <c r="AK197" t="str">
        <f t="shared" si="54"/>
        <v>OK</v>
      </c>
      <c r="AL197" t="str">
        <f t="shared" si="55"/>
        <v>Include</v>
      </c>
      <c r="AM197" t="str">
        <f t="shared" si="46"/>
        <v>Clean</v>
      </c>
    </row>
    <row r="198" spans="1:39">
      <c r="A198" t="s">
        <v>696</v>
      </c>
      <c r="B198" s="4">
        <v>45313</v>
      </c>
      <c r="C198" s="4">
        <v>45316</v>
      </c>
      <c r="D198" s="6">
        <v>3</v>
      </c>
      <c r="E198" t="s">
        <v>2788</v>
      </c>
      <c r="F198" t="s">
        <v>2788</v>
      </c>
      <c r="G198" t="s">
        <v>2788</v>
      </c>
      <c r="H198" t="s">
        <v>697</v>
      </c>
      <c r="I198" t="s">
        <v>264</v>
      </c>
      <c r="J198" t="s">
        <v>95</v>
      </c>
      <c r="K198" t="s">
        <v>25</v>
      </c>
      <c r="L198" t="s">
        <v>136</v>
      </c>
      <c r="M198" t="s">
        <v>137</v>
      </c>
      <c r="N198" t="s">
        <v>28</v>
      </c>
      <c r="O198" t="s">
        <v>124</v>
      </c>
      <c r="P198" t="s">
        <v>698</v>
      </c>
      <c r="Q198" t="s">
        <v>50</v>
      </c>
      <c r="R198">
        <v>3</v>
      </c>
      <c r="S198">
        <v>1212.03</v>
      </c>
      <c r="T198">
        <v>0.1</v>
      </c>
      <c r="U198">
        <v>3272.48</v>
      </c>
      <c r="V198">
        <v>2517.44</v>
      </c>
      <c r="W198">
        <v>755.04</v>
      </c>
      <c r="X198" t="s">
        <v>32</v>
      </c>
      <c r="Y198" t="s">
        <v>33</v>
      </c>
      <c r="Z198" t="str">
        <f t="shared" si="42"/>
        <v>Unique</v>
      </c>
      <c r="AA198" t="str">
        <f t="shared" si="43"/>
        <v>Unique</v>
      </c>
      <c r="AB198" t="str">
        <f t="shared" si="47"/>
        <v>OK</v>
      </c>
      <c r="AC198">
        <f t="shared" si="48"/>
        <v>0.1</v>
      </c>
      <c r="AD198" t="str">
        <f t="shared" si="49"/>
        <v>OK</v>
      </c>
      <c r="AE198">
        <f t="shared" si="50"/>
        <v>3272.4810000000002</v>
      </c>
      <c r="AF198">
        <f t="shared" si="51"/>
        <v>755.04100000000017</v>
      </c>
      <c r="AG198">
        <f t="shared" si="52"/>
        <v>0.23072433422837293</v>
      </c>
      <c r="AH198" t="str">
        <f t="shared" si="44"/>
        <v>January</v>
      </c>
      <c r="AI198">
        <f t="shared" si="45"/>
        <v>2024</v>
      </c>
      <c r="AJ198" t="str">
        <f t="shared" si="53"/>
        <v>OK</v>
      </c>
      <c r="AK198" t="str">
        <f t="shared" si="54"/>
        <v>OK</v>
      </c>
      <c r="AL198" t="str">
        <f t="shared" si="55"/>
        <v>Include</v>
      </c>
      <c r="AM198" t="str">
        <f t="shared" si="46"/>
        <v>Clean</v>
      </c>
    </row>
    <row r="199" spans="1:39">
      <c r="A199" t="s">
        <v>699</v>
      </c>
      <c r="B199" s="4">
        <v>45747</v>
      </c>
      <c r="C199" s="4">
        <v>45754</v>
      </c>
      <c r="D199" s="6">
        <v>7</v>
      </c>
      <c r="E199" t="s">
        <v>2788</v>
      </c>
      <c r="F199" t="s">
        <v>2788</v>
      </c>
      <c r="G199" t="s">
        <v>2788</v>
      </c>
      <c r="H199" t="s">
        <v>390</v>
      </c>
      <c r="I199" t="s">
        <v>118</v>
      </c>
      <c r="J199" t="s">
        <v>37</v>
      </c>
      <c r="K199" t="s">
        <v>38</v>
      </c>
      <c r="L199" t="s">
        <v>145</v>
      </c>
      <c r="M199" t="s">
        <v>146</v>
      </c>
      <c r="N199" t="s">
        <v>28</v>
      </c>
      <c r="O199" t="s">
        <v>124</v>
      </c>
      <c r="P199" t="s">
        <v>700</v>
      </c>
      <c r="Q199" t="s">
        <v>31</v>
      </c>
      <c r="R199">
        <v>5</v>
      </c>
      <c r="S199">
        <v>4096.4399999999996</v>
      </c>
      <c r="T199">
        <v>0.15</v>
      </c>
      <c r="U199">
        <v>17409.87</v>
      </c>
      <c r="V199">
        <v>14076.25</v>
      </c>
      <c r="W199">
        <v>3333.62</v>
      </c>
      <c r="X199" t="s">
        <v>32</v>
      </c>
      <c r="Y199" t="s">
        <v>33</v>
      </c>
      <c r="Z199" t="str">
        <f t="shared" si="42"/>
        <v>Unique</v>
      </c>
      <c r="AA199" t="str">
        <f t="shared" si="43"/>
        <v>Unique</v>
      </c>
      <c r="AB199" t="str">
        <f t="shared" si="47"/>
        <v>OK</v>
      </c>
      <c r="AC199">
        <f t="shared" si="48"/>
        <v>0.15</v>
      </c>
      <c r="AD199" t="str">
        <f t="shared" si="49"/>
        <v>OK</v>
      </c>
      <c r="AE199">
        <f t="shared" si="50"/>
        <v>17409.869999999995</v>
      </c>
      <c r="AF199">
        <f t="shared" si="51"/>
        <v>3333.6199999999953</v>
      </c>
      <c r="AG199">
        <f t="shared" si="52"/>
        <v>0.19147874165631312</v>
      </c>
      <c r="AH199" t="str">
        <f t="shared" si="44"/>
        <v>March</v>
      </c>
      <c r="AI199">
        <f t="shared" si="45"/>
        <v>2025</v>
      </c>
      <c r="AJ199" t="str">
        <f t="shared" si="53"/>
        <v>OK</v>
      </c>
      <c r="AK199" t="str">
        <f t="shared" si="54"/>
        <v>OK</v>
      </c>
      <c r="AL199" t="str">
        <f t="shared" si="55"/>
        <v>Include</v>
      </c>
      <c r="AM199" t="str">
        <f t="shared" si="46"/>
        <v>Clean</v>
      </c>
    </row>
    <row r="200" spans="1:39">
      <c r="A200" t="s">
        <v>701</v>
      </c>
      <c r="B200" s="4">
        <v>45448</v>
      </c>
      <c r="C200" s="4">
        <v>45449</v>
      </c>
      <c r="D200" s="6">
        <v>1</v>
      </c>
      <c r="E200" t="s">
        <v>2788</v>
      </c>
      <c r="F200" t="s">
        <v>2788</v>
      </c>
      <c r="G200" t="s">
        <v>2788</v>
      </c>
      <c r="H200" t="s">
        <v>702</v>
      </c>
      <c r="I200" t="s">
        <v>132</v>
      </c>
      <c r="J200" t="s">
        <v>24</v>
      </c>
      <c r="K200" t="s">
        <v>63</v>
      </c>
      <c r="L200" t="s">
        <v>180</v>
      </c>
      <c r="M200" t="s">
        <v>181</v>
      </c>
      <c r="N200" t="s">
        <v>28</v>
      </c>
      <c r="O200" t="s">
        <v>48</v>
      </c>
      <c r="P200" t="s">
        <v>703</v>
      </c>
      <c r="Q200" t="s">
        <v>31</v>
      </c>
      <c r="R200">
        <v>1</v>
      </c>
      <c r="S200">
        <v>1184.58</v>
      </c>
      <c r="T200">
        <v>0.05</v>
      </c>
      <c r="U200">
        <v>1125.3499999999999</v>
      </c>
      <c r="V200">
        <v>676.97</v>
      </c>
      <c r="W200">
        <v>448.38</v>
      </c>
      <c r="X200" t="s">
        <v>155</v>
      </c>
      <c r="Y200" t="s">
        <v>68</v>
      </c>
      <c r="Z200" t="str">
        <f t="shared" si="42"/>
        <v>Unique</v>
      </c>
      <c r="AA200" t="str">
        <f t="shared" si="43"/>
        <v>Unique</v>
      </c>
      <c r="AB200" t="str">
        <f t="shared" si="47"/>
        <v>OK</v>
      </c>
      <c r="AC200">
        <f t="shared" si="48"/>
        <v>0.05</v>
      </c>
      <c r="AD200" t="str">
        <f t="shared" si="49"/>
        <v>OK</v>
      </c>
      <c r="AE200">
        <f t="shared" si="50"/>
        <v>1125.3509999999999</v>
      </c>
      <c r="AF200">
        <f t="shared" si="51"/>
        <v>448.38099999999986</v>
      </c>
      <c r="AG200">
        <f t="shared" si="52"/>
        <v>0.39843657667696558</v>
      </c>
      <c r="AH200" t="str">
        <f t="shared" si="44"/>
        <v>June</v>
      </c>
      <c r="AI200">
        <f t="shared" si="45"/>
        <v>2024</v>
      </c>
      <c r="AJ200" t="str">
        <f t="shared" si="53"/>
        <v>OK</v>
      </c>
      <c r="AK200" t="str">
        <f t="shared" si="54"/>
        <v>OK</v>
      </c>
      <c r="AL200" t="str">
        <f t="shared" si="55"/>
        <v>Exclude</v>
      </c>
      <c r="AM200" t="str">
        <f t="shared" si="46"/>
        <v>Clean</v>
      </c>
    </row>
    <row r="201" spans="1:39">
      <c r="A201" t="s">
        <v>704</v>
      </c>
      <c r="B201" s="4">
        <v>45363</v>
      </c>
      <c r="C201" s="4">
        <v>45363</v>
      </c>
      <c r="D201" s="6">
        <v>0</v>
      </c>
      <c r="E201" t="s">
        <v>2788</v>
      </c>
      <c r="F201" t="s">
        <v>2788</v>
      </c>
      <c r="G201" t="s">
        <v>2788</v>
      </c>
      <c r="H201" t="s">
        <v>705</v>
      </c>
      <c r="I201" t="s">
        <v>118</v>
      </c>
      <c r="J201" t="s">
        <v>95</v>
      </c>
      <c r="K201" t="s">
        <v>38</v>
      </c>
      <c r="L201" t="s">
        <v>145</v>
      </c>
      <c r="M201" t="s">
        <v>146</v>
      </c>
      <c r="N201" t="s">
        <v>74</v>
      </c>
      <c r="O201" t="s">
        <v>274</v>
      </c>
      <c r="P201" t="s">
        <v>706</v>
      </c>
      <c r="Q201" t="s">
        <v>2783</v>
      </c>
      <c r="R201">
        <v>6</v>
      </c>
      <c r="S201">
        <v>2185.58</v>
      </c>
      <c r="T201">
        <v>0.25</v>
      </c>
      <c r="U201">
        <v>9835.11</v>
      </c>
      <c r="V201">
        <v>5437.64</v>
      </c>
      <c r="W201">
        <v>4397.47</v>
      </c>
      <c r="X201" t="s">
        <v>32</v>
      </c>
      <c r="Y201" t="s">
        <v>33</v>
      </c>
      <c r="Z201" t="str">
        <f t="shared" si="42"/>
        <v>Unique</v>
      </c>
      <c r="AA201" t="str">
        <f t="shared" si="43"/>
        <v>Unique</v>
      </c>
      <c r="AB201" t="str">
        <f t="shared" si="47"/>
        <v>OK</v>
      </c>
      <c r="AC201">
        <f t="shared" si="48"/>
        <v>0.25</v>
      </c>
      <c r="AD201" t="str">
        <f t="shared" si="49"/>
        <v>OK</v>
      </c>
      <c r="AE201">
        <f t="shared" si="50"/>
        <v>9835.11</v>
      </c>
      <c r="AF201">
        <f t="shared" si="51"/>
        <v>4397.47</v>
      </c>
      <c r="AG201">
        <f t="shared" si="52"/>
        <v>0.44711955433136996</v>
      </c>
      <c r="AH201" t="str">
        <f t="shared" si="44"/>
        <v>March</v>
      </c>
      <c r="AI201">
        <f t="shared" si="45"/>
        <v>2024</v>
      </c>
      <c r="AJ201" t="str">
        <f t="shared" si="53"/>
        <v>OK</v>
      </c>
      <c r="AK201" t="str">
        <f t="shared" si="54"/>
        <v>OK</v>
      </c>
      <c r="AL201" t="str">
        <f t="shared" si="55"/>
        <v>Include</v>
      </c>
      <c r="AM201" t="str">
        <f t="shared" si="46"/>
        <v>Clean</v>
      </c>
    </row>
    <row r="202" spans="1:39">
      <c r="A202" t="s">
        <v>707</v>
      </c>
      <c r="B202" s="4">
        <v>45835</v>
      </c>
      <c r="C202" s="4">
        <v>45843</v>
      </c>
      <c r="D202" s="6">
        <v>8</v>
      </c>
      <c r="E202" t="s">
        <v>2788</v>
      </c>
      <c r="F202" t="s">
        <v>2788</v>
      </c>
      <c r="G202" t="s">
        <v>2788</v>
      </c>
      <c r="H202" t="s">
        <v>708</v>
      </c>
      <c r="I202" t="s">
        <v>114</v>
      </c>
      <c r="J202" t="s">
        <v>37</v>
      </c>
      <c r="K202" t="s">
        <v>25</v>
      </c>
      <c r="L202" t="s">
        <v>26</v>
      </c>
      <c r="M202" t="s">
        <v>27</v>
      </c>
      <c r="N202" t="s">
        <v>74</v>
      </c>
      <c r="O202" t="s">
        <v>80</v>
      </c>
      <c r="P202" t="s">
        <v>709</v>
      </c>
      <c r="Q202" t="s">
        <v>50</v>
      </c>
      <c r="R202">
        <v>5</v>
      </c>
      <c r="S202">
        <v>2868.44</v>
      </c>
      <c r="T202">
        <v>0.1</v>
      </c>
      <c r="U202">
        <v>12907.98</v>
      </c>
      <c r="V202">
        <v>9197.08</v>
      </c>
      <c r="W202">
        <v>3710.9</v>
      </c>
      <c r="X202" t="s">
        <v>111</v>
      </c>
      <c r="Y202" t="s">
        <v>68</v>
      </c>
      <c r="Z202" t="str">
        <f t="shared" si="42"/>
        <v>Unique</v>
      </c>
      <c r="AA202" t="str">
        <f t="shared" si="43"/>
        <v>Unique</v>
      </c>
      <c r="AB202" t="str">
        <f t="shared" si="47"/>
        <v>OK</v>
      </c>
      <c r="AC202">
        <f t="shared" si="48"/>
        <v>0.1</v>
      </c>
      <c r="AD202" t="str">
        <f t="shared" si="49"/>
        <v>OK</v>
      </c>
      <c r="AE202">
        <f t="shared" si="50"/>
        <v>12907.980000000001</v>
      </c>
      <c r="AF202">
        <f t="shared" si="51"/>
        <v>3710.9000000000015</v>
      </c>
      <c r="AG202">
        <f t="shared" si="52"/>
        <v>0.28748882474252369</v>
      </c>
      <c r="AH202" t="str">
        <f t="shared" si="44"/>
        <v>June</v>
      </c>
      <c r="AI202">
        <f t="shared" si="45"/>
        <v>2025</v>
      </c>
      <c r="AJ202" t="str">
        <f t="shared" si="53"/>
        <v>OK</v>
      </c>
      <c r="AK202" t="str">
        <f t="shared" si="54"/>
        <v>OK</v>
      </c>
      <c r="AL202" t="str">
        <f t="shared" si="55"/>
        <v>Exclude</v>
      </c>
      <c r="AM202" t="str">
        <f t="shared" si="46"/>
        <v>Clean</v>
      </c>
    </row>
    <row r="203" spans="1:39">
      <c r="A203" t="s">
        <v>710</v>
      </c>
      <c r="B203" s="4">
        <v>45864</v>
      </c>
      <c r="C203" s="4">
        <v>45872</v>
      </c>
      <c r="D203" s="6">
        <v>8</v>
      </c>
      <c r="E203" t="s">
        <v>2788</v>
      </c>
      <c r="F203" t="s">
        <v>2788</v>
      </c>
      <c r="G203" t="s">
        <v>2788</v>
      </c>
      <c r="H203" t="s">
        <v>711</v>
      </c>
      <c r="I203" t="s">
        <v>71</v>
      </c>
      <c r="J203" t="s">
        <v>24</v>
      </c>
      <c r="K203" t="s">
        <v>63</v>
      </c>
      <c r="L203" t="s">
        <v>72</v>
      </c>
      <c r="M203" t="s">
        <v>73</v>
      </c>
      <c r="N203" t="s">
        <v>28</v>
      </c>
      <c r="O203" t="s">
        <v>91</v>
      </c>
      <c r="P203" t="s">
        <v>712</v>
      </c>
      <c r="Q203" t="s">
        <v>31</v>
      </c>
      <c r="R203">
        <v>2</v>
      </c>
      <c r="S203">
        <v>2503.5300000000002</v>
      </c>
      <c r="T203">
        <v>-0.16</v>
      </c>
      <c r="U203">
        <v>4756.71</v>
      </c>
      <c r="V203">
        <v>2954.86</v>
      </c>
      <c r="W203">
        <v>1801.85</v>
      </c>
      <c r="X203" t="s">
        <v>102</v>
      </c>
      <c r="Y203" t="s">
        <v>68</v>
      </c>
      <c r="Z203" t="str">
        <f t="shared" si="42"/>
        <v>Unique</v>
      </c>
      <c r="AA203" t="str">
        <f t="shared" si="43"/>
        <v>Unique</v>
      </c>
      <c r="AB203" t="str">
        <f t="shared" si="47"/>
        <v>OK</v>
      </c>
      <c r="AC203">
        <f t="shared" si="48"/>
        <v>-0.16</v>
      </c>
      <c r="AD203" t="str">
        <f t="shared" si="49"/>
        <v>Invalid Negative Discount</v>
      </c>
      <c r="AE203">
        <f t="shared" si="50"/>
        <v>5808.1895999999997</v>
      </c>
      <c r="AF203">
        <f t="shared" si="51"/>
        <v>2853.3295999999996</v>
      </c>
      <c r="AG203">
        <f t="shared" si="52"/>
        <v>0.49125972058487893</v>
      </c>
      <c r="AH203" t="str">
        <f t="shared" si="44"/>
        <v>July</v>
      </c>
      <c r="AI203">
        <f t="shared" si="45"/>
        <v>2025</v>
      </c>
      <c r="AJ203" t="str">
        <f t="shared" si="53"/>
        <v>Sales Mismatch</v>
      </c>
      <c r="AK203" t="str">
        <f t="shared" si="54"/>
        <v>Profit Mismatch</v>
      </c>
      <c r="AL203" t="str">
        <f t="shared" si="55"/>
        <v>Exclude</v>
      </c>
      <c r="AM203" t="str">
        <f t="shared" si="46"/>
        <v>Invalid</v>
      </c>
    </row>
    <row r="204" spans="1:39">
      <c r="A204" t="s">
        <v>713</v>
      </c>
      <c r="B204" s="4">
        <v>45744</v>
      </c>
      <c r="C204" s="4">
        <v>45744</v>
      </c>
      <c r="D204" s="6">
        <v>0</v>
      </c>
      <c r="E204" t="s">
        <v>2788</v>
      </c>
      <c r="F204" t="s">
        <v>2788</v>
      </c>
      <c r="G204" t="s">
        <v>2788</v>
      </c>
      <c r="H204" t="s">
        <v>714</v>
      </c>
      <c r="I204" t="s">
        <v>132</v>
      </c>
      <c r="J204" t="s">
        <v>90</v>
      </c>
      <c r="K204" t="s">
        <v>63</v>
      </c>
      <c r="L204" t="s">
        <v>190</v>
      </c>
      <c r="M204" t="s">
        <v>191</v>
      </c>
      <c r="N204" t="s">
        <v>74</v>
      </c>
      <c r="O204" t="s">
        <v>75</v>
      </c>
      <c r="P204" t="s">
        <v>715</v>
      </c>
      <c r="Q204" t="s">
        <v>59</v>
      </c>
      <c r="R204">
        <v>8</v>
      </c>
      <c r="S204">
        <v>1740.94</v>
      </c>
      <c r="T204">
        <v>0.05</v>
      </c>
      <c r="U204">
        <v>13231.14</v>
      </c>
      <c r="V204">
        <v>11290.06</v>
      </c>
      <c r="W204">
        <v>1941.08</v>
      </c>
      <c r="X204" t="s">
        <v>32</v>
      </c>
      <c r="Y204" t="s">
        <v>33</v>
      </c>
      <c r="Z204" t="str">
        <f t="shared" si="42"/>
        <v>Unique</v>
      </c>
      <c r="AA204" t="str">
        <f t="shared" si="43"/>
        <v>Unique</v>
      </c>
      <c r="AB204" t="str">
        <f t="shared" si="47"/>
        <v>OK</v>
      </c>
      <c r="AC204">
        <f t="shared" si="48"/>
        <v>0.05</v>
      </c>
      <c r="AD204" t="str">
        <f t="shared" si="49"/>
        <v>OK</v>
      </c>
      <c r="AE204">
        <f t="shared" si="50"/>
        <v>13231.144</v>
      </c>
      <c r="AF204">
        <f t="shared" si="51"/>
        <v>1941.0840000000007</v>
      </c>
      <c r="AG204">
        <f t="shared" si="52"/>
        <v>0.14670568168557463</v>
      </c>
      <c r="AH204" t="str">
        <f t="shared" si="44"/>
        <v>March</v>
      </c>
      <c r="AI204">
        <f t="shared" si="45"/>
        <v>2025</v>
      </c>
      <c r="AJ204" t="str">
        <f t="shared" si="53"/>
        <v>OK</v>
      </c>
      <c r="AK204" t="str">
        <f t="shared" si="54"/>
        <v>OK</v>
      </c>
      <c r="AL204" t="str">
        <f t="shared" si="55"/>
        <v>Include</v>
      </c>
      <c r="AM204" t="str">
        <f t="shared" si="46"/>
        <v>Clean</v>
      </c>
    </row>
    <row r="205" spans="1:39">
      <c r="A205" t="s">
        <v>716</v>
      </c>
      <c r="B205" s="4">
        <v>45379</v>
      </c>
      <c r="C205" s="4">
        <v>45381</v>
      </c>
      <c r="D205" s="6">
        <v>2</v>
      </c>
      <c r="E205" t="s">
        <v>2788</v>
      </c>
      <c r="F205" t="s">
        <v>2788</v>
      </c>
      <c r="G205" t="s">
        <v>2788</v>
      </c>
      <c r="H205" t="s">
        <v>717</v>
      </c>
      <c r="I205" t="s">
        <v>132</v>
      </c>
      <c r="J205" t="s">
        <v>90</v>
      </c>
      <c r="K205" t="s">
        <v>63</v>
      </c>
      <c r="L205" t="s">
        <v>26</v>
      </c>
      <c r="M205" t="s">
        <v>109</v>
      </c>
      <c r="N205" t="s">
        <v>74</v>
      </c>
      <c r="O205" t="s">
        <v>75</v>
      </c>
      <c r="P205" t="s">
        <v>718</v>
      </c>
      <c r="Q205" t="s">
        <v>31</v>
      </c>
      <c r="R205">
        <v>1</v>
      </c>
      <c r="S205">
        <v>570.34</v>
      </c>
      <c r="T205">
        <v>0.15</v>
      </c>
      <c r="U205">
        <v>484.79</v>
      </c>
      <c r="V205">
        <v>333.54</v>
      </c>
      <c r="W205">
        <v>151.25</v>
      </c>
      <c r="X205" t="s">
        <v>32</v>
      </c>
      <c r="Y205" t="s">
        <v>33</v>
      </c>
      <c r="Z205" t="str">
        <f t="shared" si="42"/>
        <v>Unique</v>
      </c>
      <c r="AA205" t="str">
        <f t="shared" si="43"/>
        <v>Unique</v>
      </c>
      <c r="AB205" t="str">
        <f t="shared" si="47"/>
        <v>OK</v>
      </c>
      <c r="AC205">
        <f t="shared" si="48"/>
        <v>0.15</v>
      </c>
      <c r="AD205" t="str">
        <f t="shared" si="49"/>
        <v>OK</v>
      </c>
      <c r="AE205">
        <f t="shared" si="50"/>
        <v>484.78899999999999</v>
      </c>
      <c r="AF205">
        <f t="shared" si="51"/>
        <v>151.24899999999997</v>
      </c>
      <c r="AG205">
        <f t="shared" si="52"/>
        <v>0.3119893396921134</v>
      </c>
      <c r="AH205" t="str">
        <f t="shared" si="44"/>
        <v>March</v>
      </c>
      <c r="AI205">
        <f t="shared" si="45"/>
        <v>2024</v>
      </c>
      <c r="AJ205" t="str">
        <f t="shared" si="53"/>
        <v>OK</v>
      </c>
      <c r="AK205" t="str">
        <f t="shared" si="54"/>
        <v>OK</v>
      </c>
      <c r="AL205" t="str">
        <f t="shared" si="55"/>
        <v>Include</v>
      </c>
      <c r="AM205" t="str">
        <f t="shared" si="46"/>
        <v>Clean</v>
      </c>
    </row>
    <row r="206" spans="1:39">
      <c r="A206" t="s">
        <v>719</v>
      </c>
      <c r="B206" s="4">
        <v>45858</v>
      </c>
      <c r="C206" s="4">
        <v>45861</v>
      </c>
      <c r="D206" s="6">
        <v>3</v>
      </c>
      <c r="E206" t="s">
        <v>2788</v>
      </c>
      <c r="F206" t="s">
        <v>2788</v>
      </c>
      <c r="G206" t="s">
        <v>2788</v>
      </c>
      <c r="H206" t="s">
        <v>720</v>
      </c>
      <c r="I206" t="s">
        <v>36</v>
      </c>
      <c r="J206" t="s">
        <v>95</v>
      </c>
      <c r="K206" t="s">
        <v>38</v>
      </c>
      <c r="L206" t="s">
        <v>99</v>
      </c>
      <c r="M206" t="s">
        <v>100</v>
      </c>
      <c r="N206" t="s">
        <v>41</v>
      </c>
      <c r="O206" t="s">
        <v>42</v>
      </c>
      <c r="P206" t="s">
        <v>721</v>
      </c>
      <c r="Q206" t="s">
        <v>31</v>
      </c>
      <c r="R206">
        <v>4</v>
      </c>
      <c r="S206">
        <v>477.69</v>
      </c>
      <c r="T206">
        <v>0.15</v>
      </c>
      <c r="U206">
        <v>1624.15</v>
      </c>
      <c r="V206">
        <v>1217.99</v>
      </c>
      <c r="W206">
        <v>406.16</v>
      </c>
      <c r="X206" t="s">
        <v>32</v>
      </c>
      <c r="Y206" t="s">
        <v>33</v>
      </c>
      <c r="Z206" t="str">
        <f t="shared" si="42"/>
        <v>Unique</v>
      </c>
      <c r="AA206" t="str">
        <f t="shared" si="43"/>
        <v>Unique</v>
      </c>
      <c r="AB206" t="str">
        <f t="shared" si="47"/>
        <v>OK</v>
      </c>
      <c r="AC206">
        <f t="shared" si="48"/>
        <v>0.15</v>
      </c>
      <c r="AD206" t="str">
        <f t="shared" si="49"/>
        <v>OK</v>
      </c>
      <c r="AE206">
        <f t="shared" si="50"/>
        <v>1624.146</v>
      </c>
      <c r="AF206">
        <f t="shared" si="51"/>
        <v>406.15599999999995</v>
      </c>
      <c r="AG206">
        <f t="shared" si="52"/>
        <v>0.25007357712914968</v>
      </c>
      <c r="AH206" t="str">
        <f t="shared" si="44"/>
        <v>July</v>
      </c>
      <c r="AI206">
        <f t="shared" si="45"/>
        <v>2025</v>
      </c>
      <c r="AJ206" t="str">
        <f t="shared" si="53"/>
        <v>OK</v>
      </c>
      <c r="AK206" t="str">
        <f t="shared" si="54"/>
        <v>OK</v>
      </c>
      <c r="AL206" t="str">
        <f t="shared" si="55"/>
        <v>Include</v>
      </c>
      <c r="AM206" t="str">
        <f t="shared" si="46"/>
        <v>Clean</v>
      </c>
    </row>
    <row r="207" spans="1:39">
      <c r="A207" t="s">
        <v>722</v>
      </c>
      <c r="B207" s="4">
        <v>45768</v>
      </c>
      <c r="C207" s="4">
        <v>45773</v>
      </c>
      <c r="D207" s="6">
        <v>5</v>
      </c>
      <c r="E207" t="s">
        <v>2788</v>
      </c>
      <c r="F207" t="s">
        <v>2788</v>
      </c>
      <c r="G207" t="s">
        <v>2788</v>
      </c>
      <c r="H207" t="s">
        <v>723</v>
      </c>
      <c r="I207" t="s">
        <v>62</v>
      </c>
      <c r="J207" t="s">
        <v>24</v>
      </c>
      <c r="K207" t="s">
        <v>63</v>
      </c>
      <c r="L207" t="s">
        <v>64</v>
      </c>
      <c r="M207" t="s">
        <v>65</v>
      </c>
      <c r="N207" t="s">
        <v>28</v>
      </c>
      <c r="O207" t="s">
        <v>91</v>
      </c>
      <c r="P207" t="s">
        <v>724</v>
      </c>
      <c r="Q207" t="s">
        <v>44</v>
      </c>
      <c r="R207">
        <v>6</v>
      </c>
      <c r="S207">
        <v>873.59</v>
      </c>
      <c r="T207">
        <v>0.2</v>
      </c>
      <c r="U207">
        <v>4193.2299999999996</v>
      </c>
      <c r="V207">
        <v>3329.99</v>
      </c>
      <c r="W207">
        <v>863.24</v>
      </c>
      <c r="X207" t="s">
        <v>32</v>
      </c>
      <c r="Y207" t="s">
        <v>33</v>
      </c>
      <c r="Z207" t="str">
        <f t="shared" si="42"/>
        <v>Unique</v>
      </c>
      <c r="AA207" t="str">
        <f t="shared" si="43"/>
        <v>Unique</v>
      </c>
      <c r="AB207" t="str">
        <f t="shared" si="47"/>
        <v>OK</v>
      </c>
      <c r="AC207">
        <f t="shared" si="48"/>
        <v>0.2</v>
      </c>
      <c r="AD207" t="str">
        <f t="shared" si="49"/>
        <v>OK</v>
      </c>
      <c r="AE207">
        <f t="shared" si="50"/>
        <v>4193.232</v>
      </c>
      <c r="AF207">
        <f t="shared" si="51"/>
        <v>863.24200000000019</v>
      </c>
      <c r="AG207">
        <f t="shared" si="52"/>
        <v>0.2058655471483572</v>
      </c>
      <c r="AH207" t="str">
        <f t="shared" si="44"/>
        <v>April</v>
      </c>
      <c r="AI207">
        <f t="shared" si="45"/>
        <v>2025</v>
      </c>
      <c r="AJ207" t="str">
        <f t="shared" si="53"/>
        <v>OK</v>
      </c>
      <c r="AK207" t="str">
        <f t="shared" si="54"/>
        <v>OK</v>
      </c>
      <c r="AL207" t="str">
        <f t="shared" si="55"/>
        <v>Include</v>
      </c>
      <c r="AM207" t="str">
        <f t="shared" si="46"/>
        <v>Clean</v>
      </c>
    </row>
    <row r="208" spans="1:39">
      <c r="A208" t="s">
        <v>725</v>
      </c>
      <c r="B208" s="4">
        <v>45795</v>
      </c>
      <c r="C208" s="4">
        <v>45797</v>
      </c>
      <c r="D208" s="6">
        <v>2</v>
      </c>
      <c r="E208" t="s">
        <v>2788</v>
      </c>
      <c r="F208" t="s">
        <v>2788</v>
      </c>
      <c r="G208" t="s">
        <v>2788</v>
      </c>
      <c r="H208" t="s">
        <v>726</v>
      </c>
      <c r="I208" t="s">
        <v>162</v>
      </c>
      <c r="J208" t="s">
        <v>37</v>
      </c>
      <c r="K208" t="s">
        <v>25</v>
      </c>
      <c r="L208" t="s">
        <v>136</v>
      </c>
      <c r="M208" t="s">
        <v>137</v>
      </c>
      <c r="N208" t="s">
        <v>41</v>
      </c>
      <c r="O208" t="s">
        <v>57</v>
      </c>
      <c r="P208" t="s">
        <v>727</v>
      </c>
      <c r="Q208" t="s">
        <v>50</v>
      </c>
      <c r="R208">
        <v>2</v>
      </c>
      <c r="S208">
        <v>215.13</v>
      </c>
      <c r="T208">
        <v>0</v>
      </c>
      <c r="U208">
        <v>430.26</v>
      </c>
      <c r="V208">
        <v>286.38</v>
      </c>
      <c r="W208">
        <v>143.88</v>
      </c>
      <c r="X208" t="s">
        <v>32</v>
      </c>
      <c r="Y208" t="s">
        <v>33</v>
      </c>
      <c r="Z208" t="str">
        <f t="shared" si="42"/>
        <v>Unique</v>
      </c>
      <c r="AA208" t="str">
        <f t="shared" si="43"/>
        <v>Unique</v>
      </c>
      <c r="AB208" t="str">
        <f t="shared" si="47"/>
        <v>OK</v>
      </c>
      <c r="AC208">
        <f t="shared" si="48"/>
        <v>0</v>
      </c>
      <c r="AD208" t="str">
        <f t="shared" si="49"/>
        <v>OK</v>
      </c>
      <c r="AE208">
        <f t="shared" si="50"/>
        <v>430.26</v>
      </c>
      <c r="AF208">
        <f t="shared" si="51"/>
        <v>143.88</v>
      </c>
      <c r="AG208">
        <f t="shared" si="52"/>
        <v>0.33440245432994004</v>
      </c>
      <c r="AH208" t="str">
        <f t="shared" si="44"/>
        <v>May</v>
      </c>
      <c r="AI208">
        <f t="shared" si="45"/>
        <v>2025</v>
      </c>
      <c r="AJ208" t="str">
        <f t="shared" si="53"/>
        <v>OK</v>
      </c>
      <c r="AK208" t="str">
        <f t="shared" si="54"/>
        <v>OK</v>
      </c>
      <c r="AL208" t="str">
        <f t="shared" si="55"/>
        <v>Include</v>
      </c>
      <c r="AM208" t="str">
        <f t="shared" si="46"/>
        <v>Clean</v>
      </c>
    </row>
    <row r="209" spans="1:39">
      <c r="A209" t="s">
        <v>728</v>
      </c>
      <c r="B209" s="4">
        <v>45483</v>
      </c>
      <c r="C209" s="4">
        <v>45489</v>
      </c>
      <c r="D209" s="6">
        <v>6</v>
      </c>
      <c r="E209" t="s">
        <v>2788</v>
      </c>
      <c r="F209" t="s">
        <v>2788</v>
      </c>
      <c r="G209" t="s">
        <v>2788</v>
      </c>
      <c r="H209" t="s">
        <v>729</v>
      </c>
      <c r="I209" t="s">
        <v>128</v>
      </c>
      <c r="J209" t="s">
        <v>95</v>
      </c>
      <c r="K209" t="s">
        <v>63</v>
      </c>
      <c r="L209" t="s">
        <v>190</v>
      </c>
      <c r="M209" t="s">
        <v>191</v>
      </c>
      <c r="N209" t="s">
        <v>41</v>
      </c>
      <c r="O209" t="s">
        <v>158</v>
      </c>
      <c r="P209" t="s">
        <v>730</v>
      </c>
      <c r="Q209" t="s">
        <v>31</v>
      </c>
      <c r="R209">
        <v>2</v>
      </c>
      <c r="S209">
        <v>1095.45</v>
      </c>
      <c r="T209">
        <v>0.2</v>
      </c>
      <c r="U209">
        <v>1752.72</v>
      </c>
      <c r="V209">
        <v>996.41</v>
      </c>
      <c r="W209">
        <v>756.31</v>
      </c>
      <c r="X209" t="s">
        <v>32</v>
      </c>
      <c r="Y209" t="s">
        <v>33</v>
      </c>
      <c r="Z209" t="str">
        <f t="shared" si="42"/>
        <v>Unique</v>
      </c>
      <c r="AA209" t="str">
        <f t="shared" si="43"/>
        <v>Unique</v>
      </c>
      <c r="AB209" t="str">
        <f t="shared" si="47"/>
        <v>OK</v>
      </c>
      <c r="AC209">
        <f t="shared" si="48"/>
        <v>0.2</v>
      </c>
      <c r="AD209" t="str">
        <f t="shared" si="49"/>
        <v>OK</v>
      </c>
      <c r="AE209">
        <f t="shared" si="50"/>
        <v>1752.7200000000003</v>
      </c>
      <c r="AF209">
        <f t="shared" si="51"/>
        <v>756.31000000000029</v>
      </c>
      <c r="AG209">
        <f t="shared" si="52"/>
        <v>0.43150645853302305</v>
      </c>
      <c r="AH209" t="str">
        <f t="shared" si="44"/>
        <v>July</v>
      </c>
      <c r="AI209">
        <f t="shared" si="45"/>
        <v>2024</v>
      </c>
      <c r="AJ209" t="str">
        <f t="shared" si="53"/>
        <v>OK</v>
      </c>
      <c r="AK209" t="str">
        <f t="shared" si="54"/>
        <v>OK</v>
      </c>
      <c r="AL209" t="str">
        <f t="shared" si="55"/>
        <v>Include</v>
      </c>
      <c r="AM209" t="str">
        <f t="shared" si="46"/>
        <v>Clean</v>
      </c>
    </row>
    <row r="210" spans="1:39">
      <c r="A210" t="s">
        <v>731</v>
      </c>
      <c r="B210" s="4">
        <v>45837</v>
      </c>
      <c r="C210" s="4">
        <v>45843</v>
      </c>
      <c r="D210" s="6">
        <v>6</v>
      </c>
      <c r="E210" t="s">
        <v>2788</v>
      </c>
      <c r="F210" t="s">
        <v>2788</v>
      </c>
      <c r="G210" t="s">
        <v>2788</v>
      </c>
      <c r="H210" t="s">
        <v>732</v>
      </c>
      <c r="I210" t="s">
        <v>162</v>
      </c>
      <c r="J210" t="s">
        <v>24</v>
      </c>
      <c r="K210" t="s">
        <v>25</v>
      </c>
      <c r="L210" t="s">
        <v>122</v>
      </c>
      <c r="M210" t="s">
        <v>123</v>
      </c>
      <c r="N210" t="s">
        <v>41</v>
      </c>
      <c r="O210" t="s">
        <v>66</v>
      </c>
      <c r="P210" t="s">
        <v>733</v>
      </c>
      <c r="Q210" t="s">
        <v>44</v>
      </c>
      <c r="R210">
        <v>1</v>
      </c>
      <c r="S210">
        <v>999.83</v>
      </c>
      <c r="T210">
        <v>0</v>
      </c>
      <c r="U210">
        <v>999.83</v>
      </c>
      <c r="V210">
        <v>634.91</v>
      </c>
      <c r="W210">
        <v>364.92</v>
      </c>
      <c r="X210" t="s">
        <v>32</v>
      </c>
      <c r="Y210" t="s">
        <v>33</v>
      </c>
      <c r="Z210" t="str">
        <f t="shared" si="42"/>
        <v>Unique</v>
      </c>
      <c r="AA210" t="str">
        <f t="shared" si="43"/>
        <v>Unique</v>
      </c>
      <c r="AB210" t="str">
        <f t="shared" si="47"/>
        <v>OK</v>
      </c>
      <c r="AC210">
        <f t="shared" si="48"/>
        <v>0</v>
      </c>
      <c r="AD210" t="str">
        <f t="shared" si="49"/>
        <v>OK</v>
      </c>
      <c r="AE210">
        <f t="shared" si="50"/>
        <v>999.83</v>
      </c>
      <c r="AF210">
        <f t="shared" si="51"/>
        <v>364.92000000000007</v>
      </c>
      <c r="AG210">
        <f t="shared" si="52"/>
        <v>0.3649820469479812</v>
      </c>
      <c r="AH210" t="str">
        <f t="shared" si="44"/>
        <v>June</v>
      </c>
      <c r="AI210">
        <f t="shared" si="45"/>
        <v>2025</v>
      </c>
      <c r="AJ210" t="str">
        <f t="shared" si="53"/>
        <v>OK</v>
      </c>
      <c r="AK210" t="str">
        <f t="shared" si="54"/>
        <v>OK</v>
      </c>
      <c r="AL210" t="str">
        <f t="shared" si="55"/>
        <v>Include</v>
      </c>
      <c r="AM210" t="str">
        <f t="shared" si="46"/>
        <v>Clean</v>
      </c>
    </row>
    <row r="211" spans="1:39">
      <c r="A211" t="s">
        <v>734</v>
      </c>
      <c r="B211" s="4">
        <v>45882</v>
      </c>
      <c r="C211" s="4">
        <v>45883</v>
      </c>
      <c r="D211" s="6">
        <v>1</v>
      </c>
      <c r="E211" t="s">
        <v>2788</v>
      </c>
      <c r="F211" t="s">
        <v>2788</v>
      </c>
      <c r="G211" t="s">
        <v>2788</v>
      </c>
      <c r="H211" t="s">
        <v>735</v>
      </c>
      <c r="I211" t="s">
        <v>141</v>
      </c>
      <c r="J211" t="s">
        <v>37</v>
      </c>
      <c r="K211" t="s">
        <v>54</v>
      </c>
      <c r="L211" t="s">
        <v>84</v>
      </c>
      <c r="M211" t="s">
        <v>85</v>
      </c>
      <c r="N211" t="s">
        <v>28</v>
      </c>
      <c r="O211" t="s">
        <v>29</v>
      </c>
      <c r="P211" t="s">
        <v>736</v>
      </c>
      <c r="Q211" t="s">
        <v>50</v>
      </c>
      <c r="R211">
        <v>9</v>
      </c>
      <c r="S211">
        <v>864.98</v>
      </c>
      <c r="T211">
        <v>0.1</v>
      </c>
      <c r="U211">
        <v>7006.34</v>
      </c>
      <c r="V211">
        <v>4640.88</v>
      </c>
      <c r="W211">
        <v>2365.46</v>
      </c>
      <c r="X211" t="s">
        <v>32</v>
      </c>
      <c r="Y211" t="s">
        <v>33</v>
      </c>
      <c r="Z211" t="str">
        <f t="shared" si="42"/>
        <v>Unique</v>
      </c>
      <c r="AA211" t="str">
        <f t="shared" si="43"/>
        <v>Unique</v>
      </c>
      <c r="AB211" t="str">
        <f t="shared" si="47"/>
        <v>OK</v>
      </c>
      <c r="AC211">
        <f t="shared" si="48"/>
        <v>0.1</v>
      </c>
      <c r="AD211" t="str">
        <f t="shared" si="49"/>
        <v>OK</v>
      </c>
      <c r="AE211">
        <f t="shared" si="50"/>
        <v>7006.3379999999997</v>
      </c>
      <c r="AF211">
        <f t="shared" si="51"/>
        <v>2365.4579999999996</v>
      </c>
      <c r="AG211">
        <f t="shared" si="52"/>
        <v>0.33761688345609359</v>
      </c>
      <c r="AH211" t="str">
        <f t="shared" si="44"/>
        <v>August</v>
      </c>
      <c r="AI211">
        <f t="shared" si="45"/>
        <v>2025</v>
      </c>
      <c r="AJ211" t="str">
        <f t="shared" si="53"/>
        <v>OK</v>
      </c>
      <c r="AK211" t="str">
        <f t="shared" si="54"/>
        <v>OK</v>
      </c>
      <c r="AL211" t="str">
        <f t="shared" si="55"/>
        <v>Include</v>
      </c>
      <c r="AM211" t="str">
        <f t="shared" si="46"/>
        <v>Clean</v>
      </c>
    </row>
    <row r="212" spans="1:39">
      <c r="A212" t="s">
        <v>737</v>
      </c>
      <c r="B212" s="4">
        <v>45366</v>
      </c>
      <c r="C212" s="4">
        <v>45369</v>
      </c>
      <c r="D212" s="6">
        <v>3</v>
      </c>
      <c r="E212" t="s">
        <v>2788</v>
      </c>
      <c r="F212" t="s">
        <v>2788</v>
      </c>
      <c r="G212" t="s">
        <v>2788</v>
      </c>
      <c r="H212" t="s">
        <v>738</v>
      </c>
      <c r="I212" t="s">
        <v>264</v>
      </c>
      <c r="J212" t="s">
        <v>95</v>
      </c>
      <c r="K212" t="s">
        <v>54</v>
      </c>
      <c r="L212" t="s">
        <v>175</v>
      </c>
      <c r="M212" t="s">
        <v>176</v>
      </c>
      <c r="N212" t="s">
        <v>74</v>
      </c>
      <c r="O212" t="s">
        <v>274</v>
      </c>
      <c r="P212" t="s">
        <v>739</v>
      </c>
      <c r="Q212" t="s">
        <v>31</v>
      </c>
      <c r="R212">
        <v>1</v>
      </c>
      <c r="S212">
        <v>4131.3599999999997</v>
      </c>
      <c r="T212">
        <v>0</v>
      </c>
      <c r="U212">
        <v>4131.3599999999997</v>
      </c>
      <c r="V212">
        <v>2937.07</v>
      </c>
      <c r="W212">
        <v>1194.29</v>
      </c>
      <c r="X212" t="s">
        <v>155</v>
      </c>
      <c r="Y212" t="s">
        <v>103</v>
      </c>
      <c r="Z212" t="str">
        <f t="shared" si="42"/>
        <v>Unique</v>
      </c>
      <c r="AA212" t="str">
        <f t="shared" si="43"/>
        <v>Unique</v>
      </c>
      <c r="AB212" t="str">
        <f t="shared" si="47"/>
        <v>OK</v>
      </c>
      <c r="AC212">
        <f t="shared" si="48"/>
        <v>0</v>
      </c>
      <c r="AD212" t="str">
        <f t="shared" si="49"/>
        <v>OK</v>
      </c>
      <c r="AE212">
        <f t="shared" si="50"/>
        <v>4131.3599999999997</v>
      </c>
      <c r="AF212">
        <f t="shared" si="51"/>
        <v>1194.2899999999995</v>
      </c>
      <c r="AG212">
        <f t="shared" si="52"/>
        <v>0.28907914100925591</v>
      </c>
      <c r="AH212" t="str">
        <f t="shared" si="44"/>
        <v>March</v>
      </c>
      <c r="AI212">
        <f t="shared" si="45"/>
        <v>2024</v>
      </c>
      <c r="AJ212" t="str">
        <f t="shared" si="53"/>
        <v>OK</v>
      </c>
      <c r="AK212" t="str">
        <f t="shared" si="54"/>
        <v>OK</v>
      </c>
      <c r="AL212" t="str">
        <f t="shared" si="55"/>
        <v>Exclude</v>
      </c>
      <c r="AM212" t="str">
        <f t="shared" si="46"/>
        <v>Clean</v>
      </c>
    </row>
    <row r="213" spans="1:39">
      <c r="A213" t="s">
        <v>740</v>
      </c>
      <c r="B213" s="4">
        <v>45428</v>
      </c>
      <c r="C213" s="4">
        <v>45429</v>
      </c>
      <c r="D213" s="6">
        <v>1</v>
      </c>
      <c r="E213" t="s">
        <v>2788</v>
      </c>
      <c r="F213" t="s">
        <v>2788</v>
      </c>
      <c r="G213" t="s">
        <v>2788</v>
      </c>
      <c r="H213" t="s">
        <v>741</v>
      </c>
      <c r="I213" t="s">
        <v>141</v>
      </c>
      <c r="J213" t="s">
        <v>90</v>
      </c>
      <c r="K213" t="s">
        <v>38</v>
      </c>
      <c r="L213" t="s">
        <v>99</v>
      </c>
      <c r="M213" t="s">
        <v>100</v>
      </c>
      <c r="N213" t="s">
        <v>74</v>
      </c>
      <c r="O213" t="s">
        <v>80</v>
      </c>
      <c r="P213" t="s">
        <v>742</v>
      </c>
      <c r="Q213" t="s">
        <v>31</v>
      </c>
      <c r="R213">
        <v>8</v>
      </c>
      <c r="S213">
        <v>4221.95</v>
      </c>
      <c r="T213">
        <v>0.2</v>
      </c>
      <c r="U213">
        <v>27020.48</v>
      </c>
      <c r="V213">
        <v>22885.24</v>
      </c>
      <c r="W213">
        <v>4135.24</v>
      </c>
      <c r="X213" t="s">
        <v>32</v>
      </c>
      <c r="Y213" t="s">
        <v>33</v>
      </c>
      <c r="Z213" t="str">
        <f t="shared" si="42"/>
        <v>Unique</v>
      </c>
      <c r="AA213" t="str">
        <f t="shared" si="43"/>
        <v>Unique</v>
      </c>
      <c r="AB213" t="str">
        <f t="shared" si="47"/>
        <v>OK</v>
      </c>
      <c r="AC213">
        <f t="shared" si="48"/>
        <v>0.2</v>
      </c>
      <c r="AD213" t="str">
        <f t="shared" si="49"/>
        <v>OK</v>
      </c>
      <c r="AE213">
        <f t="shared" si="50"/>
        <v>27020.48</v>
      </c>
      <c r="AF213">
        <f t="shared" si="51"/>
        <v>4135.239999999998</v>
      </c>
      <c r="AG213">
        <f t="shared" si="52"/>
        <v>0.15304095264036752</v>
      </c>
      <c r="AH213" t="str">
        <f t="shared" si="44"/>
        <v>May</v>
      </c>
      <c r="AI213">
        <f t="shared" si="45"/>
        <v>2024</v>
      </c>
      <c r="AJ213" t="str">
        <f t="shared" si="53"/>
        <v>OK</v>
      </c>
      <c r="AK213" t="str">
        <f t="shared" si="54"/>
        <v>OK</v>
      </c>
      <c r="AL213" t="str">
        <f t="shared" si="55"/>
        <v>Include</v>
      </c>
      <c r="AM213" t="str">
        <f t="shared" si="46"/>
        <v>Clean</v>
      </c>
    </row>
    <row r="214" spans="1:39">
      <c r="A214" t="s">
        <v>743</v>
      </c>
      <c r="B214" s="4">
        <v>45556</v>
      </c>
      <c r="C214" s="4">
        <v>45556</v>
      </c>
      <c r="D214" s="6">
        <v>0</v>
      </c>
      <c r="E214" t="s">
        <v>2788</v>
      </c>
      <c r="F214" t="s">
        <v>2788</v>
      </c>
      <c r="G214" t="s">
        <v>2788</v>
      </c>
      <c r="H214" t="s">
        <v>744</v>
      </c>
      <c r="I214" t="s">
        <v>62</v>
      </c>
      <c r="J214" t="s">
        <v>37</v>
      </c>
      <c r="K214" t="s">
        <v>38</v>
      </c>
      <c r="L214" t="s">
        <v>39</v>
      </c>
      <c r="M214" t="s">
        <v>40</v>
      </c>
      <c r="N214" t="s">
        <v>74</v>
      </c>
      <c r="O214" t="s">
        <v>171</v>
      </c>
      <c r="P214" t="s">
        <v>745</v>
      </c>
      <c r="Q214" t="s">
        <v>44</v>
      </c>
      <c r="R214">
        <v>2</v>
      </c>
      <c r="S214">
        <v>214.5</v>
      </c>
      <c r="T214">
        <v>0.15</v>
      </c>
      <c r="U214">
        <v>364.65</v>
      </c>
      <c r="V214">
        <v>280.74</v>
      </c>
      <c r="W214">
        <v>83.91</v>
      </c>
      <c r="X214" t="s">
        <v>32</v>
      </c>
      <c r="Y214" t="s">
        <v>33</v>
      </c>
      <c r="Z214" t="str">
        <f t="shared" si="42"/>
        <v>Unique</v>
      </c>
      <c r="AA214" t="str">
        <f t="shared" si="43"/>
        <v>Unique</v>
      </c>
      <c r="AB214" t="str">
        <f t="shared" si="47"/>
        <v>OK</v>
      </c>
      <c r="AC214">
        <f t="shared" si="48"/>
        <v>0.15</v>
      </c>
      <c r="AD214" t="str">
        <f t="shared" si="49"/>
        <v>OK</v>
      </c>
      <c r="AE214">
        <f t="shared" si="50"/>
        <v>364.65</v>
      </c>
      <c r="AF214">
        <f t="shared" si="51"/>
        <v>83.909999999999968</v>
      </c>
      <c r="AG214">
        <f t="shared" si="52"/>
        <v>0.23011106540518297</v>
      </c>
      <c r="AH214" t="str">
        <f t="shared" si="44"/>
        <v>September</v>
      </c>
      <c r="AI214">
        <f t="shared" si="45"/>
        <v>2024</v>
      </c>
      <c r="AJ214" t="str">
        <f t="shared" si="53"/>
        <v>OK</v>
      </c>
      <c r="AK214" t="str">
        <f t="shared" si="54"/>
        <v>OK</v>
      </c>
      <c r="AL214" t="str">
        <f t="shared" si="55"/>
        <v>Include</v>
      </c>
      <c r="AM214" t="str">
        <f t="shared" si="46"/>
        <v>Clean</v>
      </c>
    </row>
    <row r="215" spans="1:39">
      <c r="A215" t="s">
        <v>746</v>
      </c>
      <c r="B215" s="4">
        <v>45427</v>
      </c>
      <c r="C215" s="4">
        <v>45433</v>
      </c>
      <c r="D215" s="6">
        <v>6</v>
      </c>
      <c r="E215" t="s">
        <v>2788</v>
      </c>
      <c r="F215" t="s">
        <v>2788</v>
      </c>
      <c r="G215" t="s">
        <v>2788</v>
      </c>
      <c r="H215" t="s">
        <v>747</v>
      </c>
      <c r="I215" t="s">
        <v>47</v>
      </c>
      <c r="J215" t="s">
        <v>37</v>
      </c>
      <c r="K215" t="s">
        <v>38</v>
      </c>
      <c r="L215" t="s">
        <v>145</v>
      </c>
      <c r="M215" t="s">
        <v>146</v>
      </c>
      <c r="N215" t="s">
        <v>74</v>
      </c>
      <c r="O215" t="s">
        <v>75</v>
      </c>
      <c r="P215" t="s">
        <v>748</v>
      </c>
      <c r="Q215" t="s">
        <v>31</v>
      </c>
      <c r="R215">
        <v>4</v>
      </c>
      <c r="S215">
        <v>4332.7299999999996</v>
      </c>
      <c r="T215">
        <v>0.2</v>
      </c>
      <c r="U215">
        <v>13864.74</v>
      </c>
      <c r="V215">
        <v>11294.06</v>
      </c>
      <c r="W215">
        <v>2570.6799999999998</v>
      </c>
      <c r="X215" t="s">
        <v>32</v>
      </c>
      <c r="Y215" t="s">
        <v>33</v>
      </c>
      <c r="Z215" t="str">
        <f t="shared" si="42"/>
        <v>Unique</v>
      </c>
      <c r="AA215" t="str">
        <f t="shared" si="43"/>
        <v>Unique</v>
      </c>
      <c r="AB215" t="str">
        <f t="shared" si="47"/>
        <v>OK</v>
      </c>
      <c r="AC215">
        <f t="shared" si="48"/>
        <v>0.2</v>
      </c>
      <c r="AD215" t="str">
        <f t="shared" si="49"/>
        <v>OK</v>
      </c>
      <c r="AE215">
        <f t="shared" si="50"/>
        <v>13864.735999999999</v>
      </c>
      <c r="AF215">
        <f t="shared" si="51"/>
        <v>2570.6759999999995</v>
      </c>
      <c r="AG215">
        <f t="shared" si="52"/>
        <v>0.18541110339208763</v>
      </c>
      <c r="AH215" t="str">
        <f t="shared" si="44"/>
        <v>May</v>
      </c>
      <c r="AI215">
        <f t="shared" si="45"/>
        <v>2024</v>
      </c>
      <c r="AJ215" t="str">
        <f t="shared" si="53"/>
        <v>OK</v>
      </c>
      <c r="AK215" t="str">
        <f t="shared" si="54"/>
        <v>OK</v>
      </c>
      <c r="AL215" t="str">
        <f t="shared" si="55"/>
        <v>Include</v>
      </c>
      <c r="AM215" t="str">
        <f t="shared" si="46"/>
        <v>Clean</v>
      </c>
    </row>
    <row r="216" spans="1:39">
      <c r="A216" t="s">
        <v>749</v>
      </c>
      <c r="B216" s="4">
        <v>45368</v>
      </c>
      <c r="C216" s="4">
        <v>45374</v>
      </c>
      <c r="D216" s="6">
        <v>6</v>
      </c>
      <c r="E216" t="s">
        <v>2788</v>
      </c>
      <c r="F216" t="s">
        <v>2788</v>
      </c>
      <c r="G216" t="s">
        <v>2788</v>
      </c>
      <c r="H216" t="s">
        <v>750</v>
      </c>
      <c r="I216" t="s">
        <v>118</v>
      </c>
      <c r="J216" t="s">
        <v>24</v>
      </c>
      <c r="K216" t="s">
        <v>25</v>
      </c>
      <c r="L216" t="s">
        <v>236</v>
      </c>
      <c r="M216" t="s">
        <v>237</v>
      </c>
      <c r="N216" t="s">
        <v>74</v>
      </c>
      <c r="O216" t="s">
        <v>75</v>
      </c>
      <c r="P216" t="s">
        <v>751</v>
      </c>
      <c r="Q216" t="s">
        <v>50</v>
      </c>
      <c r="R216">
        <v>3</v>
      </c>
      <c r="S216">
        <v>248.18</v>
      </c>
      <c r="T216">
        <v>0.05</v>
      </c>
      <c r="U216">
        <v>707.31</v>
      </c>
      <c r="V216">
        <v>569</v>
      </c>
      <c r="W216">
        <v>138.31</v>
      </c>
      <c r="X216" t="s">
        <v>32</v>
      </c>
      <c r="Y216" t="s">
        <v>33</v>
      </c>
      <c r="Z216" t="str">
        <f t="shared" si="42"/>
        <v>Unique</v>
      </c>
      <c r="AA216" t="str">
        <f t="shared" si="43"/>
        <v>Unique</v>
      </c>
      <c r="AB216" t="str">
        <f t="shared" si="47"/>
        <v>OK</v>
      </c>
      <c r="AC216">
        <f t="shared" si="48"/>
        <v>0.05</v>
      </c>
      <c r="AD216" t="str">
        <f t="shared" si="49"/>
        <v>OK</v>
      </c>
      <c r="AE216">
        <f t="shared" si="50"/>
        <v>707.31299999999999</v>
      </c>
      <c r="AF216">
        <f t="shared" si="51"/>
        <v>138.31299999999999</v>
      </c>
      <c r="AG216">
        <f t="shared" si="52"/>
        <v>0.19554709159876885</v>
      </c>
      <c r="AH216" t="str">
        <f t="shared" si="44"/>
        <v>March</v>
      </c>
      <c r="AI216">
        <f t="shared" si="45"/>
        <v>2024</v>
      </c>
      <c r="AJ216" t="str">
        <f t="shared" si="53"/>
        <v>OK</v>
      </c>
      <c r="AK216" t="str">
        <f t="shared" si="54"/>
        <v>OK</v>
      </c>
      <c r="AL216" t="str">
        <f t="shared" si="55"/>
        <v>Include</v>
      </c>
      <c r="AM216" t="str">
        <f t="shared" si="46"/>
        <v>Clean</v>
      </c>
    </row>
    <row r="217" spans="1:39">
      <c r="A217" t="s">
        <v>752</v>
      </c>
      <c r="B217" s="4">
        <v>45352</v>
      </c>
      <c r="C217" s="4">
        <v>45355</v>
      </c>
      <c r="D217" s="6">
        <v>3</v>
      </c>
      <c r="E217" t="s">
        <v>2788</v>
      </c>
      <c r="F217" t="s">
        <v>2788</v>
      </c>
      <c r="G217" t="s">
        <v>2788</v>
      </c>
      <c r="H217" t="s">
        <v>753</v>
      </c>
      <c r="I217" t="s">
        <v>36</v>
      </c>
      <c r="J217" t="s">
        <v>24</v>
      </c>
      <c r="K217" t="s">
        <v>63</v>
      </c>
      <c r="L217" t="s">
        <v>72</v>
      </c>
      <c r="M217" t="s">
        <v>73</v>
      </c>
      <c r="N217" t="s">
        <v>28</v>
      </c>
      <c r="O217" t="s">
        <v>29</v>
      </c>
      <c r="P217" t="s">
        <v>754</v>
      </c>
      <c r="Q217" t="s">
        <v>50</v>
      </c>
      <c r="R217">
        <v>8</v>
      </c>
      <c r="S217">
        <v>3202.4</v>
      </c>
      <c r="T217">
        <v>0.25</v>
      </c>
      <c r="U217">
        <v>19214.400000000001</v>
      </c>
      <c r="V217">
        <v>10916.01</v>
      </c>
      <c r="W217">
        <v>8298.39</v>
      </c>
      <c r="X217" t="s">
        <v>32</v>
      </c>
      <c r="Y217" t="s">
        <v>33</v>
      </c>
      <c r="Z217" t="str">
        <f t="shared" si="42"/>
        <v>Unique</v>
      </c>
      <c r="AA217" t="str">
        <f t="shared" si="43"/>
        <v>Unique</v>
      </c>
      <c r="AB217" t="str">
        <f t="shared" si="47"/>
        <v>OK</v>
      </c>
      <c r="AC217">
        <f t="shared" si="48"/>
        <v>0.25</v>
      </c>
      <c r="AD217" t="str">
        <f t="shared" si="49"/>
        <v>OK</v>
      </c>
      <c r="AE217">
        <f t="shared" si="50"/>
        <v>19214.400000000001</v>
      </c>
      <c r="AF217">
        <f t="shared" si="51"/>
        <v>8298.3900000000012</v>
      </c>
      <c r="AG217">
        <f t="shared" si="52"/>
        <v>0.43188389957531853</v>
      </c>
      <c r="AH217" t="str">
        <f t="shared" si="44"/>
        <v>March</v>
      </c>
      <c r="AI217">
        <f t="shared" si="45"/>
        <v>2024</v>
      </c>
      <c r="AJ217" t="str">
        <f t="shared" si="53"/>
        <v>OK</v>
      </c>
      <c r="AK217" t="str">
        <f t="shared" si="54"/>
        <v>OK</v>
      </c>
      <c r="AL217" t="str">
        <f t="shared" si="55"/>
        <v>Include</v>
      </c>
      <c r="AM217" t="str">
        <f t="shared" si="46"/>
        <v>Clean</v>
      </c>
    </row>
    <row r="218" spans="1:39">
      <c r="A218" t="s">
        <v>755</v>
      </c>
      <c r="B218" s="4">
        <v>45757</v>
      </c>
      <c r="C218" s="4">
        <v>45762</v>
      </c>
      <c r="D218" s="6">
        <v>5</v>
      </c>
      <c r="E218" t="s">
        <v>2788</v>
      </c>
      <c r="F218" t="s">
        <v>2788</v>
      </c>
      <c r="G218" t="s">
        <v>2788</v>
      </c>
      <c r="H218" t="s">
        <v>756</v>
      </c>
      <c r="I218" t="s">
        <v>47</v>
      </c>
      <c r="J218" t="s">
        <v>24</v>
      </c>
      <c r="K218" t="s">
        <v>63</v>
      </c>
      <c r="L218" t="s">
        <v>180</v>
      </c>
      <c r="M218" t="s">
        <v>181</v>
      </c>
      <c r="N218" t="s">
        <v>41</v>
      </c>
      <c r="O218" t="s">
        <v>42</v>
      </c>
      <c r="P218" t="s">
        <v>757</v>
      </c>
      <c r="Q218" t="s">
        <v>59</v>
      </c>
      <c r="R218">
        <v>8</v>
      </c>
      <c r="S218">
        <v>1839.87</v>
      </c>
      <c r="T218">
        <v>0.25</v>
      </c>
      <c r="U218">
        <v>11039.22</v>
      </c>
      <c r="V218">
        <v>7642.91</v>
      </c>
      <c r="W218">
        <v>3396.31</v>
      </c>
      <c r="X218" t="s">
        <v>155</v>
      </c>
      <c r="Y218" t="s">
        <v>103</v>
      </c>
      <c r="Z218" t="str">
        <f t="shared" si="42"/>
        <v>Unique</v>
      </c>
      <c r="AA218" t="str">
        <f t="shared" si="43"/>
        <v>Unique</v>
      </c>
      <c r="AB218" t="str">
        <f t="shared" si="47"/>
        <v>OK</v>
      </c>
      <c r="AC218">
        <f t="shared" si="48"/>
        <v>0.25</v>
      </c>
      <c r="AD218" t="str">
        <f t="shared" si="49"/>
        <v>OK</v>
      </c>
      <c r="AE218">
        <f t="shared" si="50"/>
        <v>11039.22</v>
      </c>
      <c r="AF218">
        <f t="shared" si="51"/>
        <v>3396.3099999999995</v>
      </c>
      <c r="AG218">
        <f t="shared" si="52"/>
        <v>0.30765851210502188</v>
      </c>
      <c r="AH218" t="str">
        <f t="shared" si="44"/>
        <v>April</v>
      </c>
      <c r="AI218">
        <f t="shared" si="45"/>
        <v>2025</v>
      </c>
      <c r="AJ218" t="str">
        <f t="shared" si="53"/>
        <v>OK</v>
      </c>
      <c r="AK218" t="str">
        <f t="shared" si="54"/>
        <v>OK</v>
      </c>
      <c r="AL218" t="str">
        <f t="shared" si="55"/>
        <v>Exclude</v>
      </c>
      <c r="AM218" t="str">
        <f t="shared" si="46"/>
        <v>Clean</v>
      </c>
    </row>
    <row r="219" spans="1:39">
      <c r="A219" t="s">
        <v>758</v>
      </c>
      <c r="B219" s="4">
        <v>45748</v>
      </c>
      <c r="C219" s="4">
        <v>45755</v>
      </c>
      <c r="D219" s="6">
        <v>7</v>
      </c>
      <c r="E219" t="s">
        <v>2788</v>
      </c>
      <c r="F219" t="s">
        <v>2788</v>
      </c>
      <c r="G219" t="s">
        <v>2788</v>
      </c>
      <c r="H219" t="s">
        <v>759</v>
      </c>
      <c r="I219" t="s">
        <v>89</v>
      </c>
      <c r="J219" t="s">
        <v>24</v>
      </c>
      <c r="K219" t="s">
        <v>38</v>
      </c>
      <c r="L219" t="s">
        <v>39</v>
      </c>
      <c r="M219" t="s">
        <v>40</v>
      </c>
      <c r="N219" t="s">
        <v>41</v>
      </c>
      <c r="O219" t="s">
        <v>158</v>
      </c>
      <c r="P219" t="s">
        <v>760</v>
      </c>
      <c r="Q219" t="s">
        <v>31</v>
      </c>
      <c r="R219">
        <v>5</v>
      </c>
      <c r="S219">
        <v>1021.28</v>
      </c>
      <c r="T219">
        <v>0.1</v>
      </c>
      <c r="U219">
        <v>4595.76</v>
      </c>
      <c r="V219">
        <v>3396.8</v>
      </c>
      <c r="W219">
        <v>1198.96</v>
      </c>
      <c r="X219" t="s">
        <v>102</v>
      </c>
      <c r="Y219" t="s">
        <v>68</v>
      </c>
      <c r="Z219" t="str">
        <f t="shared" si="42"/>
        <v>Unique</v>
      </c>
      <c r="AA219" t="str">
        <f t="shared" si="43"/>
        <v>Unique</v>
      </c>
      <c r="AB219" t="str">
        <f t="shared" si="47"/>
        <v>OK</v>
      </c>
      <c r="AC219">
        <f t="shared" si="48"/>
        <v>0.1</v>
      </c>
      <c r="AD219" t="str">
        <f t="shared" si="49"/>
        <v>OK</v>
      </c>
      <c r="AE219">
        <f t="shared" si="50"/>
        <v>4595.76</v>
      </c>
      <c r="AF219">
        <f t="shared" si="51"/>
        <v>1198.96</v>
      </c>
      <c r="AG219">
        <f t="shared" si="52"/>
        <v>0.26088394520166414</v>
      </c>
      <c r="AH219" t="str">
        <f t="shared" si="44"/>
        <v>April</v>
      </c>
      <c r="AI219">
        <f t="shared" si="45"/>
        <v>2025</v>
      </c>
      <c r="AJ219" t="str">
        <f t="shared" si="53"/>
        <v>OK</v>
      </c>
      <c r="AK219" t="str">
        <f t="shared" si="54"/>
        <v>OK</v>
      </c>
      <c r="AL219" t="str">
        <f t="shared" si="55"/>
        <v>Exclude</v>
      </c>
      <c r="AM219" t="str">
        <f t="shared" si="46"/>
        <v>Clean</v>
      </c>
    </row>
    <row r="220" spans="1:39">
      <c r="A220" t="s">
        <v>761</v>
      </c>
      <c r="B220" s="4">
        <v>45714</v>
      </c>
      <c r="C220" s="4">
        <v>45715</v>
      </c>
      <c r="D220" s="6">
        <v>1</v>
      </c>
      <c r="E220" t="s">
        <v>2788</v>
      </c>
      <c r="F220" t="s">
        <v>2788</v>
      </c>
      <c r="G220" t="s">
        <v>2788</v>
      </c>
      <c r="H220" t="s">
        <v>762</v>
      </c>
      <c r="I220" t="s">
        <v>114</v>
      </c>
      <c r="J220" t="s">
        <v>90</v>
      </c>
      <c r="K220" t="s">
        <v>63</v>
      </c>
      <c r="L220" t="s">
        <v>180</v>
      </c>
      <c r="M220" t="s">
        <v>181</v>
      </c>
      <c r="N220" t="s">
        <v>41</v>
      </c>
      <c r="O220" t="s">
        <v>158</v>
      </c>
      <c r="P220" t="s">
        <v>763</v>
      </c>
      <c r="Q220" t="s">
        <v>59</v>
      </c>
      <c r="R220">
        <v>5</v>
      </c>
      <c r="S220">
        <v>258.27999999999997</v>
      </c>
      <c r="T220">
        <v>0</v>
      </c>
      <c r="U220">
        <v>1291.4000000000001</v>
      </c>
      <c r="V220">
        <v>756.93</v>
      </c>
      <c r="W220">
        <v>534.47</v>
      </c>
      <c r="X220" t="s">
        <v>32</v>
      </c>
      <c r="Y220" t="s">
        <v>33</v>
      </c>
      <c r="Z220" t="str">
        <f t="shared" si="42"/>
        <v>Unique</v>
      </c>
      <c r="AA220" t="str">
        <f t="shared" si="43"/>
        <v>Unique</v>
      </c>
      <c r="AB220" t="str">
        <f t="shared" si="47"/>
        <v>OK</v>
      </c>
      <c r="AC220">
        <f t="shared" si="48"/>
        <v>0</v>
      </c>
      <c r="AD220" t="str">
        <f t="shared" si="49"/>
        <v>OK</v>
      </c>
      <c r="AE220">
        <f t="shared" si="50"/>
        <v>1291.3999999999999</v>
      </c>
      <c r="AF220">
        <f t="shared" si="51"/>
        <v>534.46999999999991</v>
      </c>
      <c r="AG220">
        <f t="shared" si="52"/>
        <v>0.41386866966083319</v>
      </c>
      <c r="AH220" t="str">
        <f t="shared" si="44"/>
        <v>February</v>
      </c>
      <c r="AI220">
        <f t="shared" si="45"/>
        <v>2025</v>
      </c>
      <c r="AJ220" t="str">
        <f t="shared" si="53"/>
        <v>OK</v>
      </c>
      <c r="AK220" t="str">
        <f t="shared" si="54"/>
        <v>OK</v>
      </c>
      <c r="AL220" t="str">
        <f t="shared" si="55"/>
        <v>Include</v>
      </c>
      <c r="AM220" t="str">
        <f t="shared" si="46"/>
        <v>Clean</v>
      </c>
    </row>
    <row r="221" spans="1:39">
      <c r="A221" t="s">
        <v>764</v>
      </c>
      <c r="B221" s="4">
        <v>45461</v>
      </c>
      <c r="C221" s="4">
        <v>45462</v>
      </c>
      <c r="D221" s="6">
        <v>1</v>
      </c>
      <c r="E221" t="s">
        <v>2788</v>
      </c>
      <c r="F221" t="s">
        <v>2788</v>
      </c>
      <c r="G221" t="s">
        <v>2788</v>
      </c>
      <c r="H221" t="s">
        <v>765</v>
      </c>
      <c r="I221" t="s">
        <v>118</v>
      </c>
      <c r="J221" t="s">
        <v>24</v>
      </c>
      <c r="K221" t="s">
        <v>38</v>
      </c>
      <c r="L221" t="s">
        <v>145</v>
      </c>
      <c r="M221" t="s">
        <v>146</v>
      </c>
      <c r="N221" t="s">
        <v>74</v>
      </c>
      <c r="O221" t="s">
        <v>274</v>
      </c>
      <c r="P221" t="s">
        <v>766</v>
      </c>
      <c r="Q221" t="s">
        <v>50</v>
      </c>
      <c r="R221">
        <v>2</v>
      </c>
      <c r="S221">
        <v>121.49</v>
      </c>
      <c r="T221" t="s">
        <v>767</v>
      </c>
      <c r="U221">
        <v>242.98</v>
      </c>
      <c r="V221">
        <v>161.41999999999999</v>
      </c>
      <c r="W221">
        <v>81.56</v>
      </c>
      <c r="X221" t="s">
        <v>32</v>
      </c>
      <c r="Y221" t="s">
        <v>33</v>
      </c>
      <c r="Z221" t="str">
        <f t="shared" si="42"/>
        <v>Unique</v>
      </c>
      <c r="AA221" t="str">
        <f t="shared" si="43"/>
        <v>Unique</v>
      </c>
      <c r="AB221" t="str">
        <f t="shared" si="47"/>
        <v>OK</v>
      </c>
      <c r="AC221" t="str">
        <f t="shared" si="48"/>
        <v>85%</v>
      </c>
      <c r="AD221" t="str">
        <f t="shared" si="49"/>
        <v>Invalid High Discount</v>
      </c>
      <c r="AE221">
        <f t="shared" si="50"/>
        <v>36.447000000000003</v>
      </c>
      <c r="AF221">
        <f t="shared" si="51"/>
        <v>-124.97299999999998</v>
      </c>
      <c r="AG221">
        <f t="shared" si="52"/>
        <v>-3.4288967541910162</v>
      </c>
      <c r="AH221" t="str">
        <f t="shared" si="44"/>
        <v>June</v>
      </c>
      <c r="AI221">
        <f t="shared" si="45"/>
        <v>2024</v>
      </c>
      <c r="AJ221" t="str">
        <f t="shared" si="53"/>
        <v>Sales Mismatch</v>
      </c>
      <c r="AK221" t="str">
        <f t="shared" si="54"/>
        <v>Profit Mismatch</v>
      </c>
      <c r="AL221" t="str">
        <f t="shared" si="55"/>
        <v>Include</v>
      </c>
      <c r="AM221" t="str">
        <f t="shared" si="46"/>
        <v>Invalid</v>
      </c>
    </row>
    <row r="222" spans="1:39">
      <c r="A222" t="s">
        <v>768</v>
      </c>
      <c r="B222" s="4">
        <v>45538</v>
      </c>
      <c r="C222" s="4">
        <v>45538</v>
      </c>
      <c r="D222" s="6">
        <v>0</v>
      </c>
      <c r="E222" t="s">
        <v>2788</v>
      </c>
      <c r="F222" t="s">
        <v>2788</v>
      </c>
      <c r="G222" t="s">
        <v>2788</v>
      </c>
      <c r="H222" t="s">
        <v>769</v>
      </c>
      <c r="I222" t="s">
        <v>132</v>
      </c>
      <c r="J222" t="s">
        <v>24</v>
      </c>
      <c r="K222" t="s">
        <v>54</v>
      </c>
      <c r="L222" t="s">
        <v>185</v>
      </c>
      <c r="M222" t="s">
        <v>186</v>
      </c>
      <c r="N222" t="s">
        <v>28</v>
      </c>
      <c r="O222" t="s">
        <v>124</v>
      </c>
      <c r="P222" t="s">
        <v>770</v>
      </c>
      <c r="Q222" t="s">
        <v>50</v>
      </c>
      <c r="R222">
        <v>4</v>
      </c>
      <c r="S222">
        <v>2810.17</v>
      </c>
      <c r="T222">
        <v>0.15</v>
      </c>
      <c r="U222">
        <v>9554.58</v>
      </c>
      <c r="V222">
        <v>6068.47</v>
      </c>
      <c r="W222">
        <v>3486.11</v>
      </c>
      <c r="X222" t="s">
        <v>102</v>
      </c>
      <c r="Y222" t="s">
        <v>68</v>
      </c>
      <c r="Z222" t="str">
        <f t="shared" si="42"/>
        <v>Unique</v>
      </c>
      <c r="AA222" t="str">
        <f t="shared" si="43"/>
        <v>Unique</v>
      </c>
      <c r="AB222" t="str">
        <f t="shared" si="47"/>
        <v>OK</v>
      </c>
      <c r="AC222">
        <f t="shared" si="48"/>
        <v>0.15</v>
      </c>
      <c r="AD222" t="str">
        <f t="shared" si="49"/>
        <v>OK</v>
      </c>
      <c r="AE222">
        <f t="shared" si="50"/>
        <v>9554.5779999999995</v>
      </c>
      <c r="AF222">
        <f t="shared" si="51"/>
        <v>3486.1079999999993</v>
      </c>
      <c r="AG222">
        <f t="shared" si="52"/>
        <v>0.36486258210462036</v>
      </c>
      <c r="AH222" t="str">
        <f t="shared" si="44"/>
        <v>September</v>
      </c>
      <c r="AI222">
        <f t="shared" si="45"/>
        <v>2024</v>
      </c>
      <c r="AJ222" t="str">
        <f t="shared" si="53"/>
        <v>OK</v>
      </c>
      <c r="AK222" t="str">
        <f t="shared" si="54"/>
        <v>OK</v>
      </c>
      <c r="AL222" t="str">
        <f t="shared" si="55"/>
        <v>Exclude</v>
      </c>
      <c r="AM222" t="str">
        <f t="shared" si="46"/>
        <v>Clean</v>
      </c>
    </row>
    <row r="223" spans="1:39">
      <c r="A223" t="s">
        <v>771</v>
      </c>
      <c r="B223" s="4">
        <v>45669</v>
      </c>
      <c r="C223" s="4">
        <v>45672</v>
      </c>
      <c r="D223" s="6">
        <v>3</v>
      </c>
      <c r="E223" t="s">
        <v>2788</v>
      </c>
      <c r="F223" t="s">
        <v>2788</v>
      </c>
      <c r="G223" t="s">
        <v>2788</v>
      </c>
      <c r="H223" t="s">
        <v>772</v>
      </c>
      <c r="I223" t="s">
        <v>36</v>
      </c>
      <c r="J223" t="s">
        <v>90</v>
      </c>
      <c r="K223" t="s">
        <v>54</v>
      </c>
      <c r="L223" t="s">
        <v>175</v>
      </c>
      <c r="M223" t="s">
        <v>176</v>
      </c>
      <c r="N223" t="s">
        <v>41</v>
      </c>
      <c r="O223" t="s">
        <v>66</v>
      </c>
      <c r="P223" t="s">
        <v>773</v>
      </c>
      <c r="Q223" t="s">
        <v>44</v>
      </c>
      <c r="R223">
        <v>4</v>
      </c>
      <c r="S223">
        <v>1531.53</v>
      </c>
      <c r="T223">
        <v>0.2</v>
      </c>
      <c r="U223">
        <v>4900.8999999999996</v>
      </c>
      <c r="V223">
        <v>3552.69</v>
      </c>
      <c r="W223">
        <v>1348.21</v>
      </c>
      <c r="X223" t="s">
        <v>32</v>
      </c>
      <c r="Y223" t="s">
        <v>33</v>
      </c>
      <c r="Z223" t="str">
        <f t="shared" si="42"/>
        <v>Unique</v>
      </c>
      <c r="AA223" t="str">
        <f t="shared" si="43"/>
        <v>Unique</v>
      </c>
      <c r="AB223" t="str">
        <f t="shared" si="47"/>
        <v>OK</v>
      </c>
      <c r="AC223">
        <f t="shared" si="48"/>
        <v>0.2</v>
      </c>
      <c r="AD223" t="str">
        <f t="shared" si="49"/>
        <v>OK</v>
      </c>
      <c r="AE223">
        <f t="shared" si="50"/>
        <v>4900.8959999999997</v>
      </c>
      <c r="AF223">
        <f t="shared" si="51"/>
        <v>1348.2059999999997</v>
      </c>
      <c r="AG223">
        <f t="shared" si="52"/>
        <v>0.27509377877024932</v>
      </c>
      <c r="AH223" t="str">
        <f t="shared" si="44"/>
        <v>January</v>
      </c>
      <c r="AI223">
        <f t="shared" si="45"/>
        <v>2025</v>
      </c>
      <c r="AJ223" t="str">
        <f t="shared" si="53"/>
        <v>OK</v>
      </c>
      <c r="AK223" t="str">
        <f t="shared" si="54"/>
        <v>OK</v>
      </c>
      <c r="AL223" t="str">
        <f t="shared" si="55"/>
        <v>Include</v>
      </c>
      <c r="AM223" t="str">
        <f t="shared" si="46"/>
        <v>Clean</v>
      </c>
    </row>
    <row r="224" spans="1:39">
      <c r="A224" t="s">
        <v>774</v>
      </c>
      <c r="B224" s="4">
        <v>45776</v>
      </c>
      <c r="C224" s="4">
        <v>45779</v>
      </c>
      <c r="D224" s="6">
        <v>3</v>
      </c>
      <c r="E224" t="s">
        <v>2788</v>
      </c>
      <c r="F224" t="s">
        <v>2788</v>
      </c>
      <c r="G224" t="s">
        <v>2788</v>
      </c>
      <c r="H224" t="s">
        <v>775</v>
      </c>
      <c r="I224" t="s">
        <v>71</v>
      </c>
      <c r="J224" t="s">
        <v>37</v>
      </c>
      <c r="K224" t="s">
        <v>63</v>
      </c>
      <c r="L224" t="s">
        <v>190</v>
      </c>
      <c r="M224" t="s">
        <v>191</v>
      </c>
      <c r="N224" t="s">
        <v>28</v>
      </c>
      <c r="O224" t="s">
        <v>124</v>
      </c>
      <c r="P224" t="s">
        <v>776</v>
      </c>
      <c r="Q224" t="s">
        <v>50</v>
      </c>
      <c r="R224">
        <v>6</v>
      </c>
      <c r="S224">
        <v>4308.09</v>
      </c>
      <c r="T224">
        <v>0</v>
      </c>
      <c r="U224">
        <v>25848.54</v>
      </c>
      <c r="V224">
        <v>17729.09</v>
      </c>
      <c r="W224">
        <v>8119.45</v>
      </c>
      <c r="X224" t="s">
        <v>32</v>
      </c>
      <c r="Y224" t="s">
        <v>33</v>
      </c>
      <c r="Z224" t="str">
        <f t="shared" si="42"/>
        <v>Unique</v>
      </c>
      <c r="AA224" t="str">
        <f t="shared" si="43"/>
        <v>Unique</v>
      </c>
      <c r="AB224" t="str">
        <f t="shared" si="47"/>
        <v>OK</v>
      </c>
      <c r="AC224">
        <f t="shared" si="48"/>
        <v>0</v>
      </c>
      <c r="AD224" t="str">
        <f t="shared" si="49"/>
        <v>OK</v>
      </c>
      <c r="AE224">
        <f t="shared" si="50"/>
        <v>25848.54</v>
      </c>
      <c r="AF224">
        <f t="shared" si="51"/>
        <v>8119.4500000000007</v>
      </c>
      <c r="AG224">
        <f t="shared" si="52"/>
        <v>0.31411638723115504</v>
      </c>
      <c r="AH224" t="str">
        <f t="shared" si="44"/>
        <v>April</v>
      </c>
      <c r="AI224">
        <f t="shared" si="45"/>
        <v>2025</v>
      </c>
      <c r="AJ224" t="str">
        <f t="shared" si="53"/>
        <v>OK</v>
      </c>
      <c r="AK224" t="str">
        <f t="shared" si="54"/>
        <v>OK</v>
      </c>
      <c r="AL224" t="str">
        <f t="shared" si="55"/>
        <v>Include</v>
      </c>
      <c r="AM224" t="str">
        <f t="shared" si="46"/>
        <v>Clean</v>
      </c>
    </row>
    <row r="225" spans="1:39">
      <c r="A225" t="s">
        <v>777</v>
      </c>
      <c r="B225" s="4">
        <v>45707</v>
      </c>
      <c r="C225" s="4">
        <v>45714</v>
      </c>
      <c r="D225" s="6">
        <v>7</v>
      </c>
      <c r="E225" t="s">
        <v>2788</v>
      </c>
      <c r="F225" t="s">
        <v>2788</v>
      </c>
      <c r="G225" t="s">
        <v>2788</v>
      </c>
      <c r="H225" t="s">
        <v>778</v>
      </c>
      <c r="I225" t="s">
        <v>36</v>
      </c>
      <c r="J225" t="s">
        <v>90</v>
      </c>
      <c r="K225" t="s">
        <v>63</v>
      </c>
      <c r="L225" t="s">
        <v>64</v>
      </c>
      <c r="M225" t="s">
        <v>65</v>
      </c>
      <c r="N225" t="s">
        <v>41</v>
      </c>
      <c r="O225" t="s">
        <v>57</v>
      </c>
      <c r="P225" t="s">
        <v>779</v>
      </c>
      <c r="Q225" t="s">
        <v>50</v>
      </c>
      <c r="R225">
        <v>3</v>
      </c>
      <c r="S225">
        <v>490.3</v>
      </c>
      <c r="T225">
        <v>0.2</v>
      </c>
      <c r="U225">
        <v>1176.72</v>
      </c>
      <c r="V225">
        <v>654.33000000000004</v>
      </c>
      <c r="W225">
        <v>522.39</v>
      </c>
      <c r="X225" t="s">
        <v>111</v>
      </c>
      <c r="Y225" t="s">
        <v>103</v>
      </c>
      <c r="Z225" t="str">
        <f t="shared" si="42"/>
        <v>Unique</v>
      </c>
      <c r="AA225" t="str">
        <f t="shared" si="43"/>
        <v>Unique</v>
      </c>
      <c r="AB225" t="str">
        <f t="shared" si="47"/>
        <v>OK</v>
      </c>
      <c r="AC225">
        <f t="shared" si="48"/>
        <v>0.2</v>
      </c>
      <c r="AD225" t="str">
        <f t="shared" si="49"/>
        <v>OK</v>
      </c>
      <c r="AE225">
        <f t="shared" si="50"/>
        <v>1176.72</v>
      </c>
      <c r="AF225">
        <f t="shared" si="51"/>
        <v>522.39</v>
      </c>
      <c r="AG225">
        <f t="shared" si="52"/>
        <v>0.44393738527432181</v>
      </c>
      <c r="AH225" t="str">
        <f t="shared" si="44"/>
        <v>February</v>
      </c>
      <c r="AI225">
        <f t="shared" si="45"/>
        <v>2025</v>
      </c>
      <c r="AJ225" t="str">
        <f t="shared" si="53"/>
        <v>OK</v>
      </c>
      <c r="AK225" t="str">
        <f t="shared" si="54"/>
        <v>OK</v>
      </c>
      <c r="AL225" t="str">
        <f t="shared" si="55"/>
        <v>Exclude</v>
      </c>
      <c r="AM225" t="str">
        <f t="shared" si="46"/>
        <v>Clean</v>
      </c>
    </row>
    <row r="226" spans="1:39">
      <c r="A226" t="s">
        <v>780</v>
      </c>
      <c r="B226" s="4">
        <v>45932</v>
      </c>
      <c r="C226" s="4">
        <v>45938</v>
      </c>
      <c r="D226" s="6">
        <v>6</v>
      </c>
      <c r="E226" t="s">
        <v>2788</v>
      </c>
      <c r="F226" t="s">
        <v>2788</v>
      </c>
      <c r="G226" t="s">
        <v>2788</v>
      </c>
      <c r="H226" t="s">
        <v>781</v>
      </c>
      <c r="I226" t="s">
        <v>47</v>
      </c>
      <c r="J226" t="s">
        <v>37</v>
      </c>
      <c r="K226" t="s">
        <v>25</v>
      </c>
      <c r="L226" t="s">
        <v>122</v>
      </c>
      <c r="M226" t="s">
        <v>123</v>
      </c>
      <c r="N226" t="s">
        <v>41</v>
      </c>
      <c r="O226" t="s">
        <v>57</v>
      </c>
      <c r="P226" t="s">
        <v>782</v>
      </c>
      <c r="Q226" t="s">
        <v>59</v>
      </c>
      <c r="R226">
        <v>4</v>
      </c>
      <c r="S226">
        <v>3944.64</v>
      </c>
      <c r="T226">
        <v>0.25</v>
      </c>
      <c r="U226">
        <v>11833.92</v>
      </c>
      <c r="V226">
        <v>6682.92</v>
      </c>
      <c r="W226">
        <v>5151</v>
      </c>
      <c r="X226" t="s">
        <v>32</v>
      </c>
      <c r="Y226" t="s">
        <v>68</v>
      </c>
      <c r="Z226" t="str">
        <f t="shared" si="42"/>
        <v>Unique</v>
      </c>
      <c r="AA226" t="str">
        <f t="shared" si="43"/>
        <v>Duplicate Order ID</v>
      </c>
      <c r="AB226" t="str">
        <f t="shared" si="47"/>
        <v>Conflicting Duplicate</v>
      </c>
      <c r="AC226">
        <f t="shared" si="48"/>
        <v>0.25</v>
      </c>
      <c r="AD226" t="str">
        <f t="shared" si="49"/>
        <v>OK</v>
      </c>
      <c r="AE226">
        <f t="shared" si="50"/>
        <v>11833.92</v>
      </c>
      <c r="AF226">
        <f t="shared" si="51"/>
        <v>5151</v>
      </c>
      <c r="AG226">
        <f t="shared" si="52"/>
        <v>0.43527419485681834</v>
      </c>
      <c r="AH226" t="str">
        <f t="shared" si="44"/>
        <v>October</v>
      </c>
      <c r="AI226">
        <f t="shared" si="45"/>
        <v>2025</v>
      </c>
      <c r="AJ226" t="str">
        <f t="shared" si="53"/>
        <v>OK</v>
      </c>
      <c r="AK226" t="str">
        <f t="shared" si="54"/>
        <v>OK</v>
      </c>
      <c r="AL226" t="str">
        <f t="shared" si="55"/>
        <v>Exclude</v>
      </c>
      <c r="AM226" t="str">
        <f t="shared" si="46"/>
        <v>Invalid</v>
      </c>
    </row>
    <row r="227" spans="1:39">
      <c r="A227" t="s">
        <v>783</v>
      </c>
      <c r="B227" s="4">
        <v>45537</v>
      </c>
      <c r="C227" s="4">
        <v>45545</v>
      </c>
      <c r="D227" s="6">
        <v>8</v>
      </c>
      <c r="E227" t="s">
        <v>2788</v>
      </c>
      <c r="F227" t="s">
        <v>2788</v>
      </c>
      <c r="G227" t="s">
        <v>2788</v>
      </c>
      <c r="H227" t="s">
        <v>784</v>
      </c>
      <c r="I227" t="s">
        <v>36</v>
      </c>
      <c r="J227" t="s">
        <v>90</v>
      </c>
      <c r="K227" t="s">
        <v>63</v>
      </c>
      <c r="L227" t="s">
        <v>190</v>
      </c>
      <c r="M227" t="s">
        <v>191</v>
      </c>
      <c r="N227" t="s">
        <v>74</v>
      </c>
      <c r="O227" t="s">
        <v>171</v>
      </c>
      <c r="P227" t="s">
        <v>785</v>
      </c>
      <c r="Q227" t="s">
        <v>59</v>
      </c>
      <c r="R227">
        <v>6</v>
      </c>
      <c r="S227">
        <v>1032.47</v>
      </c>
      <c r="T227">
        <v>0.15</v>
      </c>
      <c r="U227">
        <v>5265.6</v>
      </c>
      <c r="V227">
        <v>4293.1099999999997</v>
      </c>
      <c r="W227">
        <v>787.57</v>
      </c>
      <c r="X227" t="s">
        <v>32</v>
      </c>
      <c r="Y227" t="s">
        <v>33</v>
      </c>
      <c r="Z227" t="str">
        <f t="shared" si="42"/>
        <v>Unique</v>
      </c>
      <c r="AA227" t="str">
        <f t="shared" si="43"/>
        <v>Unique</v>
      </c>
      <c r="AB227" t="str">
        <f t="shared" si="47"/>
        <v>OK</v>
      </c>
      <c r="AC227">
        <f t="shared" si="48"/>
        <v>0.15</v>
      </c>
      <c r="AD227" t="str">
        <f t="shared" si="49"/>
        <v>OK</v>
      </c>
      <c r="AE227">
        <f t="shared" si="50"/>
        <v>5265.5969999999998</v>
      </c>
      <c r="AF227">
        <f t="shared" si="51"/>
        <v>972.48700000000008</v>
      </c>
      <c r="AG227">
        <f t="shared" si="52"/>
        <v>0.18468694053114967</v>
      </c>
      <c r="AH227" t="str">
        <f t="shared" si="44"/>
        <v>September</v>
      </c>
      <c r="AI227">
        <f t="shared" si="45"/>
        <v>2024</v>
      </c>
      <c r="AJ227" t="str">
        <f t="shared" si="53"/>
        <v>OK</v>
      </c>
      <c r="AK227" t="str">
        <f t="shared" si="54"/>
        <v>Profit Mismatch</v>
      </c>
      <c r="AL227" t="str">
        <f t="shared" si="55"/>
        <v>Include</v>
      </c>
      <c r="AM227" t="str">
        <f t="shared" si="46"/>
        <v>Warning</v>
      </c>
    </row>
    <row r="228" spans="1:39">
      <c r="A228" t="s">
        <v>786</v>
      </c>
      <c r="B228" s="4">
        <v>45757</v>
      </c>
      <c r="C228" s="4">
        <v>45762</v>
      </c>
      <c r="D228" s="6">
        <v>5</v>
      </c>
      <c r="E228" t="s">
        <v>2788</v>
      </c>
      <c r="F228" t="s">
        <v>2788</v>
      </c>
      <c r="G228" t="s">
        <v>2788</v>
      </c>
      <c r="H228" t="s">
        <v>787</v>
      </c>
      <c r="I228" t="s">
        <v>162</v>
      </c>
      <c r="J228" t="s">
        <v>95</v>
      </c>
      <c r="K228" t="s">
        <v>2783</v>
      </c>
      <c r="L228" t="s">
        <v>185</v>
      </c>
      <c r="M228" t="s">
        <v>186</v>
      </c>
      <c r="N228" t="s">
        <v>74</v>
      </c>
      <c r="O228" t="s">
        <v>80</v>
      </c>
      <c r="P228" t="s">
        <v>788</v>
      </c>
      <c r="Q228" t="s">
        <v>44</v>
      </c>
      <c r="R228">
        <v>1</v>
      </c>
      <c r="S228">
        <v>2208.27</v>
      </c>
      <c r="T228">
        <v>0.1</v>
      </c>
      <c r="U228">
        <v>1987.44</v>
      </c>
      <c r="V228">
        <v>1110.23</v>
      </c>
      <c r="W228">
        <v>877.21</v>
      </c>
      <c r="X228" t="s">
        <v>32</v>
      </c>
      <c r="Y228" t="s">
        <v>33</v>
      </c>
      <c r="Z228" t="str">
        <f t="shared" si="42"/>
        <v>Unique</v>
      </c>
      <c r="AA228" t="str">
        <f t="shared" si="43"/>
        <v>Unique</v>
      </c>
      <c r="AB228" t="str">
        <f t="shared" si="47"/>
        <v>OK</v>
      </c>
      <c r="AC228">
        <f t="shared" si="48"/>
        <v>0.1</v>
      </c>
      <c r="AD228" t="str">
        <f t="shared" si="49"/>
        <v>OK</v>
      </c>
      <c r="AE228">
        <f t="shared" si="50"/>
        <v>1987.443</v>
      </c>
      <c r="AF228">
        <f t="shared" si="51"/>
        <v>877.21299999999997</v>
      </c>
      <c r="AG228">
        <f t="shared" si="52"/>
        <v>0.44137768982556985</v>
      </c>
      <c r="AH228" t="str">
        <f t="shared" si="44"/>
        <v>April</v>
      </c>
      <c r="AI228">
        <f t="shared" si="45"/>
        <v>2025</v>
      </c>
      <c r="AJ228" t="str">
        <f t="shared" si="53"/>
        <v>OK</v>
      </c>
      <c r="AK228" t="str">
        <f t="shared" si="54"/>
        <v>OK</v>
      </c>
      <c r="AL228" t="str">
        <f t="shared" si="55"/>
        <v>Include</v>
      </c>
      <c r="AM228" t="str">
        <f t="shared" si="46"/>
        <v>Clean</v>
      </c>
    </row>
    <row r="229" spans="1:39">
      <c r="A229" t="s">
        <v>789</v>
      </c>
      <c r="B229" s="4">
        <v>45478</v>
      </c>
      <c r="C229" s="4">
        <v>45485</v>
      </c>
      <c r="D229" s="6">
        <v>7</v>
      </c>
      <c r="E229" t="s">
        <v>2788</v>
      </c>
      <c r="F229" t="s">
        <v>2788</v>
      </c>
      <c r="G229" t="s">
        <v>2788</v>
      </c>
      <c r="H229" t="s">
        <v>790</v>
      </c>
      <c r="I229" t="s">
        <v>62</v>
      </c>
      <c r="J229" t="s">
        <v>37</v>
      </c>
      <c r="K229" t="s">
        <v>63</v>
      </c>
      <c r="L229" t="s">
        <v>190</v>
      </c>
      <c r="M229" t="s">
        <v>191</v>
      </c>
      <c r="N229" t="s">
        <v>28</v>
      </c>
      <c r="O229" t="s">
        <v>153</v>
      </c>
      <c r="P229" t="s">
        <v>791</v>
      </c>
      <c r="Q229" t="s">
        <v>50</v>
      </c>
      <c r="R229">
        <v>3</v>
      </c>
      <c r="S229">
        <v>577.75</v>
      </c>
      <c r="T229">
        <v>0.15</v>
      </c>
      <c r="U229">
        <v>1473.26</v>
      </c>
      <c r="V229">
        <v>899.86</v>
      </c>
      <c r="W229">
        <v>573.4</v>
      </c>
      <c r="X229" t="s">
        <v>32</v>
      </c>
      <c r="Y229" t="s">
        <v>33</v>
      </c>
      <c r="Z229" t="str">
        <f t="shared" si="42"/>
        <v>Unique</v>
      </c>
      <c r="AA229" t="str">
        <f t="shared" si="43"/>
        <v>Unique</v>
      </c>
      <c r="AB229" t="str">
        <f t="shared" si="47"/>
        <v>OK</v>
      </c>
      <c r="AC229">
        <f t="shared" si="48"/>
        <v>0.15</v>
      </c>
      <c r="AD229" t="str">
        <f t="shared" si="49"/>
        <v>OK</v>
      </c>
      <c r="AE229">
        <f t="shared" si="50"/>
        <v>1473.2625</v>
      </c>
      <c r="AF229">
        <f t="shared" si="51"/>
        <v>573.40250000000003</v>
      </c>
      <c r="AG229">
        <f t="shared" si="52"/>
        <v>0.38920592901808065</v>
      </c>
      <c r="AH229" t="str">
        <f t="shared" si="44"/>
        <v>July</v>
      </c>
      <c r="AI229">
        <f t="shared" si="45"/>
        <v>2024</v>
      </c>
      <c r="AJ229" t="str">
        <f t="shared" si="53"/>
        <v>OK</v>
      </c>
      <c r="AK229" t="str">
        <f t="shared" si="54"/>
        <v>OK</v>
      </c>
      <c r="AL229" t="str">
        <f t="shared" si="55"/>
        <v>Include</v>
      </c>
      <c r="AM229" t="str">
        <f t="shared" si="46"/>
        <v>Clean</v>
      </c>
    </row>
    <row r="230" spans="1:39">
      <c r="A230" t="s">
        <v>792</v>
      </c>
      <c r="B230" s="4">
        <v>45406</v>
      </c>
      <c r="C230" s="4">
        <v>45410</v>
      </c>
      <c r="D230" s="6">
        <v>4</v>
      </c>
      <c r="E230" t="s">
        <v>2788</v>
      </c>
      <c r="F230" t="s">
        <v>2788</v>
      </c>
      <c r="G230" t="s">
        <v>2788</v>
      </c>
      <c r="H230" t="s">
        <v>793</v>
      </c>
      <c r="I230" t="s">
        <v>23</v>
      </c>
      <c r="J230" t="s">
        <v>37</v>
      </c>
      <c r="K230" t="s">
        <v>54</v>
      </c>
      <c r="L230" t="s">
        <v>55</v>
      </c>
      <c r="M230" t="s">
        <v>56</v>
      </c>
      <c r="N230" t="s">
        <v>28</v>
      </c>
      <c r="O230" t="s">
        <v>91</v>
      </c>
      <c r="P230" t="s">
        <v>794</v>
      </c>
      <c r="Q230" t="s">
        <v>31</v>
      </c>
      <c r="R230">
        <v>1</v>
      </c>
      <c r="S230">
        <v>3194.37</v>
      </c>
      <c r="T230">
        <v>0.15</v>
      </c>
      <c r="U230">
        <v>2715.21</v>
      </c>
      <c r="V230">
        <v>1551.55</v>
      </c>
      <c r="W230">
        <v>1163.6600000000001</v>
      </c>
      <c r="X230" t="s">
        <v>32</v>
      </c>
      <c r="Y230" t="s">
        <v>33</v>
      </c>
      <c r="Z230" t="str">
        <f t="shared" si="42"/>
        <v>Unique</v>
      </c>
      <c r="AA230" t="str">
        <f t="shared" si="43"/>
        <v>Unique</v>
      </c>
      <c r="AB230" t="str">
        <f t="shared" si="47"/>
        <v>OK</v>
      </c>
      <c r="AC230">
        <f t="shared" si="48"/>
        <v>0.15</v>
      </c>
      <c r="AD230" t="str">
        <f t="shared" si="49"/>
        <v>OK</v>
      </c>
      <c r="AE230">
        <f t="shared" si="50"/>
        <v>2715.2145</v>
      </c>
      <c r="AF230">
        <f t="shared" si="51"/>
        <v>1163.6645000000001</v>
      </c>
      <c r="AG230">
        <f t="shared" si="52"/>
        <v>0.42857184948003191</v>
      </c>
      <c r="AH230" t="str">
        <f t="shared" si="44"/>
        <v>April</v>
      </c>
      <c r="AI230">
        <f t="shared" si="45"/>
        <v>2024</v>
      </c>
      <c r="AJ230" t="str">
        <f t="shared" si="53"/>
        <v>OK</v>
      </c>
      <c r="AK230" t="str">
        <f t="shared" si="54"/>
        <v>OK</v>
      </c>
      <c r="AL230" t="str">
        <f t="shared" si="55"/>
        <v>Include</v>
      </c>
      <c r="AM230" t="str">
        <f t="shared" si="46"/>
        <v>Clean</v>
      </c>
    </row>
    <row r="231" spans="1:39">
      <c r="A231" t="s">
        <v>795</v>
      </c>
      <c r="B231" s="4">
        <v>45836</v>
      </c>
      <c r="C231" s="4">
        <v>45842</v>
      </c>
      <c r="D231" s="6">
        <v>6</v>
      </c>
      <c r="E231" t="s">
        <v>2788</v>
      </c>
      <c r="F231" t="s">
        <v>2788</v>
      </c>
      <c r="G231" t="s">
        <v>2788</v>
      </c>
      <c r="H231" t="s">
        <v>796</v>
      </c>
      <c r="I231" t="s">
        <v>141</v>
      </c>
      <c r="J231" t="s">
        <v>24</v>
      </c>
      <c r="K231" t="s">
        <v>54</v>
      </c>
      <c r="L231" t="s">
        <v>55</v>
      </c>
      <c r="M231" t="s">
        <v>56</v>
      </c>
      <c r="N231" t="s">
        <v>41</v>
      </c>
      <c r="O231" t="s">
        <v>158</v>
      </c>
      <c r="P231" t="s">
        <v>797</v>
      </c>
      <c r="Q231" t="s">
        <v>50</v>
      </c>
      <c r="R231">
        <v>3</v>
      </c>
      <c r="S231">
        <v>2886.23</v>
      </c>
      <c r="T231">
        <v>0</v>
      </c>
      <c r="U231">
        <v>8658.69</v>
      </c>
      <c r="V231">
        <v>5535.94</v>
      </c>
      <c r="W231">
        <v>3122.75</v>
      </c>
      <c r="X231" t="s">
        <v>102</v>
      </c>
      <c r="Y231" t="s">
        <v>103</v>
      </c>
      <c r="Z231" t="str">
        <f t="shared" si="42"/>
        <v>Unique</v>
      </c>
      <c r="AA231" t="str">
        <f t="shared" si="43"/>
        <v>Unique</v>
      </c>
      <c r="AB231" t="str">
        <f t="shared" si="47"/>
        <v>OK</v>
      </c>
      <c r="AC231">
        <f t="shared" si="48"/>
        <v>0</v>
      </c>
      <c r="AD231" t="str">
        <f t="shared" si="49"/>
        <v>OK</v>
      </c>
      <c r="AE231">
        <f t="shared" si="50"/>
        <v>8658.69</v>
      </c>
      <c r="AF231">
        <f t="shared" si="51"/>
        <v>3122.7500000000009</v>
      </c>
      <c r="AG231">
        <f t="shared" si="52"/>
        <v>0.36064924370776652</v>
      </c>
      <c r="AH231" t="str">
        <f t="shared" si="44"/>
        <v>June</v>
      </c>
      <c r="AI231">
        <f t="shared" si="45"/>
        <v>2025</v>
      </c>
      <c r="AJ231" t="str">
        <f t="shared" si="53"/>
        <v>OK</v>
      </c>
      <c r="AK231" t="str">
        <f t="shared" si="54"/>
        <v>OK</v>
      </c>
      <c r="AL231" t="str">
        <f t="shared" si="55"/>
        <v>Exclude</v>
      </c>
      <c r="AM231" t="str">
        <f t="shared" si="46"/>
        <v>Clean</v>
      </c>
    </row>
    <row r="232" spans="1:39">
      <c r="A232" t="s">
        <v>798</v>
      </c>
      <c r="B232" s="4">
        <v>45440</v>
      </c>
      <c r="C232" s="4">
        <v>45446</v>
      </c>
      <c r="D232" s="6">
        <v>6</v>
      </c>
      <c r="E232" t="s">
        <v>2788</v>
      </c>
      <c r="F232" t="s">
        <v>2788</v>
      </c>
      <c r="G232" t="s">
        <v>2788</v>
      </c>
      <c r="H232" t="s">
        <v>799</v>
      </c>
      <c r="I232" t="s">
        <v>79</v>
      </c>
      <c r="J232" t="s">
        <v>37</v>
      </c>
      <c r="K232" t="s">
        <v>25</v>
      </c>
      <c r="L232" t="s">
        <v>26</v>
      </c>
      <c r="M232" t="s">
        <v>27</v>
      </c>
      <c r="N232" t="s">
        <v>28</v>
      </c>
      <c r="O232" t="s">
        <v>29</v>
      </c>
      <c r="P232" t="s">
        <v>800</v>
      </c>
      <c r="Q232" t="s">
        <v>59</v>
      </c>
      <c r="R232">
        <v>8</v>
      </c>
      <c r="S232">
        <v>1540.33</v>
      </c>
      <c r="T232">
        <v>0.1</v>
      </c>
      <c r="U232">
        <v>11090.38</v>
      </c>
      <c r="V232">
        <v>8840.9500000000007</v>
      </c>
      <c r="W232">
        <v>2249.4299999999998</v>
      </c>
      <c r="X232" t="s">
        <v>32</v>
      </c>
      <c r="Y232" t="s">
        <v>33</v>
      </c>
      <c r="Z232" t="str">
        <f t="shared" si="42"/>
        <v>Unique</v>
      </c>
      <c r="AA232" t="str">
        <f t="shared" si="43"/>
        <v>Unique</v>
      </c>
      <c r="AB232" t="str">
        <f t="shared" si="47"/>
        <v>OK</v>
      </c>
      <c r="AC232">
        <f t="shared" si="48"/>
        <v>0.1</v>
      </c>
      <c r="AD232" t="str">
        <f t="shared" si="49"/>
        <v>OK</v>
      </c>
      <c r="AE232">
        <f t="shared" si="50"/>
        <v>11090.376</v>
      </c>
      <c r="AF232">
        <f t="shared" si="51"/>
        <v>2249.4259999999995</v>
      </c>
      <c r="AG232">
        <f t="shared" si="52"/>
        <v>0.20282684734944958</v>
      </c>
      <c r="AH232" t="str">
        <f t="shared" si="44"/>
        <v>May</v>
      </c>
      <c r="AI232">
        <f t="shared" si="45"/>
        <v>2024</v>
      </c>
      <c r="AJ232" t="str">
        <f t="shared" si="53"/>
        <v>OK</v>
      </c>
      <c r="AK232" t="str">
        <f t="shared" si="54"/>
        <v>OK</v>
      </c>
      <c r="AL232" t="str">
        <f t="shared" si="55"/>
        <v>Include</v>
      </c>
      <c r="AM232" t="str">
        <f t="shared" si="46"/>
        <v>Clean</v>
      </c>
    </row>
    <row r="233" spans="1:39">
      <c r="A233" t="s">
        <v>801</v>
      </c>
      <c r="B233" s="4">
        <v>45414</v>
      </c>
      <c r="C233" s="4">
        <v>45414</v>
      </c>
      <c r="D233" s="6">
        <v>0</v>
      </c>
      <c r="E233" t="s">
        <v>2788</v>
      </c>
      <c r="F233" t="s">
        <v>2788</v>
      </c>
      <c r="G233" t="s">
        <v>2788</v>
      </c>
      <c r="H233" t="s">
        <v>802</v>
      </c>
      <c r="I233" t="s">
        <v>62</v>
      </c>
      <c r="J233" t="s">
        <v>90</v>
      </c>
      <c r="K233" t="s">
        <v>25</v>
      </c>
      <c r="L233" t="s">
        <v>26</v>
      </c>
      <c r="M233" t="s">
        <v>27</v>
      </c>
      <c r="N233" t="s">
        <v>28</v>
      </c>
      <c r="O233" t="s">
        <v>91</v>
      </c>
      <c r="P233" t="s">
        <v>803</v>
      </c>
      <c r="Q233" t="s">
        <v>50</v>
      </c>
      <c r="R233">
        <v>7</v>
      </c>
      <c r="S233">
        <v>2183.38</v>
      </c>
      <c r="T233">
        <v>0.25</v>
      </c>
      <c r="U233">
        <v>11462.74</v>
      </c>
      <c r="V233">
        <v>7163.54</v>
      </c>
      <c r="W233">
        <v>4299.2</v>
      </c>
      <c r="X233" t="s">
        <v>102</v>
      </c>
      <c r="Y233" t="s">
        <v>68</v>
      </c>
      <c r="Z233" t="str">
        <f t="shared" si="42"/>
        <v>Unique</v>
      </c>
      <c r="AA233" t="str">
        <f t="shared" si="43"/>
        <v>Unique</v>
      </c>
      <c r="AB233" t="str">
        <f t="shared" si="47"/>
        <v>OK</v>
      </c>
      <c r="AC233">
        <f t="shared" si="48"/>
        <v>0.25</v>
      </c>
      <c r="AD233" t="str">
        <f t="shared" si="49"/>
        <v>OK</v>
      </c>
      <c r="AE233">
        <f t="shared" si="50"/>
        <v>11462.744999999999</v>
      </c>
      <c r="AF233">
        <f t="shared" si="51"/>
        <v>4299.204999999999</v>
      </c>
      <c r="AG233">
        <f t="shared" si="52"/>
        <v>0.37505894094302888</v>
      </c>
      <c r="AH233" t="str">
        <f t="shared" si="44"/>
        <v>May</v>
      </c>
      <c r="AI233">
        <f t="shared" si="45"/>
        <v>2024</v>
      </c>
      <c r="AJ233" t="str">
        <f t="shared" si="53"/>
        <v>OK</v>
      </c>
      <c r="AK233" t="str">
        <f t="shared" si="54"/>
        <v>OK</v>
      </c>
      <c r="AL233" t="str">
        <f t="shared" si="55"/>
        <v>Exclude</v>
      </c>
      <c r="AM233" t="str">
        <f t="shared" si="46"/>
        <v>Clean</v>
      </c>
    </row>
    <row r="234" spans="1:39">
      <c r="A234" t="s">
        <v>804</v>
      </c>
      <c r="B234" s="4">
        <v>45812</v>
      </c>
      <c r="C234" s="4">
        <v>45818</v>
      </c>
      <c r="D234" s="6">
        <v>6</v>
      </c>
      <c r="E234" t="s">
        <v>2788</v>
      </c>
      <c r="F234" t="s">
        <v>2788</v>
      </c>
      <c r="G234" t="s">
        <v>2788</v>
      </c>
      <c r="H234" t="s">
        <v>805</v>
      </c>
      <c r="I234" t="s">
        <v>118</v>
      </c>
      <c r="J234" t="s">
        <v>24</v>
      </c>
      <c r="K234" t="s">
        <v>54</v>
      </c>
      <c r="L234" t="s">
        <v>84</v>
      </c>
      <c r="M234" t="s">
        <v>85</v>
      </c>
      <c r="N234" t="s">
        <v>74</v>
      </c>
      <c r="O234" t="s">
        <v>171</v>
      </c>
      <c r="P234" t="s">
        <v>806</v>
      </c>
      <c r="Q234" t="s">
        <v>59</v>
      </c>
      <c r="R234">
        <v>4</v>
      </c>
      <c r="S234">
        <v>223.37</v>
      </c>
      <c r="T234">
        <v>0.25</v>
      </c>
      <c r="U234">
        <v>670.11</v>
      </c>
      <c r="V234">
        <v>559.57000000000005</v>
      </c>
      <c r="W234">
        <v>110.54</v>
      </c>
      <c r="X234" t="s">
        <v>32</v>
      </c>
      <c r="Y234" t="s">
        <v>33</v>
      </c>
      <c r="Z234" t="str">
        <f t="shared" si="42"/>
        <v>Unique</v>
      </c>
      <c r="AA234" t="str">
        <f t="shared" si="43"/>
        <v>Unique</v>
      </c>
      <c r="AB234" t="str">
        <f t="shared" si="47"/>
        <v>OK</v>
      </c>
      <c r="AC234">
        <f t="shared" si="48"/>
        <v>0.25</v>
      </c>
      <c r="AD234" t="str">
        <f t="shared" si="49"/>
        <v>OK</v>
      </c>
      <c r="AE234">
        <f t="shared" si="50"/>
        <v>670.11</v>
      </c>
      <c r="AF234">
        <f t="shared" si="51"/>
        <v>110.53999999999996</v>
      </c>
      <c r="AG234">
        <f t="shared" si="52"/>
        <v>0.16495799197146732</v>
      </c>
      <c r="AH234" t="str">
        <f t="shared" si="44"/>
        <v>June</v>
      </c>
      <c r="AI234">
        <f t="shared" si="45"/>
        <v>2025</v>
      </c>
      <c r="AJ234" t="str">
        <f t="shared" si="53"/>
        <v>OK</v>
      </c>
      <c r="AK234" t="str">
        <f t="shared" si="54"/>
        <v>OK</v>
      </c>
      <c r="AL234" t="str">
        <f t="shared" si="55"/>
        <v>Include</v>
      </c>
      <c r="AM234" t="str">
        <f t="shared" si="46"/>
        <v>Clean</v>
      </c>
    </row>
    <row r="235" spans="1:39">
      <c r="A235" t="s">
        <v>807</v>
      </c>
      <c r="B235" s="4">
        <v>45579</v>
      </c>
      <c r="C235" s="4">
        <v>45579</v>
      </c>
      <c r="D235" s="6">
        <v>0</v>
      </c>
      <c r="E235" t="s">
        <v>2788</v>
      </c>
      <c r="F235" t="s">
        <v>2788</v>
      </c>
      <c r="G235" t="s">
        <v>2788</v>
      </c>
      <c r="H235" t="s">
        <v>808</v>
      </c>
      <c r="I235" t="s">
        <v>71</v>
      </c>
      <c r="J235" t="s">
        <v>90</v>
      </c>
      <c r="K235" t="s">
        <v>54</v>
      </c>
      <c r="L235" t="s">
        <v>175</v>
      </c>
      <c r="M235" t="s">
        <v>176</v>
      </c>
      <c r="N235" t="s">
        <v>41</v>
      </c>
      <c r="O235" t="s">
        <v>158</v>
      </c>
      <c r="P235" t="s">
        <v>809</v>
      </c>
      <c r="Q235" t="s">
        <v>2783</v>
      </c>
      <c r="R235">
        <v>8</v>
      </c>
      <c r="S235">
        <v>3904.59</v>
      </c>
      <c r="T235">
        <v>0</v>
      </c>
      <c r="U235">
        <v>31236.720000000001</v>
      </c>
      <c r="V235">
        <v>26377.7</v>
      </c>
      <c r="W235">
        <v>4859.0200000000004</v>
      </c>
      <c r="X235" t="s">
        <v>32</v>
      </c>
      <c r="Y235" t="s">
        <v>33</v>
      </c>
      <c r="Z235" t="str">
        <f t="shared" si="42"/>
        <v>Unique</v>
      </c>
      <c r="AA235" t="str">
        <f t="shared" si="43"/>
        <v>Unique</v>
      </c>
      <c r="AB235" t="str">
        <f t="shared" si="47"/>
        <v>OK</v>
      </c>
      <c r="AC235">
        <f t="shared" si="48"/>
        <v>0</v>
      </c>
      <c r="AD235" t="str">
        <f t="shared" si="49"/>
        <v>OK</v>
      </c>
      <c r="AE235">
        <f t="shared" si="50"/>
        <v>31236.720000000001</v>
      </c>
      <c r="AF235">
        <f t="shared" si="51"/>
        <v>4859.0200000000004</v>
      </c>
      <c r="AG235">
        <f t="shared" si="52"/>
        <v>0.15555474454424154</v>
      </c>
      <c r="AH235" t="str">
        <f t="shared" si="44"/>
        <v>October</v>
      </c>
      <c r="AI235">
        <f t="shared" si="45"/>
        <v>2024</v>
      </c>
      <c r="AJ235" t="str">
        <f t="shared" si="53"/>
        <v>OK</v>
      </c>
      <c r="AK235" t="str">
        <f t="shared" si="54"/>
        <v>OK</v>
      </c>
      <c r="AL235" t="str">
        <f t="shared" si="55"/>
        <v>Include</v>
      </c>
      <c r="AM235" t="str">
        <f t="shared" si="46"/>
        <v>Clean</v>
      </c>
    </row>
    <row r="236" spans="1:39">
      <c r="A236" t="s">
        <v>810</v>
      </c>
      <c r="B236" s="4">
        <v>45537</v>
      </c>
      <c r="C236" s="4">
        <v>45538</v>
      </c>
      <c r="D236" s="6">
        <v>1</v>
      </c>
      <c r="E236" t="s">
        <v>2788</v>
      </c>
      <c r="F236" t="s">
        <v>2788</v>
      </c>
      <c r="G236" t="s">
        <v>2788</v>
      </c>
      <c r="H236" t="s">
        <v>811</v>
      </c>
      <c r="I236" t="s">
        <v>264</v>
      </c>
      <c r="J236" t="s">
        <v>95</v>
      </c>
      <c r="K236" t="s">
        <v>25</v>
      </c>
      <c r="L236" t="s">
        <v>350</v>
      </c>
      <c r="M236" t="s">
        <v>351</v>
      </c>
      <c r="N236" t="s">
        <v>41</v>
      </c>
      <c r="O236" t="s">
        <v>57</v>
      </c>
      <c r="P236" t="s">
        <v>812</v>
      </c>
      <c r="Q236" t="s">
        <v>50</v>
      </c>
      <c r="R236">
        <v>9</v>
      </c>
      <c r="S236">
        <v>1353.61</v>
      </c>
      <c r="T236">
        <v>0.1</v>
      </c>
      <c r="U236">
        <v>10964.24</v>
      </c>
      <c r="V236">
        <v>9262.4699999999993</v>
      </c>
      <c r="W236">
        <v>1701.77</v>
      </c>
      <c r="X236" t="s">
        <v>32</v>
      </c>
      <c r="Y236" t="s">
        <v>33</v>
      </c>
      <c r="Z236" t="str">
        <f t="shared" si="42"/>
        <v>Unique</v>
      </c>
      <c r="AA236" t="str">
        <f t="shared" si="43"/>
        <v>Unique</v>
      </c>
      <c r="AB236" t="str">
        <f t="shared" si="47"/>
        <v>OK</v>
      </c>
      <c r="AC236">
        <f t="shared" si="48"/>
        <v>0.1</v>
      </c>
      <c r="AD236" t="str">
        <f t="shared" si="49"/>
        <v>OK</v>
      </c>
      <c r="AE236">
        <f t="shared" si="50"/>
        <v>10964.241</v>
      </c>
      <c r="AF236">
        <f t="shared" si="51"/>
        <v>1701.7710000000006</v>
      </c>
      <c r="AG236">
        <f t="shared" si="52"/>
        <v>0.15521101734265058</v>
      </c>
      <c r="AH236" t="str">
        <f t="shared" si="44"/>
        <v>September</v>
      </c>
      <c r="AI236">
        <f t="shared" si="45"/>
        <v>2024</v>
      </c>
      <c r="AJ236" t="str">
        <f t="shared" si="53"/>
        <v>OK</v>
      </c>
      <c r="AK236" t="str">
        <f t="shared" si="54"/>
        <v>OK</v>
      </c>
      <c r="AL236" t="str">
        <f t="shared" si="55"/>
        <v>Include</v>
      </c>
      <c r="AM236" t="str">
        <f t="shared" si="46"/>
        <v>Clean</v>
      </c>
    </row>
    <row r="237" spans="1:39">
      <c r="A237" t="s">
        <v>813</v>
      </c>
      <c r="B237" s="4">
        <v>45598</v>
      </c>
      <c r="C237" s="4">
        <v>45599</v>
      </c>
      <c r="D237" s="6">
        <v>1</v>
      </c>
      <c r="E237" t="s">
        <v>2788</v>
      </c>
      <c r="F237" t="s">
        <v>2788</v>
      </c>
      <c r="G237" t="s">
        <v>2788</v>
      </c>
      <c r="H237" t="s">
        <v>814</v>
      </c>
      <c r="I237" t="s">
        <v>118</v>
      </c>
      <c r="J237" t="s">
        <v>37</v>
      </c>
      <c r="K237" t="s">
        <v>63</v>
      </c>
      <c r="L237" t="s">
        <v>26</v>
      </c>
      <c r="M237" t="s">
        <v>109</v>
      </c>
      <c r="N237" t="s">
        <v>28</v>
      </c>
      <c r="O237" t="s">
        <v>124</v>
      </c>
      <c r="P237" t="s">
        <v>815</v>
      </c>
      <c r="Q237" t="s">
        <v>59</v>
      </c>
      <c r="R237">
        <v>6</v>
      </c>
      <c r="S237">
        <v>2671.29</v>
      </c>
      <c r="T237">
        <v>0.05</v>
      </c>
      <c r="U237">
        <v>15226.35</v>
      </c>
      <c r="V237">
        <v>11145.28</v>
      </c>
      <c r="W237">
        <v>4081.07</v>
      </c>
      <c r="X237" t="s">
        <v>32</v>
      </c>
      <c r="Y237" t="s">
        <v>33</v>
      </c>
      <c r="Z237" t="str">
        <f t="shared" si="42"/>
        <v>Unique</v>
      </c>
      <c r="AA237" t="str">
        <f t="shared" si="43"/>
        <v>Unique</v>
      </c>
      <c r="AB237" t="str">
        <f t="shared" si="47"/>
        <v>OK</v>
      </c>
      <c r="AC237">
        <f t="shared" si="48"/>
        <v>0.05</v>
      </c>
      <c r="AD237" t="str">
        <f t="shared" si="49"/>
        <v>OK</v>
      </c>
      <c r="AE237">
        <f t="shared" si="50"/>
        <v>15226.352999999999</v>
      </c>
      <c r="AF237">
        <f t="shared" si="51"/>
        <v>4081.0729999999985</v>
      </c>
      <c r="AG237">
        <f t="shared" si="52"/>
        <v>0.26802695300706603</v>
      </c>
      <c r="AH237" t="str">
        <f t="shared" si="44"/>
        <v>November</v>
      </c>
      <c r="AI237">
        <f t="shared" si="45"/>
        <v>2024</v>
      </c>
      <c r="AJ237" t="str">
        <f t="shared" si="53"/>
        <v>OK</v>
      </c>
      <c r="AK237" t="str">
        <f t="shared" si="54"/>
        <v>OK</v>
      </c>
      <c r="AL237" t="str">
        <f t="shared" si="55"/>
        <v>Include</v>
      </c>
      <c r="AM237" t="str">
        <f t="shared" si="46"/>
        <v>Clean</v>
      </c>
    </row>
    <row r="238" spans="1:39">
      <c r="A238" t="s">
        <v>816</v>
      </c>
      <c r="B238" s="4">
        <v>45579</v>
      </c>
      <c r="C238" s="4">
        <v>45586</v>
      </c>
      <c r="D238" s="6">
        <v>7</v>
      </c>
      <c r="E238" t="s">
        <v>2788</v>
      </c>
      <c r="F238" t="s">
        <v>2788</v>
      </c>
      <c r="G238" t="s">
        <v>2788</v>
      </c>
      <c r="H238" t="s">
        <v>817</v>
      </c>
      <c r="I238" t="s">
        <v>114</v>
      </c>
      <c r="J238" t="s">
        <v>90</v>
      </c>
      <c r="K238" t="s">
        <v>25</v>
      </c>
      <c r="L238" t="s">
        <v>136</v>
      </c>
      <c r="M238" t="s">
        <v>137</v>
      </c>
      <c r="N238" t="s">
        <v>41</v>
      </c>
      <c r="O238" t="s">
        <v>158</v>
      </c>
      <c r="P238" t="s">
        <v>818</v>
      </c>
      <c r="Q238" t="s">
        <v>50</v>
      </c>
      <c r="R238">
        <v>6</v>
      </c>
      <c r="S238">
        <v>4062.78</v>
      </c>
      <c r="T238">
        <v>0</v>
      </c>
      <c r="U238">
        <v>24376.68</v>
      </c>
      <c r="V238">
        <v>18533.39</v>
      </c>
      <c r="W238">
        <v>5843.29</v>
      </c>
      <c r="X238" t="s">
        <v>32</v>
      </c>
      <c r="Y238" t="s">
        <v>33</v>
      </c>
      <c r="Z238" t="str">
        <f t="shared" si="42"/>
        <v>Unique</v>
      </c>
      <c r="AA238" t="str">
        <f t="shared" si="43"/>
        <v>Unique</v>
      </c>
      <c r="AB238" t="str">
        <f t="shared" si="47"/>
        <v>OK</v>
      </c>
      <c r="AC238">
        <f t="shared" si="48"/>
        <v>0</v>
      </c>
      <c r="AD238" t="str">
        <f t="shared" si="49"/>
        <v>OK</v>
      </c>
      <c r="AE238">
        <f t="shared" si="50"/>
        <v>24376.68</v>
      </c>
      <c r="AF238">
        <f t="shared" si="51"/>
        <v>5843.2900000000009</v>
      </c>
      <c r="AG238">
        <f t="shared" si="52"/>
        <v>0.23970819652224998</v>
      </c>
      <c r="AH238" t="str">
        <f t="shared" si="44"/>
        <v>October</v>
      </c>
      <c r="AI238">
        <f t="shared" si="45"/>
        <v>2024</v>
      </c>
      <c r="AJ238" t="str">
        <f t="shared" si="53"/>
        <v>OK</v>
      </c>
      <c r="AK238" t="str">
        <f t="shared" si="54"/>
        <v>OK</v>
      </c>
      <c r="AL238" t="str">
        <f t="shared" si="55"/>
        <v>Include</v>
      </c>
      <c r="AM238" t="str">
        <f t="shared" si="46"/>
        <v>Clean</v>
      </c>
    </row>
    <row r="239" spans="1:39">
      <c r="A239" t="s">
        <v>819</v>
      </c>
      <c r="B239" s="4">
        <v>45531</v>
      </c>
      <c r="C239" s="4">
        <v>45531</v>
      </c>
      <c r="D239" s="6">
        <v>0</v>
      </c>
      <c r="E239" t="s">
        <v>2788</v>
      </c>
      <c r="F239" t="s">
        <v>2788</v>
      </c>
      <c r="G239" t="s">
        <v>2788</v>
      </c>
      <c r="H239" t="s">
        <v>820</v>
      </c>
      <c r="I239" t="s">
        <v>36</v>
      </c>
      <c r="J239" t="s">
        <v>24</v>
      </c>
      <c r="K239" t="s">
        <v>25</v>
      </c>
      <c r="L239" t="s">
        <v>236</v>
      </c>
      <c r="M239" t="s">
        <v>237</v>
      </c>
      <c r="N239" t="s">
        <v>74</v>
      </c>
      <c r="O239" t="s">
        <v>80</v>
      </c>
      <c r="P239" t="s">
        <v>821</v>
      </c>
      <c r="Q239" t="s">
        <v>59</v>
      </c>
      <c r="R239">
        <v>9</v>
      </c>
      <c r="S239">
        <v>2330.3000000000002</v>
      </c>
      <c r="T239">
        <v>0</v>
      </c>
      <c r="U239">
        <v>20972.7</v>
      </c>
      <c r="V239">
        <v>13504.88</v>
      </c>
      <c r="W239">
        <v>7467.82</v>
      </c>
      <c r="X239" t="s">
        <v>32</v>
      </c>
      <c r="Y239" t="s">
        <v>33</v>
      </c>
      <c r="Z239" t="str">
        <f t="shared" si="42"/>
        <v>Unique</v>
      </c>
      <c r="AA239" t="str">
        <f t="shared" si="43"/>
        <v>Unique</v>
      </c>
      <c r="AB239" t="str">
        <f t="shared" si="47"/>
        <v>OK</v>
      </c>
      <c r="AC239">
        <f t="shared" si="48"/>
        <v>0</v>
      </c>
      <c r="AD239" t="str">
        <f t="shared" si="49"/>
        <v>OK</v>
      </c>
      <c r="AE239">
        <f t="shared" si="50"/>
        <v>20972.7</v>
      </c>
      <c r="AF239">
        <f t="shared" si="51"/>
        <v>7467.8200000000015</v>
      </c>
      <c r="AG239">
        <f t="shared" si="52"/>
        <v>0.35607337157352181</v>
      </c>
      <c r="AH239" t="str">
        <f t="shared" si="44"/>
        <v>August</v>
      </c>
      <c r="AI239">
        <f t="shared" si="45"/>
        <v>2024</v>
      </c>
      <c r="AJ239" t="str">
        <f t="shared" si="53"/>
        <v>OK</v>
      </c>
      <c r="AK239" t="str">
        <f t="shared" si="54"/>
        <v>OK</v>
      </c>
      <c r="AL239" t="str">
        <f t="shared" si="55"/>
        <v>Include</v>
      </c>
      <c r="AM239" t="str">
        <f t="shared" si="46"/>
        <v>Clean</v>
      </c>
    </row>
    <row r="240" spans="1:39">
      <c r="A240" t="s">
        <v>822</v>
      </c>
      <c r="B240" s="4">
        <v>45303</v>
      </c>
      <c r="C240" s="4">
        <v>45308</v>
      </c>
      <c r="D240" s="6">
        <v>5</v>
      </c>
      <c r="E240" t="s">
        <v>2788</v>
      </c>
      <c r="F240" t="s">
        <v>2788</v>
      </c>
      <c r="G240" t="s">
        <v>2788</v>
      </c>
      <c r="H240" t="s">
        <v>823</v>
      </c>
      <c r="I240" t="s">
        <v>53</v>
      </c>
      <c r="J240" t="s">
        <v>24</v>
      </c>
      <c r="K240" t="s">
        <v>54</v>
      </c>
      <c r="L240" t="s">
        <v>84</v>
      </c>
      <c r="M240" t="s">
        <v>85</v>
      </c>
      <c r="N240" t="s">
        <v>28</v>
      </c>
      <c r="O240" t="s">
        <v>124</v>
      </c>
      <c r="P240" t="s">
        <v>824</v>
      </c>
      <c r="Q240" t="s">
        <v>50</v>
      </c>
      <c r="R240">
        <v>7</v>
      </c>
      <c r="S240">
        <v>4005.05</v>
      </c>
      <c r="T240">
        <v>0.55000000000000004</v>
      </c>
      <c r="U240">
        <v>26633.58</v>
      </c>
      <c r="V240">
        <v>18838.75</v>
      </c>
      <c r="W240">
        <v>7794.83</v>
      </c>
      <c r="X240" t="s">
        <v>32</v>
      </c>
      <c r="Y240" t="s">
        <v>33</v>
      </c>
      <c r="Z240" t="str">
        <f t="shared" si="42"/>
        <v>Unique</v>
      </c>
      <c r="AA240" t="str">
        <f t="shared" si="43"/>
        <v>Unique</v>
      </c>
      <c r="AB240" t="str">
        <f t="shared" si="47"/>
        <v>OK</v>
      </c>
      <c r="AC240">
        <f t="shared" si="48"/>
        <v>0.55000000000000004</v>
      </c>
      <c r="AD240" t="str">
        <f t="shared" si="49"/>
        <v>OK</v>
      </c>
      <c r="AE240">
        <f t="shared" si="50"/>
        <v>12615.907499999999</v>
      </c>
      <c r="AF240">
        <f t="shared" si="51"/>
        <v>-6222.8425000000007</v>
      </c>
      <c r="AG240">
        <f t="shared" si="52"/>
        <v>-0.4932536561480021</v>
      </c>
      <c r="AH240" t="str">
        <f t="shared" si="44"/>
        <v>January</v>
      </c>
      <c r="AI240">
        <f t="shared" si="45"/>
        <v>2024</v>
      </c>
      <c r="AJ240" t="str">
        <f t="shared" si="53"/>
        <v>Sales Mismatch</v>
      </c>
      <c r="AK240" t="str">
        <f t="shared" si="54"/>
        <v>Profit Mismatch</v>
      </c>
      <c r="AL240" t="str">
        <f t="shared" si="55"/>
        <v>Include</v>
      </c>
      <c r="AM240" t="str">
        <f t="shared" si="46"/>
        <v>Warning</v>
      </c>
    </row>
    <row r="241" spans="1:39">
      <c r="A241" t="s">
        <v>825</v>
      </c>
      <c r="B241" s="4">
        <v>45556</v>
      </c>
      <c r="C241" s="4">
        <v>45556</v>
      </c>
      <c r="D241" s="6">
        <v>0</v>
      </c>
      <c r="E241" t="s">
        <v>2788</v>
      </c>
      <c r="F241" t="s">
        <v>2788</v>
      </c>
      <c r="G241" t="s">
        <v>2788</v>
      </c>
      <c r="H241" t="s">
        <v>826</v>
      </c>
      <c r="I241" t="s">
        <v>264</v>
      </c>
      <c r="J241" t="s">
        <v>90</v>
      </c>
      <c r="K241" t="s">
        <v>54</v>
      </c>
      <c r="L241" t="s">
        <v>175</v>
      </c>
      <c r="M241" t="s">
        <v>176</v>
      </c>
      <c r="N241" t="s">
        <v>74</v>
      </c>
      <c r="O241" t="s">
        <v>274</v>
      </c>
      <c r="P241" t="s">
        <v>827</v>
      </c>
      <c r="Q241" t="s">
        <v>50</v>
      </c>
      <c r="R241">
        <v>2</v>
      </c>
      <c r="S241">
        <v>1960.06</v>
      </c>
      <c r="T241">
        <v>0.2</v>
      </c>
      <c r="U241">
        <v>3136.1</v>
      </c>
      <c r="V241">
        <v>2279.4899999999998</v>
      </c>
      <c r="W241">
        <v>856.61</v>
      </c>
      <c r="X241" t="s">
        <v>32</v>
      </c>
      <c r="Y241" t="s">
        <v>33</v>
      </c>
      <c r="Z241" t="str">
        <f t="shared" si="42"/>
        <v>Unique</v>
      </c>
      <c r="AA241" t="str">
        <f t="shared" si="43"/>
        <v>Unique</v>
      </c>
      <c r="AB241" t="str">
        <f t="shared" si="47"/>
        <v>OK</v>
      </c>
      <c r="AC241">
        <f t="shared" si="48"/>
        <v>0.2</v>
      </c>
      <c r="AD241" t="str">
        <f t="shared" si="49"/>
        <v>OK</v>
      </c>
      <c r="AE241">
        <f t="shared" si="50"/>
        <v>3136.096</v>
      </c>
      <c r="AF241">
        <f t="shared" si="51"/>
        <v>856.60600000000022</v>
      </c>
      <c r="AG241">
        <f t="shared" si="52"/>
        <v>0.273144061916472</v>
      </c>
      <c r="AH241" t="str">
        <f t="shared" si="44"/>
        <v>September</v>
      </c>
      <c r="AI241">
        <f t="shared" si="45"/>
        <v>2024</v>
      </c>
      <c r="AJ241" t="str">
        <f t="shared" si="53"/>
        <v>OK</v>
      </c>
      <c r="AK241" t="str">
        <f t="shared" si="54"/>
        <v>OK</v>
      </c>
      <c r="AL241" t="str">
        <f t="shared" si="55"/>
        <v>Include</v>
      </c>
      <c r="AM241" t="str">
        <f t="shared" si="46"/>
        <v>Clean</v>
      </c>
    </row>
    <row r="242" spans="1:39">
      <c r="A242" t="s">
        <v>828</v>
      </c>
      <c r="B242" s="4">
        <v>45643</v>
      </c>
      <c r="C242" s="4">
        <v>45649</v>
      </c>
      <c r="D242" s="6">
        <v>6</v>
      </c>
      <c r="E242" t="s">
        <v>2788</v>
      </c>
      <c r="F242" t="s">
        <v>2788</v>
      </c>
      <c r="G242" t="s">
        <v>2788</v>
      </c>
      <c r="H242" t="s">
        <v>829</v>
      </c>
      <c r="I242" t="s">
        <v>128</v>
      </c>
      <c r="J242" t="s">
        <v>90</v>
      </c>
      <c r="K242" t="s">
        <v>54</v>
      </c>
      <c r="L242" t="s">
        <v>55</v>
      </c>
      <c r="M242" t="s">
        <v>56</v>
      </c>
      <c r="N242" t="s">
        <v>28</v>
      </c>
      <c r="O242" t="s">
        <v>153</v>
      </c>
      <c r="P242" t="s">
        <v>830</v>
      </c>
      <c r="Q242" t="s">
        <v>50</v>
      </c>
      <c r="R242">
        <v>9</v>
      </c>
      <c r="S242">
        <v>2315.1</v>
      </c>
      <c r="T242">
        <v>0</v>
      </c>
      <c r="U242">
        <v>20835.900000000001</v>
      </c>
      <c r="V242">
        <v>13928.19</v>
      </c>
      <c r="W242">
        <v>6907.71</v>
      </c>
      <c r="X242" t="s">
        <v>32</v>
      </c>
      <c r="Y242" t="s">
        <v>33</v>
      </c>
      <c r="Z242" t="str">
        <f t="shared" si="42"/>
        <v>Unique</v>
      </c>
      <c r="AA242" t="str">
        <f t="shared" si="43"/>
        <v>Unique</v>
      </c>
      <c r="AB242" t="str">
        <f t="shared" si="47"/>
        <v>OK</v>
      </c>
      <c r="AC242">
        <f t="shared" si="48"/>
        <v>0</v>
      </c>
      <c r="AD242" t="str">
        <f t="shared" si="49"/>
        <v>OK</v>
      </c>
      <c r="AE242">
        <f t="shared" si="50"/>
        <v>20835.899999999998</v>
      </c>
      <c r="AF242">
        <f t="shared" si="51"/>
        <v>6907.7099999999973</v>
      </c>
      <c r="AG242">
        <f t="shared" si="52"/>
        <v>0.33152923559817421</v>
      </c>
      <c r="AH242" t="str">
        <f t="shared" si="44"/>
        <v>December</v>
      </c>
      <c r="AI242">
        <f t="shared" si="45"/>
        <v>2024</v>
      </c>
      <c r="AJ242" t="str">
        <f t="shared" si="53"/>
        <v>OK</v>
      </c>
      <c r="AK242" t="str">
        <f t="shared" si="54"/>
        <v>OK</v>
      </c>
      <c r="AL242" t="str">
        <f t="shared" si="55"/>
        <v>Include</v>
      </c>
      <c r="AM242" t="str">
        <f t="shared" si="46"/>
        <v>Clean</v>
      </c>
    </row>
    <row r="243" spans="1:39">
      <c r="A243" t="s">
        <v>831</v>
      </c>
      <c r="B243" s="4">
        <v>45844</v>
      </c>
      <c r="C243" s="4">
        <v>45844</v>
      </c>
      <c r="D243" s="6">
        <v>0</v>
      </c>
      <c r="E243" t="s">
        <v>2788</v>
      </c>
      <c r="F243" t="s">
        <v>2788</v>
      </c>
      <c r="G243" t="s">
        <v>2788</v>
      </c>
      <c r="H243" t="s">
        <v>832</v>
      </c>
      <c r="I243" t="s">
        <v>132</v>
      </c>
      <c r="J243" t="s">
        <v>90</v>
      </c>
      <c r="K243" t="s">
        <v>25</v>
      </c>
      <c r="L243" t="s">
        <v>236</v>
      </c>
      <c r="M243" t="s">
        <v>237</v>
      </c>
      <c r="N243" t="s">
        <v>28</v>
      </c>
      <c r="O243" t="s">
        <v>124</v>
      </c>
      <c r="P243" t="s">
        <v>833</v>
      </c>
      <c r="Q243" t="s">
        <v>59</v>
      </c>
      <c r="R243">
        <v>1</v>
      </c>
      <c r="S243">
        <v>1617.2</v>
      </c>
      <c r="T243">
        <v>0.25</v>
      </c>
      <c r="U243">
        <v>1212.9000000000001</v>
      </c>
      <c r="V243">
        <v>690.52</v>
      </c>
      <c r="W243">
        <v>522.38</v>
      </c>
      <c r="X243" t="s">
        <v>111</v>
      </c>
      <c r="Y243" t="s">
        <v>103</v>
      </c>
      <c r="Z243" t="str">
        <f t="shared" si="42"/>
        <v>Unique</v>
      </c>
      <c r="AA243" t="str">
        <f t="shared" si="43"/>
        <v>Unique</v>
      </c>
      <c r="AB243" t="str">
        <f t="shared" si="47"/>
        <v>OK</v>
      </c>
      <c r="AC243">
        <f t="shared" si="48"/>
        <v>0.25</v>
      </c>
      <c r="AD243" t="str">
        <f t="shared" si="49"/>
        <v>OK</v>
      </c>
      <c r="AE243">
        <f t="shared" si="50"/>
        <v>1212.9000000000001</v>
      </c>
      <c r="AF243">
        <f t="shared" si="51"/>
        <v>522.38000000000011</v>
      </c>
      <c r="AG243">
        <f t="shared" si="52"/>
        <v>0.4306867837414462</v>
      </c>
      <c r="AH243" t="str">
        <f t="shared" si="44"/>
        <v>July</v>
      </c>
      <c r="AI243">
        <f t="shared" si="45"/>
        <v>2025</v>
      </c>
      <c r="AJ243" t="str">
        <f t="shared" si="53"/>
        <v>OK</v>
      </c>
      <c r="AK243" t="str">
        <f t="shared" si="54"/>
        <v>OK</v>
      </c>
      <c r="AL243" t="str">
        <f t="shared" si="55"/>
        <v>Exclude</v>
      </c>
      <c r="AM243" t="str">
        <f t="shared" si="46"/>
        <v>Clean</v>
      </c>
    </row>
    <row r="244" spans="1:39">
      <c r="A244" t="s">
        <v>834</v>
      </c>
      <c r="B244" s="4">
        <v>45695</v>
      </c>
      <c r="C244" s="4">
        <v>45695</v>
      </c>
      <c r="D244" s="6">
        <v>0</v>
      </c>
      <c r="E244" t="s">
        <v>2788</v>
      </c>
      <c r="F244" t="s">
        <v>2788</v>
      </c>
      <c r="G244" t="s">
        <v>2788</v>
      </c>
      <c r="H244" t="s">
        <v>835</v>
      </c>
      <c r="I244" t="s">
        <v>53</v>
      </c>
      <c r="J244" t="s">
        <v>24</v>
      </c>
      <c r="K244" t="s">
        <v>25</v>
      </c>
      <c r="L244" t="s">
        <v>136</v>
      </c>
      <c r="M244" t="s">
        <v>137</v>
      </c>
      <c r="N244" t="s">
        <v>28</v>
      </c>
      <c r="O244" t="s">
        <v>48</v>
      </c>
      <c r="P244" t="s">
        <v>836</v>
      </c>
      <c r="Q244" t="s">
        <v>31</v>
      </c>
      <c r="R244">
        <v>3</v>
      </c>
      <c r="S244">
        <v>1999.24</v>
      </c>
      <c r="T244">
        <v>0.05</v>
      </c>
      <c r="U244">
        <v>5697.83</v>
      </c>
      <c r="V244">
        <v>4251.5</v>
      </c>
      <c r="W244">
        <v>1446.33</v>
      </c>
      <c r="X244" t="s">
        <v>32</v>
      </c>
      <c r="Y244" t="s">
        <v>33</v>
      </c>
      <c r="Z244" t="str">
        <f t="shared" si="42"/>
        <v>Unique</v>
      </c>
      <c r="AA244" t="str">
        <f t="shared" si="43"/>
        <v>Unique</v>
      </c>
      <c r="AB244" t="str">
        <f t="shared" si="47"/>
        <v>OK</v>
      </c>
      <c r="AC244">
        <f t="shared" si="48"/>
        <v>0.05</v>
      </c>
      <c r="AD244" t="str">
        <f t="shared" si="49"/>
        <v>OK</v>
      </c>
      <c r="AE244">
        <f t="shared" si="50"/>
        <v>5697.8339999999998</v>
      </c>
      <c r="AF244">
        <f t="shared" si="51"/>
        <v>1446.3339999999998</v>
      </c>
      <c r="AG244">
        <f t="shared" si="52"/>
        <v>0.25383926593860051</v>
      </c>
      <c r="AH244" t="str">
        <f t="shared" si="44"/>
        <v>February</v>
      </c>
      <c r="AI244">
        <f t="shared" si="45"/>
        <v>2025</v>
      </c>
      <c r="AJ244" t="str">
        <f t="shared" si="53"/>
        <v>OK</v>
      </c>
      <c r="AK244" t="str">
        <f t="shared" si="54"/>
        <v>OK</v>
      </c>
      <c r="AL244" t="str">
        <f t="shared" si="55"/>
        <v>Include</v>
      </c>
      <c r="AM244" t="str">
        <f t="shared" si="46"/>
        <v>Clean</v>
      </c>
    </row>
    <row r="245" spans="1:39">
      <c r="A245" t="s">
        <v>837</v>
      </c>
      <c r="B245" s="4">
        <v>45867</v>
      </c>
      <c r="C245" s="4">
        <v>45871</v>
      </c>
      <c r="D245" s="6">
        <v>4</v>
      </c>
      <c r="E245" t="s">
        <v>2788</v>
      </c>
      <c r="F245" t="s">
        <v>2788</v>
      </c>
      <c r="G245" t="s">
        <v>2788</v>
      </c>
      <c r="H245" t="s">
        <v>838</v>
      </c>
      <c r="I245" t="s">
        <v>132</v>
      </c>
      <c r="J245" t="s">
        <v>37</v>
      </c>
      <c r="K245" t="s">
        <v>2783</v>
      </c>
      <c r="L245" t="s">
        <v>72</v>
      </c>
      <c r="M245" t="s">
        <v>73</v>
      </c>
      <c r="N245" t="s">
        <v>74</v>
      </c>
      <c r="O245" t="s">
        <v>75</v>
      </c>
      <c r="P245" t="s">
        <v>839</v>
      </c>
      <c r="Q245" t="s">
        <v>50</v>
      </c>
      <c r="R245">
        <v>1</v>
      </c>
      <c r="S245">
        <v>4499.46</v>
      </c>
      <c r="T245">
        <v>0.1</v>
      </c>
      <c r="U245">
        <v>4049.51</v>
      </c>
      <c r="V245">
        <v>2509.1999999999998</v>
      </c>
      <c r="W245">
        <v>1540.31</v>
      </c>
      <c r="X245" t="s">
        <v>32</v>
      </c>
      <c r="Y245" t="s">
        <v>33</v>
      </c>
      <c r="Z245" t="str">
        <f t="shared" si="42"/>
        <v>Unique</v>
      </c>
      <c r="AA245" t="str">
        <f t="shared" si="43"/>
        <v>Unique</v>
      </c>
      <c r="AB245" t="str">
        <f t="shared" si="47"/>
        <v>OK</v>
      </c>
      <c r="AC245">
        <f t="shared" si="48"/>
        <v>0.1</v>
      </c>
      <c r="AD245" t="str">
        <f t="shared" si="49"/>
        <v>OK</v>
      </c>
      <c r="AE245">
        <f t="shared" si="50"/>
        <v>4049.5140000000001</v>
      </c>
      <c r="AF245">
        <f t="shared" si="51"/>
        <v>1540.3140000000003</v>
      </c>
      <c r="AG245">
        <f t="shared" si="52"/>
        <v>0.38037008885510715</v>
      </c>
      <c r="AH245" t="str">
        <f t="shared" si="44"/>
        <v>July</v>
      </c>
      <c r="AI245">
        <f t="shared" si="45"/>
        <v>2025</v>
      </c>
      <c r="AJ245" t="str">
        <f t="shared" si="53"/>
        <v>OK</v>
      </c>
      <c r="AK245" t="str">
        <f t="shared" si="54"/>
        <v>OK</v>
      </c>
      <c r="AL245" t="str">
        <f t="shared" si="55"/>
        <v>Include</v>
      </c>
      <c r="AM245" t="str">
        <f t="shared" si="46"/>
        <v>Clean</v>
      </c>
    </row>
    <row r="246" spans="1:39">
      <c r="A246" t="s">
        <v>840</v>
      </c>
      <c r="B246" s="4">
        <v>45527</v>
      </c>
      <c r="C246" s="4">
        <v>45528</v>
      </c>
      <c r="D246" s="6">
        <v>1</v>
      </c>
      <c r="E246" t="s">
        <v>2788</v>
      </c>
      <c r="F246" t="s">
        <v>2788</v>
      </c>
      <c r="G246" t="s">
        <v>2788</v>
      </c>
      <c r="H246" t="s">
        <v>841</v>
      </c>
      <c r="I246" t="s">
        <v>79</v>
      </c>
      <c r="J246" t="s">
        <v>24</v>
      </c>
      <c r="K246" t="s">
        <v>54</v>
      </c>
      <c r="L246" t="s">
        <v>55</v>
      </c>
      <c r="M246" t="s">
        <v>56</v>
      </c>
      <c r="N246" t="s">
        <v>41</v>
      </c>
      <c r="O246" t="s">
        <v>158</v>
      </c>
      <c r="P246" t="s">
        <v>842</v>
      </c>
      <c r="Q246" t="s">
        <v>44</v>
      </c>
      <c r="R246">
        <v>6</v>
      </c>
      <c r="S246">
        <v>1021.89</v>
      </c>
      <c r="T246">
        <v>0</v>
      </c>
      <c r="U246">
        <v>6131.34</v>
      </c>
      <c r="V246">
        <v>4060.88</v>
      </c>
      <c r="W246">
        <v>2070.46</v>
      </c>
      <c r="X246" t="s">
        <v>32</v>
      </c>
      <c r="Y246" t="s">
        <v>33</v>
      </c>
      <c r="Z246" t="str">
        <f t="shared" si="42"/>
        <v>Unique</v>
      </c>
      <c r="AA246" t="str">
        <f t="shared" si="43"/>
        <v>Unique</v>
      </c>
      <c r="AB246" t="str">
        <f t="shared" si="47"/>
        <v>OK</v>
      </c>
      <c r="AC246">
        <f t="shared" si="48"/>
        <v>0</v>
      </c>
      <c r="AD246" t="str">
        <f t="shared" si="49"/>
        <v>OK</v>
      </c>
      <c r="AE246">
        <f t="shared" si="50"/>
        <v>6131.34</v>
      </c>
      <c r="AF246">
        <f t="shared" si="51"/>
        <v>2070.46</v>
      </c>
      <c r="AG246">
        <f t="shared" si="52"/>
        <v>0.33768474754295147</v>
      </c>
      <c r="AH246" t="str">
        <f t="shared" si="44"/>
        <v>August</v>
      </c>
      <c r="AI246">
        <f t="shared" si="45"/>
        <v>2024</v>
      </c>
      <c r="AJ246" t="str">
        <f t="shared" si="53"/>
        <v>OK</v>
      </c>
      <c r="AK246" t="str">
        <f t="shared" si="54"/>
        <v>OK</v>
      </c>
      <c r="AL246" t="str">
        <f t="shared" si="55"/>
        <v>Include</v>
      </c>
      <c r="AM246" t="str">
        <f t="shared" si="46"/>
        <v>Clean</v>
      </c>
    </row>
    <row r="247" spans="1:39">
      <c r="A247" t="s">
        <v>843</v>
      </c>
      <c r="B247" s="4">
        <v>45583</v>
      </c>
      <c r="C247" s="4">
        <v>45589</v>
      </c>
      <c r="D247" s="6">
        <v>6</v>
      </c>
      <c r="E247" t="s">
        <v>2788</v>
      </c>
      <c r="F247" t="s">
        <v>2788</v>
      </c>
      <c r="G247" t="s">
        <v>2788</v>
      </c>
      <c r="H247" t="s">
        <v>844</v>
      </c>
      <c r="I247" t="s">
        <v>79</v>
      </c>
      <c r="J247" t="s">
        <v>95</v>
      </c>
      <c r="K247" t="s">
        <v>54</v>
      </c>
      <c r="L247" t="s">
        <v>185</v>
      </c>
      <c r="M247" t="s">
        <v>186</v>
      </c>
      <c r="N247" t="s">
        <v>41</v>
      </c>
      <c r="O247" t="s">
        <v>66</v>
      </c>
      <c r="P247" t="s">
        <v>845</v>
      </c>
      <c r="Q247" t="s">
        <v>31</v>
      </c>
      <c r="R247">
        <v>3</v>
      </c>
      <c r="S247">
        <v>3275.93</v>
      </c>
      <c r="T247">
        <v>0</v>
      </c>
      <c r="U247">
        <v>9827.7900000000009</v>
      </c>
      <c r="V247">
        <v>5478.28</v>
      </c>
      <c r="W247">
        <v>4349.51</v>
      </c>
      <c r="X247" t="s">
        <v>32</v>
      </c>
      <c r="Y247" t="s">
        <v>33</v>
      </c>
      <c r="Z247" t="str">
        <f t="shared" si="42"/>
        <v>Unique</v>
      </c>
      <c r="AA247" t="str">
        <f t="shared" si="43"/>
        <v>Unique</v>
      </c>
      <c r="AB247" t="str">
        <f t="shared" si="47"/>
        <v>OK</v>
      </c>
      <c r="AC247">
        <f t="shared" si="48"/>
        <v>0</v>
      </c>
      <c r="AD247" t="str">
        <f t="shared" si="49"/>
        <v>OK</v>
      </c>
      <c r="AE247">
        <f t="shared" si="50"/>
        <v>9827.7899999999991</v>
      </c>
      <c r="AF247">
        <f t="shared" si="51"/>
        <v>4349.5099999999993</v>
      </c>
      <c r="AG247">
        <f t="shared" si="52"/>
        <v>0.44257254174132737</v>
      </c>
      <c r="AH247" t="str">
        <f t="shared" si="44"/>
        <v>October</v>
      </c>
      <c r="AI247">
        <f t="shared" si="45"/>
        <v>2024</v>
      </c>
      <c r="AJ247" t="str">
        <f t="shared" si="53"/>
        <v>OK</v>
      </c>
      <c r="AK247" t="str">
        <f t="shared" si="54"/>
        <v>OK</v>
      </c>
      <c r="AL247" t="str">
        <f t="shared" si="55"/>
        <v>Include</v>
      </c>
      <c r="AM247" t="str">
        <f t="shared" si="46"/>
        <v>Clean</v>
      </c>
    </row>
    <row r="248" spans="1:39">
      <c r="A248" t="s">
        <v>846</v>
      </c>
      <c r="B248" s="4">
        <v>45416</v>
      </c>
      <c r="C248" s="4">
        <v>45421</v>
      </c>
      <c r="D248" s="6">
        <v>5</v>
      </c>
      <c r="E248" t="s">
        <v>2788</v>
      </c>
      <c r="F248" t="s">
        <v>2788</v>
      </c>
      <c r="G248" t="s">
        <v>2788</v>
      </c>
      <c r="H248" t="s">
        <v>847</v>
      </c>
      <c r="I248" t="s">
        <v>62</v>
      </c>
      <c r="J248" t="s">
        <v>90</v>
      </c>
      <c r="K248" t="s">
        <v>25</v>
      </c>
      <c r="L248" t="s">
        <v>122</v>
      </c>
      <c r="M248" t="s">
        <v>123</v>
      </c>
      <c r="N248" t="s">
        <v>74</v>
      </c>
      <c r="O248" t="s">
        <v>274</v>
      </c>
      <c r="P248" t="s">
        <v>848</v>
      </c>
      <c r="Q248" t="s">
        <v>44</v>
      </c>
      <c r="R248">
        <v>3</v>
      </c>
      <c r="S248">
        <v>231.95</v>
      </c>
      <c r="T248">
        <v>0.25</v>
      </c>
      <c r="U248">
        <v>521.89</v>
      </c>
      <c r="V248">
        <v>444.52</v>
      </c>
      <c r="W248">
        <v>77.37</v>
      </c>
      <c r="X248" t="s">
        <v>102</v>
      </c>
      <c r="Y248" t="s">
        <v>68</v>
      </c>
      <c r="Z248" t="str">
        <f t="shared" si="42"/>
        <v>Unique</v>
      </c>
      <c r="AA248" t="str">
        <f t="shared" si="43"/>
        <v>Unique</v>
      </c>
      <c r="AB248" t="str">
        <f t="shared" si="47"/>
        <v>OK</v>
      </c>
      <c r="AC248">
        <f t="shared" si="48"/>
        <v>0.25</v>
      </c>
      <c r="AD248" t="str">
        <f t="shared" si="49"/>
        <v>OK</v>
      </c>
      <c r="AE248">
        <f t="shared" si="50"/>
        <v>521.88749999999993</v>
      </c>
      <c r="AF248">
        <f t="shared" si="51"/>
        <v>77.36749999999995</v>
      </c>
      <c r="AG248">
        <f t="shared" si="52"/>
        <v>0.14824555100476627</v>
      </c>
      <c r="AH248" t="str">
        <f t="shared" si="44"/>
        <v>May</v>
      </c>
      <c r="AI248">
        <f t="shared" si="45"/>
        <v>2024</v>
      </c>
      <c r="AJ248" t="str">
        <f t="shared" si="53"/>
        <v>OK</v>
      </c>
      <c r="AK248" t="str">
        <f t="shared" si="54"/>
        <v>OK</v>
      </c>
      <c r="AL248" t="str">
        <f t="shared" si="55"/>
        <v>Exclude</v>
      </c>
      <c r="AM248" t="str">
        <f t="shared" si="46"/>
        <v>Clean</v>
      </c>
    </row>
    <row r="249" spans="1:39">
      <c r="A249" t="s">
        <v>849</v>
      </c>
      <c r="B249" s="4">
        <v>45498</v>
      </c>
      <c r="C249" s="4">
        <v>45505</v>
      </c>
      <c r="D249" s="6">
        <v>7</v>
      </c>
      <c r="E249" t="s">
        <v>2788</v>
      </c>
      <c r="F249" t="s">
        <v>2788</v>
      </c>
      <c r="G249" t="s">
        <v>2788</v>
      </c>
      <c r="H249" t="s">
        <v>850</v>
      </c>
      <c r="I249" t="s">
        <v>118</v>
      </c>
      <c r="J249" t="s">
        <v>90</v>
      </c>
      <c r="K249" t="s">
        <v>25</v>
      </c>
      <c r="L249" t="s">
        <v>26</v>
      </c>
      <c r="M249" t="s">
        <v>27</v>
      </c>
      <c r="N249" t="s">
        <v>74</v>
      </c>
      <c r="O249" t="s">
        <v>75</v>
      </c>
      <c r="P249" t="s">
        <v>851</v>
      </c>
      <c r="Q249" t="s">
        <v>31</v>
      </c>
      <c r="R249">
        <v>8</v>
      </c>
      <c r="S249">
        <v>2493.4</v>
      </c>
      <c r="T249">
        <v>0.25</v>
      </c>
      <c r="U249">
        <v>14960.4</v>
      </c>
      <c r="V249">
        <v>12500.84</v>
      </c>
      <c r="W249">
        <v>2459.56</v>
      </c>
      <c r="X249" t="s">
        <v>32</v>
      </c>
      <c r="Y249" t="s">
        <v>33</v>
      </c>
      <c r="Z249" t="str">
        <f t="shared" si="42"/>
        <v>Unique</v>
      </c>
      <c r="AA249" t="str">
        <f t="shared" si="43"/>
        <v>Unique</v>
      </c>
      <c r="AB249" t="str">
        <f t="shared" si="47"/>
        <v>OK</v>
      </c>
      <c r="AC249">
        <f t="shared" si="48"/>
        <v>0.25</v>
      </c>
      <c r="AD249" t="str">
        <f t="shared" si="49"/>
        <v>OK</v>
      </c>
      <c r="AE249">
        <f t="shared" si="50"/>
        <v>14960.400000000001</v>
      </c>
      <c r="AF249">
        <f t="shared" si="51"/>
        <v>2459.5600000000013</v>
      </c>
      <c r="AG249">
        <f t="shared" si="52"/>
        <v>0.16440469506162944</v>
      </c>
      <c r="AH249" t="str">
        <f t="shared" si="44"/>
        <v>July</v>
      </c>
      <c r="AI249">
        <f t="shared" si="45"/>
        <v>2024</v>
      </c>
      <c r="AJ249" t="str">
        <f t="shared" si="53"/>
        <v>OK</v>
      </c>
      <c r="AK249" t="str">
        <f t="shared" si="54"/>
        <v>OK</v>
      </c>
      <c r="AL249" t="str">
        <f t="shared" si="55"/>
        <v>Include</v>
      </c>
      <c r="AM249" t="str">
        <f t="shared" si="46"/>
        <v>Clean</v>
      </c>
    </row>
    <row r="250" spans="1:39">
      <c r="A250" t="s">
        <v>852</v>
      </c>
      <c r="B250" s="4">
        <v>45445</v>
      </c>
      <c r="C250" s="4">
        <v>45450</v>
      </c>
      <c r="D250" s="6">
        <v>5</v>
      </c>
      <c r="E250" t="s">
        <v>2788</v>
      </c>
      <c r="F250" t="s">
        <v>2788</v>
      </c>
      <c r="G250" t="s">
        <v>2788</v>
      </c>
      <c r="H250" t="s">
        <v>853</v>
      </c>
      <c r="I250" t="s">
        <v>141</v>
      </c>
      <c r="J250" t="s">
        <v>95</v>
      </c>
      <c r="K250" t="s">
        <v>38</v>
      </c>
      <c r="L250" t="s">
        <v>39</v>
      </c>
      <c r="M250" t="s">
        <v>40</v>
      </c>
      <c r="N250" t="s">
        <v>28</v>
      </c>
      <c r="O250" t="s">
        <v>91</v>
      </c>
      <c r="P250" t="s">
        <v>854</v>
      </c>
      <c r="Q250" t="s">
        <v>31</v>
      </c>
      <c r="R250">
        <v>9</v>
      </c>
      <c r="S250">
        <v>787.91</v>
      </c>
      <c r="T250">
        <v>0.15</v>
      </c>
      <c r="U250">
        <v>6027.51</v>
      </c>
      <c r="V250">
        <v>4883.82</v>
      </c>
      <c r="W250">
        <v>1143.69</v>
      </c>
      <c r="X250" t="s">
        <v>32</v>
      </c>
      <c r="Y250" t="s">
        <v>33</v>
      </c>
      <c r="Z250" t="str">
        <f t="shared" si="42"/>
        <v>Unique</v>
      </c>
      <c r="AA250" t="str">
        <f t="shared" si="43"/>
        <v>Unique</v>
      </c>
      <c r="AB250" t="str">
        <f t="shared" si="47"/>
        <v>OK</v>
      </c>
      <c r="AC250">
        <f t="shared" si="48"/>
        <v>0.15</v>
      </c>
      <c r="AD250" t="str">
        <f t="shared" si="49"/>
        <v>OK</v>
      </c>
      <c r="AE250">
        <f t="shared" si="50"/>
        <v>6027.5114999999996</v>
      </c>
      <c r="AF250">
        <f t="shared" si="51"/>
        <v>1143.6914999999999</v>
      </c>
      <c r="AG250">
        <f t="shared" si="52"/>
        <v>0.18974522072666306</v>
      </c>
      <c r="AH250" t="str">
        <f t="shared" si="44"/>
        <v>June</v>
      </c>
      <c r="AI250">
        <f t="shared" si="45"/>
        <v>2024</v>
      </c>
      <c r="AJ250" t="str">
        <f t="shared" si="53"/>
        <v>OK</v>
      </c>
      <c r="AK250" t="str">
        <f t="shared" si="54"/>
        <v>OK</v>
      </c>
      <c r="AL250" t="str">
        <f t="shared" si="55"/>
        <v>Include</v>
      </c>
      <c r="AM250" t="str">
        <f t="shared" si="46"/>
        <v>Clean</v>
      </c>
    </row>
    <row r="251" spans="1:39">
      <c r="A251" t="s">
        <v>855</v>
      </c>
      <c r="B251" s="4">
        <v>45870</v>
      </c>
      <c r="C251" s="4">
        <v>45871</v>
      </c>
      <c r="D251" s="6">
        <v>1</v>
      </c>
      <c r="E251" t="s">
        <v>2788</v>
      </c>
      <c r="F251" t="s">
        <v>2788</v>
      </c>
      <c r="G251" t="s">
        <v>2788</v>
      </c>
      <c r="H251" t="s">
        <v>856</v>
      </c>
      <c r="I251" t="s">
        <v>36</v>
      </c>
      <c r="J251" t="s">
        <v>90</v>
      </c>
      <c r="K251" t="s">
        <v>25</v>
      </c>
      <c r="L251" t="s">
        <v>26</v>
      </c>
      <c r="M251" t="s">
        <v>27</v>
      </c>
      <c r="N251" t="s">
        <v>41</v>
      </c>
      <c r="O251" t="s">
        <v>57</v>
      </c>
      <c r="P251" t="s">
        <v>857</v>
      </c>
      <c r="Q251" t="s">
        <v>50</v>
      </c>
      <c r="R251">
        <v>4</v>
      </c>
      <c r="S251">
        <v>2790.29</v>
      </c>
      <c r="T251">
        <v>0.2</v>
      </c>
      <c r="U251">
        <v>8928.93</v>
      </c>
      <c r="V251">
        <v>5634.38</v>
      </c>
      <c r="W251">
        <v>3294.55</v>
      </c>
      <c r="X251" t="s">
        <v>32</v>
      </c>
      <c r="Y251" t="s">
        <v>33</v>
      </c>
      <c r="Z251" t="str">
        <f t="shared" si="42"/>
        <v>Unique</v>
      </c>
      <c r="AA251" t="str">
        <f t="shared" si="43"/>
        <v>Unique</v>
      </c>
      <c r="AB251" t="str">
        <f t="shared" si="47"/>
        <v>OK</v>
      </c>
      <c r="AC251">
        <f t="shared" si="48"/>
        <v>0.2</v>
      </c>
      <c r="AD251" t="str">
        <f t="shared" si="49"/>
        <v>OK</v>
      </c>
      <c r="AE251">
        <f t="shared" si="50"/>
        <v>8928.9279999999999</v>
      </c>
      <c r="AF251">
        <f t="shared" si="51"/>
        <v>3294.5479999999998</v>
      </c>
      <c r="AG251">
        <f t="shared" si="52"/>
        <v>0.36897464062875185</v>
      </c>
      <c r="AH251" t="str">
        <f t="shared" si="44"/>
        <v>August</v>
      </c>
      <c r="AI251">
        <f t="shared" si="45"/>
        <v>2025</v>
      </c>
      <c r="AJ251" t="str">
        <f t="shared" si="53"/>
        <v>OK</v>
      </c>
      <c r="AK251" t="str">
        <f t="shared" si="54"/>
        <v>OK</v>
      </c>
      <c r="AL251" t="str">
        <f t="shared" si="55"/>
        <v>Include</v>
      </c>
      <c r="AM251" t="str">
        <f t="shared" si="46"/>
        <v>Clean</v>
      </c>
    </row>
    <row r="252" spans="1:39">
      <c r="A252" t="s">
        <v>858</v>
      </c>
      <c r="B252" s="4">
        <v>45343</v>
      </c>
      <c r="C252" s="4">
        <v>45349</v>
      </c>
      <c r="D252" s="6">
        <v>6</v>
      </c>
      <c r="E252" t="s">
        <v>2788</v>
      </c>
      <c r="F252" t="s">
        <v>2788</v>
      </c>
      <c r="G252" t="s">
        <v>2788</v>
      </c>
      <c r="H252" t="s">
        <v>859</v>
      </c>
      <c r="I252" t="s">
        <v>53</v>
      </c>
      <c r="J252" t="s">
        <v>37</v>
      </c>
      <c r="K252" t="s">
        <v>38</v>
      </c>
      <c r="L252" t="s">
        <v>99</v>
      </c>
      <c r="M252" t="s">
        <v>100</v>
      </c>
      <c r="N252" t="s">
        <v>41</v>
      </c>
      <c r="O252" t="s">
        <v>57</v>
      </c>
      <c r="P252" t="s">
        <v>860</v>
      </c>
      <c r="Q252" t="s">
        <v>59</v>
      </c>
      <c r="R252">
        <v>5</v>
      </c>
      <c r="S252">
        <v>3373.86</v>
      </c>
      <c r="T252">
        <v>0.15</v>
      </c>
      <c r="U252">
        <v>14338.9</v>
      </c>
      <c r="V252">
        <v>11897.65</v>
      </c>
      <c r="W252">
        <v>2441.25</v>
      </c>
      <c r="X252" t="s">
        <v>111</v>
      </c>
      <c r="Y252" t="s">
        <v>103</v>
      </c>
      <c r="Z252" t="str">
        <f t="shared" si="42"/>
        <v>Exact Duplicate</v>
      </c>
      <c r="AA252" t="str">
        <f t="shared" si="43"/>
        <v>Duplicate Order ID</v>
      </c>
      <c r="AB252" t="str">
        <f t="shared" si="47"/>
        <v>OK</v>
      </c>
      <c r="AC252">
        <f t="shared" si="48"/>
        <v>0.15</v>
      </c>
      <c r="AD252" t="str">
        <f t="shared" si="49"/>
        <v>OK</v>
      </c>
      <c r="AE252">
        <f t="shared" si="50"/>
        <v>14338.904999999999</v>
      </c>
      <c r="AF252">
        <f t="shared" si="51"/>
        <v>2441.2549999999992</v>
      </c>
      <c r="AG252">
        <f t="shared" si="52"/>
        <v>0.17025393501107647</v>
      </c>
      <c r="AH252" t="str">
        <f t="shared" si="44"/>
        <v>February</v>
      </c>
      <c r="AI252">
        <f t="shared" si="45"/>
        <v>2024</v>
      </c>
      <c r="AJ252" t="str">
        <f t="shared" si="53"/>
        <v>OK</v>
      </c>
      <c r="AK252" t="str">
        <f t="shared" si="54"/>
        <v>OK</v>
      </c>
      <c r="AL252" t="str">
        <f t="shared" si="55"/>
        <v>Exclude</v>
      </c>
      <c r="AM252" t="str">
        <f t="shared" si="46"/>
        <v>Clean</v>
      </c>
    </row>
    <row r="253" spans="1:39">
      <c r="A253" t="s">
        <v>861</v>
      </c>
      <c r="B253" s="4">
        <v>45753</v>
      </c>
      <c r="C253" s="4">
        <v>45757</v>
      </c>
      <c r="D253" s="6">
        <v>4</v>
      </c>
      <c r="E253" t="s">
        <v>2788</v>
      </c>
      <c r="F253" t="s">
        <v>2788</v>
      </c>
      <c r="G253" t="s">
        <v>2788</v>
      </c>
      <c r="H253" t="s">
        <v>862</v>
      </c>
      <c r="I253" t="s">
        <v>62</v>
      </c>
      <c r="J253" t="s">
        <v>90</v>
      </c>
      <c r="K253" t="s">
        <v>63</v>
      </c>
      <c r="L253" t="s">
        <v>180</v>
      </c>
      <c r="M253" t="s">
        <v>181</v>
      </c>
      <c r="N253" t="s">
        <v>41</v>
      </c>
      <c r="O253" t="s">
        <v>42</v>
      </c>
      <c r="P253" t="s">
        <v>863</v>
      </c>
      <c r="Q253" t="s">
        <v>31</v>
      </c>
      <c r="R253">
        <v>6</v>
      </c>
      <c r="S253">
        <v>1022.16</v>
      </c>
      <c r="T253">
        <v>0</v>
      </c>
      <c r="U253">
        <v>6132.96</v>
      </c>
      <c r="V253">
        <v>4881.1000000000004</v>
      </c>
      <c r="W253">
        <v>1251.8599999999999</v>
      </c>
      <c r="X253" t="s">
        <v>32</v>
      </c>
      <c r="Y253" t="s">
        <v>33</v>
      </c>
      <c r="Z253" t="str">
        <f t="shared" si="42"/>
        <v>Unique</v>
      </c>
      <c r="AA253" t="str">
        <f t="shared" si="43"/>
        <v>Unique</v>
      </c>
      <c r="AB253" t="str">
        <f t="shared" si="47"/>
        <v>OK</v>
      </c>
      <c r="AC253">
        <f t="shared" si="48"/>
        <v>0</v>
      </c>
      <c r="AD253" t="str">
        <f t="shared" si="49"/>
        <v>OK</v>
      </c>
      <c r="AE253">
        <f t="shared" si="50"/>
        <v>6132.96</v>
      </c>
      <c r="AF253">
        <f t="shared" si="51"/>
        <v>1251.8599999999997</v>
      </c>
      <c r="AG253">
        <f t="shared" si="52"/>
        <v>0.20412003339333692</v>
      </c>
      <c r="AH253" t="str">
        <f t="shared" si="44"/>
        <v>April</v>
      </c>
      <c r="AI253">
        <f t="shared" si="45"/>
        <v>2025</v>
      </c>
      <c r="AJ253" t="str">
        <f t="shared" si="53"/>
        <v>OK</v>
      </c>
      <c r="AK253" t="str">
        <f t="shared" si="54"/>
        <v>OK</v>
      </c>
      <c r="AL253" t="str">
        <f t="shared" si="55"/>
        <v>Include</v>
      </c>
      <c r="AM253" t="str">
        <f t="shared" si="46"/>
        <v>Clean</v>
      </c>
    </row>
    <row r="254" spans="1:39">
      <c r="A254" t="s">
        <v>864</v>
      </c>
      <c r="B254" s="4">
        <v>45833</v>
      </c>
      <c r="C254" s="4">
        <v>45836</v>
      </c>
      <c r="D254" s="6">
        <v>3</v>
      </c>
      <c r="E254" t="s">
        <v>2788</v>
      </c>
      <c r="F254" t="s">
        <v>2788</v>
      </c>
      <c r="G254" t="s">
        <v>2788</v>
      </c>
      <c r="H254" t="s">
        <v>865</v>
      </c>
      <c r="I254" t="s">
        <v>53</v>
      </c>
      <c r="J254" t="s">
        <v>90</v>
      </c>
      <c r="K254" t="s">
        <v>25</v>
      </c>
      <c r="L254" t="s">
        <v>236</v>
      </c>
      <c r="M254" t="s">
        <v>237</v>
      </c>
      <c r="N254" t="s">
        <v>28</v>
      </c>
      <c r="O254" t="s">
        <v>124</v>
      </c>
      <c r="P254" t="s">
        <v>866</v>
      </c>
      <c r="Q254" t="s">
        <v>50</v>
      </c>
      <c r="R254">
        <v>2</v>
      </c>
      <c r="S254">
        <v>1455.92</v>
      </c>
      <c r="T254">
        <v>0.2</v>
      </c>
      <c r="U254">
        <v>2329.4699999999998</v>
      </c>
      <c r="V254">
        <v>1603.62</v>
      </c>
      <c r="W254">
        <v>725.85</v>
      </c>
      <c r="X254" t="s">
        <v>111</v>
      </c>
      <c r="Y254" t="s">
        <v>103</v>
      </c>
      <c r="Z254" t="str">
        <f t="shared" si="42"/>
        <v>Unique</v>
      </c>
      <c r="AA254" t="str">
        <f t="shared" si="43"/>
        <v>Unique</v>
      </c>
      <c r="AB254" t="str">
        <f t="shared" si="47"/>
        <v>OK</v>
      </c>
      <c r="AC254">
        <f t="shared" si="48"/>
        <v>0.2</v>
      </c>
      <c r="AD254" t="str">
        <f t="shared" si="49"/>
        <v>OK</v>
      </c>
      <c r="AE254">
        <f t="shared" si="50"/>
        <v>2329.4720000000002</v>
      </c>
      <c r="AF254">
        <f t="shared" si="51"/>
        <v>725.85200000000032</v>
      </c>
      <c r="AG254">
        <f t="shared" si="52"/>
        <v>0.31159507390515973</v>
      </c>
      <c r="AH254" t="str">
        <f t="shared" si="44"/>
        <v>June</v>
      </c>
      <c r="AI254">
        <f t="shared" si="45"/>
        <v>2025</v>
      </c>
      <c r="AJ254" t="str">
        <f t="shared" si="53"/>
        <v>OK</v>
      </c>
      <c r="AK254" t="str">
        <f t="shared" si="54"/>
        <v>OK</v>
      </c>
      <c r="AL254" t="str">
        <f t="shared" si="55"/>
        <v>Exclude</v>
      </c>
      <c r="AM254" t="str">
        <f t="shared" si="46"/>
        <v>Clean</v>
      </c>
    </row>
    <row r="255" spans="1:39">
      <c r="A255" t="s">
        <v>867</v>
      </c>
      <c r="B255" s="4">
        <v>45547</v>
      </c>
      <c r="C255" s="4">
        <v>45548</v>
      </c>
      <c r="D255" s="6">
        <v>1</v>
      </c>
      <c r="E255" t="s">
        <v>2788</v>
      </c>
      <c r="F255" t="s">
        <v>2788</v>
      </c>
      <c r="G255" t="s">
        <v>2788</v>
      </c>
      <c r="H255" t="s">
        <v>868</v>
      </c>
      <c r="I255" t="s">
        <v>114</v>
      </c>
      <c r="J255" t="s">
        <v>37</v>
      </c>
      <c r="K255" t="s">
        <v>25</v>
      </c>
      <c r="L255" t="s">
        <v>26</v>
      </c>
      <c r="M255" t="s">
        <v>27</v>
      </c>
      <c r="N255" t="s">
        <v>74</v>
      </c>
      <c r="O255" t="s">
        <v>171</v>
      </c>
      <c r="P255" t="s">
        <v>869</v>
      </c>
      <c r="Q255" t="s">
        <v>44</v>
      </c>
      <c r="R255">
        <v>6</v>
      </c>
      <c r="S255">
        <v>832.79</v>
      </c>
      <c r="T255">
        <v>0.05</v>
      </c>
      <c r="U255">
        <v>4746.8999999999996</v>
      </c>
      <c r="V255">
        <v>2825.38</v>
      </c>
      <c r="W255">
        <v>1472.89</v>
      </c>
      <c r="X255" t="s">
        <v>102</v>
      </c>
      <c r="Y255" t="s">
        <v>68</v>
      </c>
      <c r="Z255" t="str">
        <f t="shared" si="42"/>
        <v>Unique</v>
      </c>
      <c r="AA255" t="str">
        <f t="shared" si="43"/>
        <v>Unique</v>
      </c>
      <c r="AB255" t="str">
        <f t="shared" si="47"/>
        <v>OK</v>
      </c>
      <c r="AC255">
        <f t="shared" si="48"/>
        <v>0.05</v>
      </c>
      <c r="AD255" t="str">
        <f t="shared" si="49"/>
        <v>OK</v>
      </c>
      <c r="AE255">
        <f t="shared" si="50"/>
        <v>4746.9029999999993</v>
      </c>
      <c r="AF255">
        <f t="shared" si="51"/>
        <v>1921.5229999999992</v>
      </c>
      <c r="AG255">
        <f t="shared" si="52"/>
        <v>0.40479508428969363</v>
      </c>
      <c r="AH255" t="str">
        <f t="shared" si="44"/>
        <v>September</v>
      </c>
      <c r="AI255">
        <f t="shared" si="45"/>
        <v>2024</v>
      </c>
      <c r="AJ255" t="str">
        <f t="shared" si="53"/>
        <v>OK</v>
      </c>
      <c r="AK255" t="str">
        <f t="shared" si="54"/>
        <v>Profit Mismatch</v>
      </c>
      <c r="AL255" t="str">
        <f t="shared" si="55"/>
        <v>Exclude</v>
      </c>
      <c r="AM255" t="str">
        <f t="shared" si="46"/>
        <v>Warning</v>
      </c>
    </row>
    <row r="256" spans="1:39">
      <c r="A256" t="s">
        <v>870</v>
      </c>
      <c r="B256" s="4">
        <v>45658</v>
      </c>
      <c r="C256" s="4">
        <v>45660</v>
      </c>
      <c r="D256" s="6">
        <v>2</v>
      </c>
      <c r="E256" t="s">
        <v>2788</v>
      </c>
      <c r="F256" t="s">
        <v>2788</v>
      </c>
      <c r="G256" t="s">
        <v>2788</v>
      </c>
      <c r="H256" t="s">
        <v>871</v>
      </c>
      <c r="I256" t="s">
        <v>62</v>
      </c>
      <c r="J256" t="s">
        <v>24</v>
      </c>
      <c r="K256" t="s">
        <v>63</v>
      </c>
      <c r="L256" t="s">
        <v>72</v>
      </c>
      <c r="M256" t="s">
        <v>73</v>
      </c>
      <c r="N256" t="s">
        <v>74</v>
      </c>
      <c r="O256" t="s">
        <v>75</v>
      </c>
      <c r="P256" t="s">
        <v>872</v>
      </c>
      <c r="Q256" t="s">
        <v>44</v>
      </c>
      <c r="R256">
        <v>7</v>
      </c>
      <c r="S256">
        <v>1000.55</v>
      </c>
      <c r="T256">
        <v>0.2</v>
      </c>
      <c r="U256">
        <v>5603.08</v>
      </c>
      <c r="V256">
        <v>3132.52</v>
      </c>
      <c r="W256">
        <v>2470.56</v>
      </c>
      <c r="X256" t="s">
        <v>32</v>
      </c>
      <c r="Y256" t="s">
        <v>103</v>
      </c>
      <c r="Z256" t="str">
        <f t="shared" si="42"/>
        <v>Unique</v>
      </c>
      <c r="AA256" t="str">
        <f t="shared" si="43"/>
        <v>Unique</v>
      </c>
      <c r="AB256" t="str">
        <f t="shared" si="47"/>
        <v>OK</v>
      </c>
      <c r="AC256">
        <f t="shared" si="48"/>
        <v>0.2</v>
      </c>
      <c r="AD256" t="str">
        <f t="shared" si="49"/>
        <v>OK</v>
      </c>
      <c r="AE256">
        <f t="shared" si="50"/>
        <v>5603.08</v>
      </c>
      <c r="AF256">
        <f t="shared" si="51"/>
        <v>2470.56</v>
      </c>
      <c r="AG256">
        <f t="shared" si="52"/>
        <v>0.44092891766671188</v>
      </c>
      <c r="AH256" t="str">
        <f t="shared" si="44"/>
        <v>January</v>
      </c>
      <c r="AI256">
        <f t="shared" si="45"/>
        <v>2025</v>
      </c>
      <c r="AJ256" t="str">
        <f t="shared" si="53"/>
        <v>OK</v>
      </c>
      <c r="AK256" t="str">
        <f t="shared" si="54"/>
        <v>OK</v>
      </c>
      <c r="AL256" t="str">
        <f t="shared" si="55"/>
        <v>Exclude</v>
      </c>
      <c r="AM256" t="str">
        <f t="shared" si="46"/>
        <v>Clean</v>
      </c>
    </row>
    <row r="257" spans="1:39">
      <c r="A257" t="s">
        <v>873</v>
      </c>
      <c r="B257" s="4">
        <v>45692</v>
      </c>
      <c r="C257" s="4">
        <v>45698</v>
      </c>
      <c r="D257" s="6">
        <v>6</v>
      </c>
      <c r="E257" t="s">
        <v>2788</v>
      </c>
      <c r="F257" t="s">
        <v>2788</v>
      </c>
      <c r="G257" t="s">
        <v>2788</v>
      </c>
      <c r="H257" t="s">
        <v>874</v>
      </c>
      <c r="I257" t="s">
        <v>47</v>
      </c>
      <c r="J257" t="s">
        <v>90</v>
      </c>
      <c r="K257" t="s">
        <v>63</v>
      </c>
      <c r="L257" t="s">
        <v>64</v>
      </c>
      <c r="M257" t="s">
        <v>65</v>
      </c>
      <c r="N257" t="s">
        <v>74</v>
      </c>
      <c r="O257" t="s">
        <v>171</v>
      </c>
      <c r="P257" t="s">
        <v>875</v>
      </c>
      <c r="Q257" t="s">
        <v>50</v>
      </c>
      <c r="R257">
        <v>7</v>
      </c>
      <c r="S257">
        <v>1830</v>
      </c>
      <c r="T257">
        <v>0</v>
      </c>
      <c r="U257">
        <v>12810</v>
      </c>
      <c r="V257">
        <v>9334.1200000000008</v>
      </c>
      <c r="W257">
        <v>3475.88</v>
      </c>
      <c r="X257" t="s">
        <v>32</v>
      </c>
      <c r="Y257" t="s">
        <v>33</v>
      </c>
      <c r="Z257" t="str">
        <f t="shared" si="42"/>
        <v>Unique</v>
      </c>
      <c r="AA257" t="str">
        <f t="shared" si="43"/>
        <v>Unique</v>
      </c>
      <c r="AB257" t="str">
        <f t="shared" si="47"/>
        <v>OK</v>
      </c>
      <c r="AC257">
        <f t="shared" si="48"/>
        <v>0</v>
      </c>
      <c r="AD257" t="str">
        <f t="shared" si="49"/>
        <v>OK</v>
      </c>
      <c r="AE257">
        <f t="shared" si="50"/>
        <v>12810</v>
      </c>
      <c r="AF257">
        <f t="shared" si="51"/>
        <v>3475.8799999999992</v>
      </c>
      <c r="AG257">
        <f t="shared" si="52"/>
        <v>0.27134113973458229</v>
      </c>
      <c r="AH257" t="str">
        <f t="shared" si="44"/>
        <v>February</v>
      </c>
      <c r="AI257">
        <f t="shared" si="45"/>
        <v>2025</v>
      </c>
      <c r="AJ257" t="str">
        <f t="shared" si="53"/>
        <v>OK</v>
      </c>
      <c r="AK257" t="str">
        <f t="shared" si="54"/>
        <v>OK</v>
      </c>
      <c r="AL257" t="str">
        <f t="shared" si="55"/>
        <v>Include</v>
      </c>
      <c r="AM257" t="str">
        <f t="shared" si="46"/>
        <v>Clean</v>
      </c>
    </row>
    <row r="258" spans="1:39">
      <c r="A258" t="s">
        <v>876</v>
      </c>
      <c r="B258" s="4">
        <v>45601</v>
      </c>
      <c r="C258" s="4">
        <v>45599</v>
      </c>
      <c r="D258" s="6">
        <v>-2</v>
      </c>
      <c r="E258" t="s">
        <v>2788</v>
      </c>
      <c r="F258" t="s">
        <v>2788</v>
      </c>
      <c r="G258" t="s">
        <v>2790</v>
      </c>
      <c r="H258" t="s">
        <v>877</v>
      </c>
      <c r="I258" t="s">
        <v>62</v>
      </c>
      <c r="J258" t="s">
        <v>24</v>
      </c>
      <c r="K258" t="s">
        <v>38</v>
      </c>
      <c r="L258" t="s">
        <v>99</v>
      </c>
      <c r="M258" t="s">
        <v>100</v>
      </c>
      <c r="N258" t="s">
        <v>41</v>
      </c>
      <c r="O258" t="s">
        <v>42</v>
      </c>
      <c r="P258" t="s">
        <v>878</v>
      </c>
      <c r="Q258" t="s">
        <v>50</v>
      </c>
      <c r="R258">
        <v>9</v>
      </c>
      <c r="S258">
        <v>2260.61</v>
      </c>
      <c r="T258">
        <v>0.05</v>
      </c>
      <c r="U258">
        <v>19328.22</v>
      </c>
      <c r="V258">
        <v>12039.5</v>
      </c>
      <c r="W258">
        <v>7288.72</v>
      </c>
      <c r="X258" t="s">
        <v>32</v>
      </c>
      <c r="Y258" t="s">
        <v>33</v>
      </c>
      <c r="Z258" t="str">
        <f t="shared" ref="Z258:Z321" si="56">IF(COUNTIFS($A:$A,A258,$B:$B,B258,$C:$C,C258,$H:$H,H258,$U:$U,U258,$W:$W,W258)&gt;1,"Exact Duplicate","Unique")</f>
        <v>Unique</v>
      </c>
      <c r="AA258" t="str">
        <f t="shared" ref="AA258:AA321" si="57">IF(COUNTIF($A:$A,A258)&gt;1,"Duplicate Order ID","Unique")</f>
        <v>Unique</v>
      </c>
      <c r="AB258" t="str">
        <f t="shared" si="47"/>
        <v>OK</v>
      </c>
      <c r="AC258">
        <f t="shared" si="48"/>
        <v>0.05</v>
      </c>
      <c r="AD258" t="str">
        <f t="shared" si="49"/>
        <v>OK</v>
      </c>
      <c r="AE258">
        <f t="shared" si="50"/>
        <v>19328.215500000002</v>
      </c>
      <c r="AF258">
        <f t="shared" si="51"/>
        <v>7288.7155000000021</v>
      </c>
      <c r="AG258">
        <f t="shared" si="52"/>
        <v>0.3771023507058891</v>
      </c>
      <c r="AH258" t="str">
        <f t="shared" ref="AH258:AH321" si="58">IFERROR(TEXT(B258,"mmmm"),"")</f>
        <v>November</v>
      </c>
      <c r="AI258">
        <f t="shared" ref="AI258:AI321" si="59">IFERROR(YEAR(B258),"")</f>
        <v>2024</v>
      </c>
      <c r="AJ258" t="str">
        <f t="shared" si="53"/>
        <v>OK</v>
      </c>
      <c r="AK258" t="str">
        <f t="shared" si="54"/>
        <v>OK</v>
      </c>
      <c r="AL258" t="str">
        <f t="shared" si="55"/>
        <v>Include</v>
      </c>
      <c r="AM258" t="str">
        <f t="shared" ref="AM258:AM321" si="60">IF(OR(E258&lt;&gt;"OK",F258&lt;&gt;"OK",AD258&lt;&gt;"OK",AB258="Conflicting Duplicate"),"Invalid",IF(OR(G258&lt;&gt;"OK",AJ258&lt;&gt;"OK",AK258&lt;&gt;"OK"),"Warning","Clean"))</f>
        <v>Warning</v>
      </c>
    </row>
    <row r="259" spans="1:39">
      <c r="A259" t="s">
        <v>879</v>
      </c>
      <c r="B259" s="4">
        <v>45878</v>
      </c>
      <c r="C259" s="4">
        <v>45881</v>
      </c>
      <c r="D259" s="6">
        <v>3</v>
      </c>
      <c r="E259" t="s">
        <v>2788</v>
      </c>
      <c r="F259" t="s">
        <v>2788</v>
      </c>
      <c r="G259" t="s">
        <v>2788</v>
      </c>
      <c r="H259" t="s">
        <v>880</v>
      </c>
      <c r="I259" t="s">
        <v>162</v>
      </c>
      <c r="J259" t="s">
        <v>90</v>
      </c>
      <c r="K259" t="s">
        <v>54</v>
      </c>
      <c r="L259" t="s">
        <v>175</v>
      </c>
      <c r="M259" t="s">
        <v>176</v>
      </c>
      <c r="N259" t="s">
        <v>74</v>
      </c>
      <c r="O259" t="s">
        <v>75</v>
      </c>
      <c r="P259" t="s">
        <v>881</v>
      </c>
      <c r="Q259" t="s">
        <v>31</v>
      </c>
      <c r="R259">
        <v>2</v>
      </c>
      <c r="S259">
        <v>3237.27</v>
      </c>
      <c r="T259">
        <v>0</v>
      </c>
      <c r="U259">
        <v>6474.54</v>
      </c>
      <c r="V259">
        <v>5095.91</v>
      </c>
      <c r="W259">
        <v>1378.63</v>
      </c>
      <c r="X259" t="s">
        <v>32</v>
      </c>
      <c r="Y259" t="s">
        <v>68</v>
      </c>
      <c r="Z259" t="str">
        <f t="shared" si="56"/>
        <v>Unique</v>
      </c>
      <c r="AA259" t="str">
        <f t="shared" si="57"/>
        <v>Unique</v>
      </c>
      <c r="AB259" t="str">
        <f t="shared" ref="AB259:AB322" si="61">IF(AND(AA259="Duplicate Order ID",Z259&lt;&gt;"Exact Duplicate"),"Conflicting Duplicate","OK")</f>
        <v>OK</v>
      </c>
      <c r="AC259">
        <f t="shared" ref="AC259:AC322" si="62">IF(OR(T259="",ISBLANK(T259)),0,T259)</f>
        <v>0</v>
      </c>
      <c r="AD259" t="str">
        <f t="shared" ref="AD259:AD322" si="63">IF(AC259&lt;0,"Invalid Negative Discount",IF(AC259&gt;1,"Invalid High Discount","OK"))</f>
        <v>OK</v>
      </c>
      <c r="AE259">
        <f t="shared" ref="AE259:AE322" si="64">R259*S259*(1-AC259)</f>
        <v>6474.54</v>
      </c>
      <c r="AF259">
        <f t="shared" ref="AF259:AF322" si="65">AE259-V259</f>
        <v>1378.63</v>
      </c>
      <c r="AG259">
        <f t="shared" ref="AG259:AG322" si="66">IF(AE259=0,0,AF259/AE259)</f>
        <v>0.21293095725719513</v>
      </c>
      <c r="AH259" t="str">
        <f t="shared" si="58"/>
        <v>August</v>
      </c>
      <c r="AI259">
        <f t="shared" si="59"/>
        <v>2025</v>
      </c>
      <c r="AJ259" t="str">
        <f t="shared" ref="AJ259:AJ322" si="67">IF(ABS(U259-AE259)&gt;1,"Sales Mismatch","OK")</f>
        <v>OK</v>
      </c>
      <c r="AK259" t="str">
        <f t="shared" ref="AK259:AK322" si="68">IF(ABS(W259-AF259)&gt;1,"Profit Mismatch","OK")</f>
        <v>OK</v>
      </c>
      <c r="AL259" t="str">
        <f t="shared" ref="AL259:AL322" si="69">IF(AND(X259="Paid",Y259="Completed"),"Include","Exclude")</f>
        <v>Exclude</v>
      </c>
      <c r="AM259" t="str">
        <f t="shared" si="60"/>
        <v>Clean</v>
      </c>
    </row>
    <row r="260" spans="1:39">
      <c r="A260" t="s">
        <v>882</v>
      </c>
      <c r="B260" s="4">
        <v>45656</v>
      </c>
      <c r="C260" s="4">
        <v>45661</v>
      </c>
      <c r="D260" s="6">
        <v>5</v>
      </c>
      <c r="E260" t="s">
        <v>2788</v>
      </c>
      <c r="F260" t="s">
        <v>2788</v>
      </c>
      <c r="G260" t="s">
        <v>2788</v>
      </c>
      <c r="H260" t="s">
        <v>883</v>
      </c>
      <c r="I260" t="s">
        <v>132</v>
      </c>
      <c r="J260" t="s">
        <v>90</v>
      </c>
      <c r="K260" t="s">
        <v>54</v>
      </c>
      <c r="L260" t="s">
        <v>247</v>
      </c>
      <c r="M260" t="s">
        <v>248</v>
      </c>
      <c r="N260" t="s">
        <v>41</v>
      </c>
      <c r="O260" t="s">
        <v>42</v>
      </c>
      <c r="P260" t="s">
        <v>884</v>
      </c>
      <c r="Q260" t="s">
        <v>44</v>
      </c>
      <c r="R260">
        <v>2</v>
      </c>
      <c r="S260">
        <v>3720.07</v>
      </c>
      <c r="T260">
        <v>0.25</v>
      </c>
      <c r="U260">
        <v>5580.11</v>
      </c>
      <c r="V260">
        <v>4307.01</v>
      </c>
      <c r="W260">
        <v>1273.0999999999999</v>
      </c>
      <c r="X260" t="s">
        <v>32</v>
      </c>
      <c r="Y260" t="s">
        <v>33</v>
      </c>
      <c r="Z260" t="str">
        <f t="shared" si="56"/>
        <v>Unique</v>
      </c>
      <c r="AA260" t="str">
        <f t="shared" si="57"/>
        <v>Unique</v>
      </c>
      <c r="AB260" t="str">
        <f t="shared" si="61"/>
        <v>OK</v>
      </c>
      <c r="AC260">
        <f t="shared" si="62"/>
        <v>0.25</v>
      </c>
      <c r="AD260" t="str">
        <f t="shared" si="63"/>
        <v>OK</v>
      </c>
      <c r="AE260">
        <f t="shared" si="64"/>
        <v>5580.1050000000005</v>
      </c>
      <c r="AF260">
        <f t="shared" si="65"/>
        <v>1273.0950000000003</v>
      </c>
      <c r="AG260">
        <f t="shared" si="66"/>
        <v>0.22814893268137429</v>
      </c>
      <c r="AH260" t="str">
        <f t="shared" si="58"/>
        <v>December</v>
      </c>
      <c r="AI260">
        <f t="shared" si="59"/>
        <v>2024</v>
      </c>
      <c r="AJ260" t="str">
        <f t="shared" si="67"/>
        <v>OK</v>
      </c>
      <c r="AK260" t="str">
        <f t="shared" si="68"/>
        <v>OK</v>
      </c>
      <c r="AL260" t="str">
        <f t="shared" si="69"/>
        <v>Include</v>
      </c>
      <c r="AM260" t="str">
        <f t="shared" si="60"/>
        <v>Clean</v>
      </c>
    </row>
    <row r="261" spans="1:39">
      <c r="A261" t="s">
        <v>885</v>
      </c>
      <c r="B261" s="4">
        <v>45464</v>
      </c>
      <c r="C261" s="4">
        <v>45472</v>
      </c>
      <c r="D261" s="6">
        <v>8</v>
      </c>
      <c r="E261" t="s">
        <v>2788</v>
      </c>
      <c r="F261" t="s">
        <v>2788</v>
      </c>
      <c r="G261" t="s">
        <v>2788</v>
      </c>
      <c r="H261" t="s">
        <v>886</v>
      </c>
      <c r="I261" t="s">
        <v>79</v>
      </c>
      <c r="J261" t="s">
        <v>24</v>
      </c>
      <c r="K261" t="s">
        <v>54</v>
      </c>
      <c r="L261" t="s">
        <v>247</v>
      </c>
      <c r="M261" t="s">
        <v>248</v>
      </c>
      <c r="N261" t="s">
        <v>74</v>
      </c>
      <c r="O261" t="s">
        <v>274</v>
      </c>
      <c r="P261" t="s">
        <v>887</v>
      </c>
      <c r="Q261" t="s">
        <v>59</v>
      </c>
      <c r="R261">
        <v>8</v>
      </c>
      <c r="S261">
        <v>2853.92</v>
      </c>
      <c r="T261">
        <v>0.2</v>
      </c>
      <c r="U261">
        <v>18265.09</v>
      </c>
      <c r="V261">
        <v>10437.14</v>
      </c>
      <c r="W261">
        <v>7827.95</v>
      </c>
      <c r="X261" t="s">
        <v>32</v>
      </c>
      <c r="Y261" t="s">
        <v>33</v>
      </c>
      <c r="Z261" t="str">
        <f t="shared" si="56"/>
        <v>Unique</v>
      </c>
      <c r="AA261" t="str">
        <f t="shared" si="57"/>
        <v>Unique</v>
      </c>
      <c r="AB261" t="str">
        <f t="shared" si="61"/>
        <v>OK</v>
      </c>
      <c r="AC261">
        <f t="shared" si="62"/>
        <v>0.2</v>
      </c>
      <c r="AD261" t="str">
        <f t="shared" si="63"/>
        <v>OK</v>
      </c>
      <c r="AE261">
        <f t="shared" si="64"/>
        <v>18265.088</v>
      </c>
      <c r="AF261">
        <f t="shared" si="65"/>
        <v>7827.9480000000003</v>
      </c>
      <c r="AG261">
        <f t="shared" si="66"/>
        <v>0.42857433810338064</v>
      </c>
      <c r="AH261" t="str">
        <f t="shared" si="58"/>
        <v>June</v>
      </c>
      <c r="AI261">
        <f t="shared" si="59"/>
        <v>2024</v>
      </c>
      <c r="AJ261" t="str">
        <f t="shared" si="67"/>
        <v>OK</v>
      </c>
      <c r="AK261" t="str">
        <f t="shared" si="68"/>
        <v>OK</v>
      </c>
      <c r="AL261" t="str">
        <f t="shared" si="69"/>
        <v>Include</v>
      </c>
      <c r="AM261" t="str">
        <f t="shared" si="60"/>
        <v>Clean</v>
      </c>
    </row>
    <row r="262" spans="1:39">
      <c r="A262" t="s">
        <v>888</v>
      </c>
      <c r="B262" s="4">
        <v>45923</v>
      </c>
      <c r="C262" s="4">
        <v>45927</v>
      </c>
      <c r="D262" s="6">
        <v>4</v>
      </c>
      <c r="E262" t="s">
        <v>2788</v>
      </c>
      <c r="F262" t="s">
        <v>2788</v>
      </c>
      <c r="G262" t="s">
        <v>2788</v>
      </c>
      <c r="H262" t="s">
        <v>889</v>
      </c>
      <c r="I262" t="s">
        <v>89</v>
      </c>
      <c r="J262" t="s">
        <v>90</v>
      </c>
      <c r="K262" t="s">
        <v>38</v>
      </c>
      <c r="L262" t="s">
        <v>99</v>
      </c>
      <c r="M262" t="s">
        <v>100</v>
      </c>
      <c r="N262" t="s">
        <v>28</v>
      </c>
      <c r="O262" t="s">
        <v>153</v>
      </c>
      <c r="P262" t="s">
        <v>890</v>
      </c>
      <c r="Q262" t="s">
        <v>44</v>
      </c>
      <c r="R262">
        <v>7</v>
      </c>
      <c r="S262">
        <v>2897.12</v>
      </c>
      <c r="T262">
        <v>0.25</v>
      </c>
      <c r="U262">
        <v>15209.88</v>
      </c>
      <c r="V262">
        <v>10891.15</v>
      </c>
      <c r="W262">
        <v>4318.7299999999996</v>
      </c>
      <c r="X262" t="s">
        <v>155</v>
      </c>
      <c r="Y262" t="s">
        <v>103</v>
      </c>
      <c r="Z262" t="str">
        <f t="shared" si="56"/>
        <v>Unique</v>
      </c>
      <c r="AA262" t="str">
        <f t="shared" si="57"/>
        <v>Unique</v>
      </c>
      <c r="AB262" t="str">
        <f t="shared" si="61"/>
        <v>OK</v>
      </c>
      <c r="AC262">
        <f t="shared" si="62"/>
        <v>0.25</v>
      </c>
      <c r="AD262" t="str">
        <f t="shared" si="63"/>
        <v>OK</v>
      </c>
      <c r="AE262">
        <f t="shared" si="64"/>
        <v>15209.880000000001</v>
      </c>
      <c r="AF262">
        <f t="shared" si="65"/>
        <v>4318.7300000000014</v>
      </c>
      <c r="AG262">
        <f t="shared" si="66"/>
        <v>0.28394241111698454</v>
      </c>
      <c r="AH262" t="str">
        <f t="shared" si="58"/>
        <v>September</v>
      </c>
      <c r="AI262">
        <f t="shared" si="59"/>
        <v>2025</v>
      </c>
      <c r="AJ262" t="str">
        <f t="shared" si="67"/>
        <v>OK</v>
      </c>
      <c r="AK262" t="str">
        <f t="shared" si="68"/>
        <v>OK</v>
      </c>
      <c r="AL262" t="str">
        <f t="shared" si="69"/>
        <v>Exclude</v>
      </c>
      <c r="AM262" t="str">
        <f t="shared" si="60"/>
        <v>Clean</v>
      </c>
    </row>
    <row r="263" spans="1:39">
      <c r="A263" t="s">
        <v>891</v>
      </c>
      <c r="B263" s="4">
        <v>45826</v>
      </c>
      <c r="C263" s="4">
        <v>45832</v>
      </c>
      <c r="D263" s="6">
        <v>6</v>
      </c>
      <c r="E263" t="s">
        <v>2788</v>
      </c>
      <c r="F263" t="s">
        <v>2788</v>
      </c>
      <c r="G263" t="s">
        <v>2788</v>
      </c>
      <c r="H263" t="s">
        <v>892</v>
      </c>
      <c r="I263" t="s">
        <v>132</v>
      </c>
      <c r="J263" t="s">
        <v>90</v>
      </c>
      <c r="K263" t="s">
        <v>25</v>
      </c>
      <c r="L263" t="s">
        <v>26</v>
      </c>
      <c r="M263" t="s">
        <v>27</v>
      </c>
      <c r="N263" t="s">
        <v>28</v>
      </c>
      <c r="O263" t="s">
        <v>91</v>
      </c>
      <c r="P263" t="s">
        <v>893</v>
      </c>
      <c r="Q263" t="s">
        <v>59</v>
      </c>
      <c r="R263">
        <v>3</v>
      </c>
      <c r="S263">
        <v>686.74</v>
      </c>
      <c r="T263">
        <v>0.2</v>
      </c>
      <c r="U263">
        <v>1648.18</v>
      </c>
      <c r="V263">
        <v>987.91</v>
      </c>
      <c r="W263">
        <v>660.27</v>
      </c>
      <c r="X263" t="s">
        <v>155</v>
      </c>
      <c r="Y263" t="s">
        <v>68</v>
      </c>
      <c r="Z263" t="str">
        <f t="shared" si="56"/>
        <v>Unique</v>
      </c>
      <c r="AA263" t="str">
        <f t="shared" si="57"/>
        <v>Unique</v>
      </c>
      <c r="AB263" t="str">
        <f t="shared" si="61"/>
        <v>OK</v>
      </c>
      <c r="AC263">
        <f t="shared" si="62"/>
        <v>0.2</v>
      </c>
      <c r="AD263" t="str">
        <f t="shared" si="63"/>
        <v>OK</v>
      </c>
      <c r="AE263">
        <f t="shared" si="64"/>
        <v>1648.1760000000004</v>
      </c>
      <c r="AF263">
        <f t="shared" si="65"/>
        <v>660.26600000000042</v>
      </c>
      <c r="AG263">
        <f t="shared" si="66"/>
        <v>0.40060406170214846</v>
      </c>
      <c r="AH263" t="str">
        <f t="shared" si="58"/>
        <v>June</v>
      </c>
      <c r="AI263">
        <f t="shared" si="59"/>
        <v>2025</v>
      </c>
      <c r="AJ263" t="str">
        <f t="shared" si="67"/>
        <v>OK</v>
      </c>
      <c r="AK263" t="str">
        <f t="shared" si="68"/>
        <v>OK</v>
      </c>
      <c r="AL263" t="str">
        <f t="shared" si="69"/>
        <v>Exclude</v>
      </c>
      <c r="AM263" t="str">
        <f t="shared" si="60"/>
        <v>Clean</v>
      </c>
    </row>
    <row r="264" spans="1:39">
      <c r="A264" t="s">
        <v>894</v>
      </c>
      <c r="B264" s="4">
        <v>45803</v>
      </c>
      <c r="C264" s="4">
        <v>45809</v>
      </c>
      <c r="D264" s="6">
        <v>6</v>
      </c>
      <c r="E264" t="s">
        <v>2788</v>
      </c>
      <c r="F264" t="s">
        <v>2788</v>
      </c>
      <c r="G264" t="s">
        <v>2788</v>
      </c>
      <c r="H264" t="s">
        <v>629</v>
      </c>
      <c r="I264" t="s">
        <v>53</v>
      </c>
      <c r="J264" t="s">
        <v>37</v>
      </c>
      <c r="K264" t="s">
        <v>25</v>
      </c>
      <c r="L264" t="s">
        <v>350</v>
      </c>
      <c r="M264" t="s">
        <v>351</v>
      </c>
      <c r="N264" t="s">
        <v>74</v>
      </c>
      <c r="O264" t="s">
        <v>171</v>
      </c>
      <c r="P264" t="s">
        <v>895</v>
      </c>
      <c r="Q264" t="s">
        <v>44</v>
      </c>
      <c r="R264">
        <v>4</v>
      </c>
      <c r="S264">
        <v>3349.86</v>
      </c>
      <c r="T264">
        <v>0</v>
      </c>
      <c r="U264">
        <v>13399.44</v>
      </c>
      <c r="V264">
        <v>8581.35</v>
      </c>
      <c r="W264">
        <v>4818.09</v>
      </c>
      <c r="X264" t="s">
        <v>111</v>
      </c>
      <c r="Y264" t="s">
        <v>103</v>
      </c>
      <c r="Z264" t="str">
        <f t="shared" si="56"/>
        <v>Unique</v>
      </c>
      <c r="AA264" t="str">
        <f t="shared" si="57"/>
        <v>Unique</v>
      </c>
      <c r="AB264" t="str">
        <f t="shared" si="61"/>
        <v>OK</v>
      </c>
      <c r="AC264">
        <f t="shared" si="62"/>
        <v>0</v>
      </c>
      <c r="AD264" t="str">
        <f t="shared" si="63"/>
        <v>OK</v>
      </c>
      <c r="AE264">
        <f t="shared" si="64"/>
        <v>13399.44</v>
      </c>
      <c r="AF264">
        <f t="shared" si="65"/>
        <v>4818.09</v>
      </c>
      <c r="AG264">
        <f t="shared" si="66"/>
        <v>0.3595739821962709</v>
      </c>
      <c r="AH264" t="str">
        <f t="shared" si="58"/>
        <v>May</v>
      </c>
      <c r="AI264">
        <f t="shared" si="59"/>
        <v>2025</v>
      </c>
      <c r="AJ264" t="str">
        <f t="shared" si="67"/>
        <v>OK</v>
      </c>
      <c r="AK264" t="str">
        <f t="shared" si="68"/>
        <v>OK</v>
      </c>
      <c r="AL264" t="str">
        <f t="shared" si="69"/>
        <v>Exclude</v>
      </c>
      <c r="AM264" t="str">
        <f t="shared" si="60"/>
        <v>Clean</v>
      </c>
    </row>
    <row r="265" spans="1:39">
      <c r="A265" t="s">
        <v>896</v>
      </c>
      <c r="B265" s="4">
        <v>45875</v>
      </c>
      <c r="C265" s="4">
        <v>45879</v>
      </c>
      <c r="D265" s="6">
        <v>4</v>
      </c>
      <c r="E265" t="s">
        <v>2788</v>
      </c>
      <c r="F265" t="s">
        <v>2788</v>
      </c>
      <c r="G265" t="s">
        <v>2788</v>
      </c>
      <c r="H265" t="s">
        <v>897</v>
      </c>
      <c r="I265" t="s">
        <v>141</v>
      </c>
      <c r="J265" t="s">
        <v>37</v>
      </c>
      <c r="K265" t="s">
        <v>25</v>
      </c>
      <c r="L265" t="s">
        <v>350</v>
      </c>
      <c r="M265" t="s">
        <v>351</v>
      </c>
      <c r="N265" t="s">
        <v>28</v>
      </c>
      <c r="O265" t="s">
        <v>153</v>
      </c>
      <c r="P265" t="s">
        <v>898</v>
      </c>
      <c r="Q265" t="s">
        <v>31</v>
      </c>
      <c r="R265">
        <v>9</v>
      </c>
      <c r="S265">
        <v>4042.45</v>
      </c>
      <c r="T265">
        <v>0.1</v>
      </c>
      <c r="U265">
        <v>32743.84</v>
      </c>
      <c r="V265">
        <v>22452.05</v>
      </c>
      <c r="W265">
        <v>10291.790000000001</v>
      </c>
      <c r="X265" t="s">
        <v>111</v>
      </c>
      <c r="Y265" t="s">
        <v>103</v>
      </c>
      <c r="Z265" t="str">
        <f t="shared" si="56"/>
        <v>Unique</v>
      </c>
      <c r="AA265" t="str">
        <f t="shared" si="57"/>
        <v>Unique</v>
      </c>
      <c r="AB265" t="str">
        <f t="shared" si="61"/>
        <v>OK</v>
      </c>
      <c r="AC265">
        <f t="shared" si="62"/>
        <v>0.1</v>
      </c>
      <c r="AD265" t="str">
        <f t="shared" si="63"/>
        <v>OK</v>
      </c>
      <c r="AE265">
        <f t="shared" si="64"/>
        <v>32743.844999999998</v>
      </c>
      <c r="AF265">
        <f t="shared" si="65"/>
        <v>10291.794999999998</v>
      </c>
      <c r="AG265">
        <f t="shared" si="66"/>
        <v>0.314312353970647</v>
      </c>
      <c r="AH265" t="str">
        <f t="shared" si="58"/>
        <v>August</v>
      </c>
      <c r="AI265">
        <f t="shared" si="59"/>
        <v>2025</v>
      </c>
      <c r="AJ265" t="str">
        <f t="shared" si="67"/>
        <v>OK</v>
      </c>
      <c r="AK265" t="str">
        <f t="shared" si="68"/>
        <v>OK</v>
      </c>
      <c r="AL265" t="str">
        <f t="shared" si="69"/>
        <v>Exclude</v>
      </c>
      <c r="AM265" t="str">
        <f t="shared" si="60"/>
        <v>Clean</v>
      </c>
    </row>
    <row r="266" spans="1:39">
      <c r="A266" t="s">
        <v>899</v>
      </c>
      <c r="B266" s="4">
        <v>45428</v>
      </c>
      <c r="C266" s="4">
        <v>45433</v>
      </c>
      <c r="D266" s="6">
        <v>5</v>
      </c>
      <c r="E266" t="s">
        <v>2788</v>
      </c>
      <c r="F266" t="s">
        <v>2788</v>
      </c>
      <c r="G266" t="s">
        <v>2788</v>
      </c>
      <c r="H266" t="s">
        <v>900</v>
      </c>
      <c r="I266" t="s">
        <v>162</v>
      </c>
      <c r="J266" t="s">
        <v>37</v>
      </c>
      <c r="K266" t="s">
        <v>38</v>
      </c>
      <c r="L266" t="s">
        <v>145</v>
      </c>
      <c r="M266" t="s">
        <v>146</v>
      </c>
      <c r="N266" t="s">
        <v>74</v>
      </c>
      <c r="O266" t="s">
        <v>80</v>
      </c>
      <c r="P266" t="s">
        <v>901</v>
      </c>
      <c r="Q266" t="s">
        <v>59</v>
      </c>
      <c r="R266">
        <v>4</v>
      </c>
      <c r="S266">
        <v>1503.07</v>
      </c>
      <c r="T266">
        <v>0</v>
      </c>
      <c r="U266">
        <v>6012.28</v>
      </c>
      <c r="V266">
        <v>3927.64</v>
      </c>
      <c r="W266">
        <v>2084.64</v>
      </c>
      <c r="X266" t="s">
        <v>32</v>
      </c>
      <c r="Y266" t="s">
        <v>33</v>
      </c>
      <c r="Z266" t="str">
        <f t="shared" si="56"/>
        <v>Unique</v>
      </c>
      <c r="AA266" t="str">
        <f t="shared" si="57"/>
        <v>Unique</v>
      </c>
      <c r="AB266" t="str">
        <f t="shared" si="61"/>
        <v>OK</v>
      </c>
      <c r="AC266">
        <f t="shared" si="62"/>
        <v>0</v>
      </c>
      <c r="AD266" t="str">
        <f t="shared" si="63"/>
        <v>OK</v>
      </c>
      <c r="AE266">
        <f t="shared" si="64"/>
        <v>6012.28</v>
      </c>
      <c r="AF266">
        <f t="shared" si="65"/>
        <v>2084.64</v>
      </c>
      <c r="AG266">
        <f t="shared" si="66"/>
        <v>0.34673035853286938</v>
      </c>
      <c r="AH266" t="str">
        <f t="shared" si="58"/>
        <v>May</v>
      </c>
      <c r="AI266">
        <f t="shared" si="59"/>
        <v>2024</v>
      </c>
      <c r="AJ266" t="str">
        <f t="shared" si="67"/>
        <v>OK</v>
      </c>
      <c r="AK266" t="str">
        <f t="shared" si="68"/>
        <v>OK</v>
      </c>
      <c r="AL266" t="str">
        <f t="shared" si="69"/>
        <v>Include</v>
      </c>
      <c r="AM266" t="str">
        <f t="shared" si="60"/>
        <v>Clean</v>
      </c>
    </row>
    <row r="267" spans="1:39">
      <c r="A267" t="s">
        <v>902</v>
      </c>
      <c r="B267" s="4">
        <v>45610</v>
      </c>
      <c r="C267" s="4">
        <v>45618</v>
      </c>
      <c r="D267" s="6">
        <v>8</v>
      </c>
      <c r="E267" t="s">
        <v>2788</v>
      </c>
      <c r="F267" t="s">
        <v>2788</v>
      </c>
      <c r="G267" t="s">
        <v>2788</v>
      </c>
      <c r="H267" t="s">
        <v>903</v>
      </c>
      <c r="I267" t="s">
        <v>114</v>
      </c>
      <c r="J267" t="s">
        <v>90</v>
      </c>
      <c r="K267" t="s">
        <v>38</v>
      </c>
      <c r="L267" t="s">
        <v>145</v>
      </c>
      <c r="M267" t="s">
        <v>146</v>
      </c>
      <c r="N267" t="s">
        <v>41</v>
      </c>
      <c r="O267" t="s">
        <v>158</v>
      </c>
      <c r="P267" t="s">
        <v>904</v>
      </c>
      <c r="Q267" t="s">
        <v>44</v>
      </c>
      <c r="R267">
        <v>1</v>
      </c>
      <c r="S267">
        <v>582.37</v>
      </c>
      <c r="T267">
        <v>0.15</v>
      </c>
      <c r="U267">
        <v>495.01</v>
      </c>
      <c r="V267">
        <v>285.13</v>
      </c>
      <c r="W267">
        <v>209.88</v>
      </c>
      <c r="X267" t="s">
        <v>102</v>
      </c>
      <c r="Y267" t="s">
        <v>68</v>
      </c>
      <c r="Z267" t="str">
        <f t="shared" si="56"/>
        <v>Unique</v>
      </c>
      <c r="AA267" t="str">
        <f t="shared" si="57"/>
        <v>Unique</v>
      </c>
      <c r="AB267" t="str">
        <f t="shared" si="61"/>
        <v>OK</v>
      </c>
      <c r="AC267">
        <f t="shared" si="62"/>
        <v>0.15</v>
      </c>
      <c r="AD267" t="str">
        <f t="shared" si="63"/>
        <v>OK</v>
      </c>
      <c r="AE267">
        <f t="shared" si="64"/>
        <v>495.0145</v>
      </c>
      <c r="AF267">
        <f t="shared" si="65"/>
        <v>209.8845</v>
      </c>
      <c r="AG267">
        <f t="shared" si="66"/>
        <v>0.42399667080459258</v>
      </c>
      <c r="AH267" t="str">
        <f t="shared" si="58"/>
        <v>November</v>
      </c>
      <c r="AI267">
        <f t="shared" si="59"/>
        <v>2024</v>
      </c>
      <c r="AJ267" t="str">
        <f t="shared" si="67"/>
        <v>OK</v>
      </c>
      <c r="AK267" t="str">
        <f t="shared" si="68"/>
        <v>OK</v>
      </c>
      <c r="AL267" t="str">
        <f t="shared" si="69"/>
        <v>Exclude</v>
      </c>
      <c r="AM267" t="str">
        <f t="shared" si="60"/>
        <v>Clean</v>
      </c>
    </row>
    <row r="268" spans="1:39">
      <c r="A268" t="s">
        <v>905</v>
      </c>
      <c r="B268" s="4">
        <v>45780</v>
      </c>
      <c r="C268" s="4">
        <v>45787</v>
      </c>
      <c r="D268" s="6">
        <v>7</v>
      </c>
      <c r="E268" t="s">
        <v>2788</v>
      </c>
      <c r="F268" t="s">
        <v>2788</v>
      </c>
      <c r="G268" t="s">
        <v>2788</v>
      </c>
      <c r="H268" t="s">
        <v>906</v>
      </c>
      <c r="I268" t="s">
        <v>79</v>
      </c>
      <c r="J268" t="s">
        <v>95</v>
      </c>
      <c r="K268" t="s">
        <v>63</v>
      </c>
      <c r="L268" t="s">
        <v>64</v>
      </c>
      <c r="M268" t="s">
        <v>65</v>
      </c>
      <c r="N268" t="s">
        <v>28</v>
      </c>
      <c r="O268" t="s">
        <v>124</v>
      </c>
      <c r="P268" t="s">
        <v>907</v>
      </c>
      <c r="Q268" t="s">
        <v>31</v>
      </c>
      <c r="R268">
        <v>3</v>
      </c>
      <c r="S268">
        <v>4339.24</v>
      </c>
      <c r="T268">
        <v>0</v>
      </c>
      <c r="U268">
        <v>13017.72</v>
      </c>
      <c r="V268">
        <v>10170.57</v>
      </c>
      <c r="W268">
        <v>2847.15</v>
      </c>
      <c r="X268" t="s">
        <v>32</v>
      </c>
      <c r="Y268" t="s">
        <v>33</v>
      </c>
      <c r="Z268" t="str">
        <f t="shared" si="56"/>
        <v>Unique</v>
      </c>
      <c r="AA268" t="str">
        <f t="shared" si="57"/>
        <v>Unique</v>
      </c>
      <c r="AB268" t="str">
        <f t="shared" si="61"/>
        <v>OK</v>
      </c>
      <c r="AC268">
        <f t="shared" si="62"/>
        <v>0</v>
      </c>
      <c r="AD268" t="str">
        <f t="shared" si="63"/>
        <v>OK</v>
      </c>
      <c r="AE268">
        <f t="shared" si="64"/>
        <v>13017.72</v>
      </c>
      <c r="AF268">
        <f t="shared" si="65"/>
        <v>2847.1499999999996</v>
      </c>
      <c r="AG268">
        <f t="shared" si="66"/>
        <v>0.21871341525244051</v>
      </c>
      <c r="AH268" t="str">
        <f t="shared" si="58"/>
        <v>May</v>
      </c>
      <c r="AI268">
        <f t="shared" si="59"/>
        <v>2025</v>
      </c>
      <c r="AJ268" t="str">
        <f t="shared" si="67"/>
        <v>OK</v>
      </c>
      <c r="AK268" t="str">
        <f t="shared" si="68"/>
        <v>OK</v>
      </c>
      <c r="AL268" t="str">
        <f t="shared" si="69"/>
        <v>Include</v>
      </c>
      <c r="AM268" t="str">
        <f t="shared" si="60"/>
        <v>Clean</v>
      </c>
    </row>
    <row r="269" spans="1:39">
      <c r="A269" t="s">
        <v>908</v>
      </c>
      <c r="B269" s="4">
        <v>45805</v>
      </c>
      <c r="C269" s="4">
        <v>45812</v>
      </c>
      <c r="D269" s="6">
        <v>7</v>
      </c>
      <c r="E269" t="s">
        <v>2788</v>
      </c>
      <c r="F269" t="s">
        <v>2788</v>
      </c>
      <c r="G269" t="s">
        <v>2788</v>
      </c>
      <c r="H269" t="s">
        <v>909</v>
      </c>
      <c r="I269" t="s">
        <v>162</v>
      </c>
      <c r="J269" t="s">
        <v>90</v>
      </c>
      <c r="K269" t="s">
        <v>38</v>
      </c>
      <c r="L269" t="s">
        <v>228</v>
      </c>
      <c r="M269" t="s">
        <v>229</v>
      </c>
      <c r="N269" t="s">
        <v>41</v>
      </c>
      <c r="O269" t="s">
        <v>57</v>
      </c>
      <c r="P269" t="s">
        <v>910</v>
      </c>
      <c r="Q269" t="s">
        <v>50</v>
      </c>
      <c r="R269">
        <v>4</v>
      </c>
      <c r="S269">
        <v>261.8</v>
      </c>
      <c r="T269">
        <v>0.25</v>
      </c>
      <c r="U269">
        <v>785.4</v>
      </c>
      <c r="V269">
        <v>557.22</v>
      </c>
      <c r="W269">
        <v>228.18</v>
      </c>
      <c r="X269" t="s">
        <v>32</v>
      </c>
      <c r="Y269" t="s">
        <v>33</v>
      </c>
      <c r="Z269" t="str">
        <f t="shared" si="56"/>
        <v>Unique</v>
      </c>
      <c r="AA269" t="str">
        <f t="shared" si="57"/>
        <v>Unique</v>
      </c>
      <c r="AB269" t="str">
        <f t="shared" si="61"/>
        <v>OK</v>
      </c>
      <c r="AC269">
        <f t="shared" si="62"/>
        <v>0.25</v>
      </c>
      <c r="AD269" t="str">
        <f t="shared" si="63"/>
        <v>OK</v>
      </c>
      <c r="AE269">
        <f t="shared" si="64"/>
        <v>785.40000000000009</v>
      </c>
      <c r="AF269">
        <f t="shared" si="65"/>
        <v>228.18000000000006</v>
      </c>
      <c r="AG269">
        <f t="shared" si="66"/>
        <v>0.29052711993888469</v>
      </c>
      <c r="AH269" t="str">
        <f t="shared" si="58"/>
        <v>May</v>
      </c>
      <c r="AI269">
        <f t="shared" si="59"/>
        <v>2025</v>
      </c>
      <c r="AJ269" t="str">
        <f t="shared" si="67"/>
        <v>OK</v>
      </c>
      <c r="AK269" t="str">
        <f t="shared" si="68"/>
        <v>OK</v>
      </c>
      <c r="AL269" t="str">
        <f t="shared" si="69"/>
        <v>Include</v>
      </c>
      <c r="AM269" t="str">
        <f t="shared" si="60"/>
        <v>Clean</v>
      </c>
    </row>
    <row r="270" spans="1:39">
      <c r="A270" t="s">
        <v>911</v>
      </c>
      <c r="B270" s="4">
        <v>45886</v>
      </c>
      <c r="C270" s="4">
        <v>45886</v>
      </c>
      <c r="D270" s="6">
        <v>0</v>
      </c>
      <c r="E270" t="s">
        <v>2788</v>
      </c>
      <c r="F270" t="s">
        <v>2788</v>
      </c>
      <c r="G270" t="s">
        <v>2788</v>
      </c>
      <c r="H270" t="s">
        <v>912</v>
      </c>
      <c r="I270" t="s">
        <v>128</v>
      </c>
      <c r="J270" t="s">
        <v>95</v>
      </c>
      <c r="K270" t="s">
        <v>25</v>
      </c>
      <c r="L270" t="s">
        <v>122</v>
      </c>
      <c r="M270" t="s">
        <v>123</v>
      </c>
      <c r="N270" t="s">
        <v>74</v>
      </c>
      <c r="O270" t="s">
        <v>75</v>
      </c>
      <c r="P270" t="s">
        <v>913</v>
      </c>
      <c r="Q270" t="s">
        <v>50</v>
      </c>
      <c r="R270">
        <v>7</v>
      </c>
      <c r="S270">
        <v>632.20000000000005</v>
      </c>
      <c r="T270">
        <v>0.25</v>
      </c>
      <c r="U270">
        <v>3319.05</v>
      </c>
      <c r="V270">
        <v>2124.6</v>
      </c>
      <c r="W270">
        <v>1194.45</v>
      </c>
      <c r="X270" t="s">
        <v>32</v>
      </c>
      <c r="Y270" t="s">
        <v>33</v>
      </c>
      <c r="Z270" t="str">
        <f t="shared" si="56"/>
        <v>Unique</v>
      </c>
      <c r="AA270" t="str">
        <f t="shared" si="57"/>
        <v>Unique</v>
      </c>
      <c r="AB270" t="str">
        <f t="shared" si="61"/>
        <v>OK</v>
      </c>
      <c r="AC270">
        <f t="shared" si="62"/>
        <v>0.25</v>
      </c>
      <c r="AD270" t="str">
        <f t="shared" si="63"/>
        <v>OK</v>
      </c>
      <c r="AE270">
        <f t="shared" si="64"/>
        <v>3319.05</v>
      </c>
      <c r="AF270">
        <f t="shared" si="65"/>
        <v>1194.4500000000003</v>
      </c>
      <c r="AG270">
        <f t="shared" si="66"/>
        <v>0.35987707325891449</v>
      </c>
      <c r="AH270" t="str">
        <f t="shared" si="58"/>
        <v>August</v>
      </c>
      <c r="AI270">
        <f t="shared" si="59"/>
        <v>2025</v>
      </c>
      <c r="AJ270" t="str">
        <f t="shared" si="67"/>
        <v>OK</v>
      </c>
      <c r="AK270" t="str">
        <f t="shared" si="68"/>
        <v>OK</v>
      </c>
      <c r="AL270" t="str">
        <f t="shared" si="69"/>
        <v>Include</v>
      </c>
      <c r="AM270" t="str">
        <f t="shared" si="60"/>
        <v>Clean</v>
      </c>
    </row>
    <row r="271" spans="1:39">
      <c r="A271" t="s">
        <v>914</v>
      </c>
      <c r="B271" s="4">
        <v>45698</v>
      </c>
      <c r="C271" s="4">
        <v>45700</v>
      </c>
      <c r="D271" s="6">
        <v>2</v>
      </c>
      <c r="E271" t="s">
        <v>2788</v>
      </c>
      <c r="F271" t="s">
        <v>2788</v>
      </c>
      <c r="G271" t="s">
        <v>2788</v>
      </c>
      <c r="H271" t="s">
        <v>915</v>
      </c>
      <c r="I271" t="s">
        <v>118</v>
      </c>
      <c r="J271" t="s">
        <v>37</v>
      </c>
      <c r="K271" t="s">
        <v>63</v>
      </c>
      <c r="L271" t="s">
        <v>26</v>
      </c>
      <c r="M271" t="s">
        <v>109</v>
      </c>
      <c r="N271" t="s">
        <v>41</v>
      </c>
      <c r="O271" t="s">
        <v>42</v>
      </c>
      <c r="P271" t="s">
        <v>916</v>
      </c>
      <c r="Q271" t="s">
        <v>44</v>
      </c>
      <c r="R271">
        <v>1</v>
      </c>
      <c r="S271">
        <v>1925.86</v>
      </c>
      <c r="T271">
        <v>0</v>
      </c>
      <c r="U271">
        <v>1925.86</v>
      </c>
      <c r="V271">
        <v>1321.89</v>
      </c>
      <c r="W271">
        <v>603.97</v>
      </c>
      <c r="X271" t="s">
        <v>32</v>
      </c>
      <c r="Y271" t="s">
        <v>33</v>
      </c>
      <c r="Z271" t="str">
        <f t="shared" si="56"/>
        <v>Unique</v>
      </c>
      <c r="AA271" t="str">
        <f t="shared" si="57"/>
        <v>Unique</v>
      </c>
      <c r="AB271" t="str">
        <f t="shared" si="61"/>
        <v>OK</v>
      </c>
      <c r="AC271">
        <f t="shared" si="62"/>
        <v>0</v>
      </c>
      <c r="AD271" t="str">
        <f t="shared" si="63"/>
        <v>OK</v>
      </c>
      <c r="AE271">
        <f t="shared" si="64"/>
        <v>1925.86</v>
      </c>
      <c r="AF271">
        <f t="shared" si="65"/>
        <v>603.9699999999998</v>
      </c>
      <c r="AG271">
        <f t="shared" si="66"/>
        <v>0.31361054282242729</v>
      </c>
      <c r="AH271" t="str">
        <f t="shared" si="58"/>
        <v>February</v>
      </c>
      <c r="AI271">
        <f t="shared" si="59"/>
        <v>2025</v>
      </c>
      <c r="AJ271" t="str">
        <f t="shared" si="67"/>
        <v>OK</v>
      </c>
      <c r="AK271" t="str">
        <f t="shared" si="68"/>
        <v>OK</v>
      </c>
      <c r="AL271" t="str">
        <f t="shared" si="69"/>
        <v>Include</v>
      </c>
      <c r="AM271" t="str">
        <f t="shared" si="60"/>
        <v>Clean</v>
      </c>
    </row>
    <row r="272" spans="1:39">
      <c r="A272" t="s">
        <v>917</v>
      </c>
      <c r="B272" s="4">
        <v>45303</v>
      </c>
      <c r="C272" s="4">
        <v>45304</v>
      </c>
      <c r="D272" s="6">
        <v>1</v>
      </c>
      <c r="E272" t="s">
        <v>2788</v>
      </c>
      <c r="F272" t="s">
        <v>2788</v>
      </c>
      <c r="G272" t="s">
        <v>2788</v>
      </c>
      <c r="H272" t="s">
        <v>918</v>
      </c>
      <c r="I272" t="s">
        <v>89</v>
      </c>
      <c r="J272" t="s">
        <v>90</v>
      </c>
      <c r="K272" t="s">
        <v>25</v>
      </c>
      <c r="L272" t="s">
        <v>136</v>
      </c>
      <c r="M272" t="s">
        <v>137</v>
      </c>
      <c r="N272" t="s">
        <v>74</v>
      </c>
      <c r="O272" t="s">
        <v>274</v>
      </c>
      <c r="P272" t="s">
        <v>919</v>
      </c>
      <c r="Q272" t="s">
        <v>44</v>
      </c>
      <c r="R272">
        <v>3</v>
      </c>
      <c r="S272">
        <v>827.44</v>
      </c>
      <c r="T272">
        <v>0</v>
      </c>
      <c r="U272">
        <v>2482.3200000000002</v>
      </c>
      <c r="V272">
        <v>1520.21</v>
      </c>
      <c r="W272">
        <v>962.11</v>
      </c>
      <c r="X272" t="s">
        <v>32</v>
      </c>
      <c r="Y272" t="s">
        <v>33</v>
      </c>
      <c r="Z272" t="str">
        <f t="shared" si="56"/>
        <v>Unique</v>
      </c>
      <c r="AA272" t="str">
        <f t="shared" si="57"/>
        <v>Unique</v>
      </c>
      <c r="AB272" t="str">
        <f t="shared" si="61"/>
        <v>OK</v>
      </c>
      <c r="AC272">
        <f t="shared" si="62"/>
        <v>0</v>
      </c>
      <c r="AD272" t="str">
        <f t="shared" si="63"/>
        <v>OK</v>
      </c>
      <c r="AE272">
        <f t="shared" si="64"/>
        <v>2482.3200000000002</v>
      </c>
      <c r="AF272">
        <f t="shared" si="65"/>
        <v>962.11000000000013</v>
      </c>
      <c r="AG272">
        <f t="shared" si="66"/>
        <v>0.38758500112797706</v>
      </c>
      <c r="AH272" t="str">
        <f t="shared" si="58"/>
        <v>January</v>
      </c>
      <c r="AI272">
        <f t="shared" si="59"/>
        <v>2024</v>
      </c>
      <c r="AJ272" t="str">
        <f t="shared" si="67"/>
        <v>OK</v>
      </c>
      <c r="AK272" t="str">
        <f t="shared" si="68"/>
        <v>OK</v>
      </c>
      <c r="AL272" t="str">
        <f t="shared" si="69"/>
        <v>Include</v>
      </c>
      <c r="AM272" t="str">
        <f t="shared" si="60"/>
        <v>Clean</v>
      </c>
    </row>
    <row r="273" spans="1:39">
      <c r="A273" t="s">
        <v>920</v>
      </c>
      <c r="B273" s="4">
        <v>45647</v>
      </c>
      <c r="C273" s="4">
        <v>45651</v>
      </c>
      <c r="D273" s="6">
        <v>4</v>
      </c>
      <c r="E273" t="s">
        <v>2788</v>
      </c>
      <c r="F273" t="s">
        <v>2788</v>
      </c>
      <c r="G273" t="s">
        <v>2788</v>
      </c>
      <c r="H273" t="s">
        <v>921</v>
      </c>
      <c r="I273" t="s">
        <v>89</v>
      </c>
      <c r="J273" t="s">
        <v>24</v>
      </c>
      <c r="K273" t="s">
        <v>54</v>
      </c>
      <c r="L273" t="s">
        <v>55</v>
      </c>
      <c r="M273" t="s">
        <v>56</v>
      </c>
      <c r="N273" t="s">
        <v>28</v>
      </c>
      <c r="O273" t="s">
        <v>153</v>
      </c>
      <c r="P273" t="s">
        <v>922</v>
      </c>
      <c r="Q273" t="s">
        <v>59</v>
      </c>
      <c r="R273">
        <v>7</v>
      </c>
      <c r="S273">
        <v>1667.75</v>
      </c>
      <c r="T273">
        <v>0</v>
      </c>
      <c r="U273">
        <v>11674.25</v>
      </c>
      <c r="V273">
        <v>9621.19</v>
      </c>
      <c r="W273">
        <v>2053.06</v>
      </c>
      <c r="X273" t="s">
        <v>155</v>
      </c>
      <c r="Y273" t="s">
        <v>68</v>
      </c>
      <c r="Z273" t="str">
        <f t="shared" si="56"/>
        <v>Unique</v>
      </c>
      <c r="AA273" t="str">
        <f t="shared" si="57"/>
        <v>Unique</v>
      </c>
      <c r="AB273" t="str">
        <f t="shared" si="61"/>
        <v>OK</v>
      </c>
      <c r="AC273">
        <f t="shared" si="62"/>
        <v>0</v>
      </c>
      <c r="AD273" t="str">
        <f t="shared" si="63"/>
        <v>OK</v>
      </c>
      <c r="AE273">
        <f t="shared" si="64"/>
        <v>11674.25</v>
      </c>
      <c r="AF273">
        <f t="shared" si="65"/>
        <v>2053.0599999999995</v>
      </c>
      <c r="AG273">
        <f t="shared" si="66"/>
        <v>0.17586226095894808</v>
      </c>
      <c r="AH273" t="str">
        <f t="shared" si="58"/>
        <v>December</v>
      </c>
      <c r="AI273">
        <f t="shared" si="59"/>
        <v>2024</v>
      </c>
      <c r="AJ273" t="str">
        <f t="shared" si="67"/>
        <v>OK</v>
      </c>
      <c r="AK273" t="str">
        <f t="shared" si="68"/>
        <v>OK</v>
      </c>
      <c r="AL273" t="str">
        <f t="shared" si="69"/>
        <v>Exclude</v>
      </c>
      <c r="AM273" t="str">
        <f t="shared" si="60"/>
        <v>Clean</v>
      </c>
    </row>
    <row r="274" spans="1:39">
      <c r="A274" t="s">
        <v>923</v>
      </c>
      <c r="B274" s="4">
        <v>45522</v>
      </c>
      <c r="C274" s="4">
        <v>45528</v>
      </c>
      <c r="D274" s="6">
        <v>6</v>
      </c>
      <c r="E274" t="s">
        <v>2788</v>
      </c>
      <c r="F274" t="s">
        <v>2788</v>
      </c>
      <c r="G274" t="s">
        <v>2788</v>
      </c>
      <c r="H274" t="s">
        <v>924</v>
      </c>
      <c r="I274" t="s">
        <v>53</v>
      </c>
      <c r="J274" t="s">
        <v>24</v>
      </c>
      <c r="K274" t="s">
        <v>54</v>
      </c>
      <c r="L274" t="s">
        <v>84</v>
      </c>
      <c r="M274" t="s">
        <v>85</v>
      </c>
      <c r="N274" t="s">
        <v>41</v>
      </c>
      <c r="O274" t="s">
        <v>66</v>
      </c>
      <c r="P274" t="s">
        <v>925</v>
      </c>
      <c r="Q274" t="s">
        <v>50</v>
      </c>
      <c r="R274">
        <v>7</v>
      </c>
      <c r="S274">
        <v>557.21</v>
      </c>
      <c r="T274">
        <v>0.1</v>
      </c>
      <c r="U274">
        <v>3510.42</v>
      </c>
      <c r="V274">
        <v>2191.5</v>
      </c>
      <c r="W274">
        <v>1213.48</v>
      </c>
      <c r="X274" t="s">
        <v>32</v>
      </c>
      <c r="Y274" t="s">
        <v>33</v>
      </c>
      <c r="Z274" t="str">
        <f t="shared" si="56"/>
        <v>Unique</v>
      </c>
      <c r="AA274" t="str">
        <f t="shared" si="57"/>
        <v>Duplicate Order ID</v>
      </c>
      <c r="AB274" t="str">
        <f t="shared" si="61"/>
        <v>Conflicting Duplicate</v>
      </c>
      <c r="AC274">
        <f t="shared" si="62"/>
        <v>0.1</v>
      </c>
      <c r="AD274" t="str">
        <f t="shared" si="63"/>
        <v>OK</v>
      </c>
      <c r="AE274">
        <f t="shared" si="64"/>
        <v>3510.4230000000002</v>
      </c>
      <c r="AF274">
        <f t="shared" si="65"/>
        <v>1318.9230000000002</v>
      </c>
      <c r="AG274">
        <f t="shared" si="66"/>
        <v>0.37571625983535323</v>
      </c>
      <c r="AH274" t="str">
        <f t="shared" si="58"/>
        <v>August</v>
      </c>
      <c r="AI274">
        <f t="shared" si="59"/>
        <v>2024</v>
      </c>
      <c r="AJ274" t="str">
        <f t="shared" si="67"/>
        <v>OK</v>
      </c>
      <c r="AK274" t="str">
        <f t="shared" si="68"/>
        <v>Profit Mismatch</v>
      </c>
      <c r="AL274" t="str">
        <f t="shared" si="69"/>
        <v>Include</v>
      </c>
      <c r="AM274" t="str">
        <f t="shared" si="60"/>
        <v>Invalid</v>
      </c>
    </row>
    <row r="275" spans="1:39">
      <c r="A275" t="s">
        <v>926</v>
      </c>
      <c r="B275" s="4">
        <v>45701</v>
      </c>
      <c r="C275" s="4">
        <v>45701</v>
      </c>
      <c r="D275" s="6">
        <v>0</v>
      </c>
      <c r="E275" t="s">
        <v>2788</v>
      </c>
      <c r="F275" t="s">
        <v>2788</v>
      </c>
      <c r="G275" t="s">
        <v>2788</v>
      </c>
      <c r="H275" t="s">
        <v>927</v>
      </c>
      <c r="I275" t="s">
        <v>47</v>
      </c>
      <c r="J275" t="s">
        <v>24</v>
      </c>
      <c r="K275" t="s">
        <v>38</v>
      </c>
      <c r="L275" t="s">
        <v>145</v>
      </c>
      <c r="M275" t="s">
        <v>146</v>
      </c>
      <c r="N275" t="s">
        <v>28</v>
      </c>
      <c r="O275" t="s">
        <v>29</v>
      </c>
      <c r="P275" t="s">
        <v>928</v>
      </c>
      <c r="Q275" t="s">
        <v>31</v>
      </c>
      <c r="R275">
        <v>9</v>
      </c>
      <c r="S275">
        <v>2521.63</v>
      </c>
      <c r="T275">
        <v>0</v>
      </c>
      <c r="U275">
        <v>22694.67</v>
      </c>
      <c r="V275">
        <v>15405.36</v>
      </c>
      <c r="W275">
        <v>7289.31</v>
      </c>
      <c r="X275" t="s">
        <v>32</v>
      </c>
      <c r="Y275" t="s">
        <v>103</v>
      </c>
      <c r="Z275" t="str">
        <f t="shared" si="56"/>
        <v>Unique</v>
      </c>
      <c r="AA275" t="str">
        <f t="shared" si="57"/>
        <v>Unique</v>
      </c>
      <c r="AB275" t="str">
        <f t="shared" si="61"/>
        <v>OK</v>
      </c>
      <c r="AC275">
        <f t="shared" si="62"/>
        <v>0</v>
      </c>
      <c r="AD275" t="str">
        <f t="shared" si="63"/>
        <v>OK</v>
      </c>
      <c r="AE275">
        <f t="shared" si="64"/>
        <v>22694.670000000002</v>
      </c>
      <c r="AF275">
        <f t="shared" si="65"/>
        <v>7289.3100000000013</v>
      </c>
      <c r="AG275">
        <f t="shared" si="66"/>
        <v>0.32119039404406413</v>
      </c>
      <c r="AH275" t="str">
        <f t="shared" si="58"/>
        <v>February</v>
      </c>
      <c r="AI275">
        <f t="shared" si="59"/>
        <v>2025</v>
      </c>
      <c r="AJ275" t="str">
        <f t="shared" si="67"/>
        <v>OK</v>
      </c>
      <c r="AK275" t="str">
        <f t="shared" si="68"/>
        <v>OK</v>
      </c>
      <c r="AL275" t="str">
        <f t="shared" si="69"/>
        <v>Exclude</v>
      </c>
      <c r="AM275" t="str">
        <f t="shared" si="60"/>
        <v>Clean</v>
      </c>
    </row>
    <row r="276" spans="1:39">
      <c r="A276" t="s">
        <v>929</v>
      </c>
      <c r="B276" s="4">
        <v>45389</v>
      </c>
      <c r="C276" s="4">
        <v>45396</v>
      </c>
      <c r="D276" s="6">
        <v>7</v>
      </c>
      <c r="E276" t="s">
        <v>2788</v>
      </c>
      <c r="F276" t="s">
        <v>2788</v>
      </c>
      <c r="G276" t="s">
        <v>2788</v>
      </c>
      <c r="H276" t="s">
        <v>930</v>
      </c>
      <c r="I276" t="s">
        <v>141</v>
      </c>
      <c r="J276" t="s">
        <v>24</v>
      </c>
      <c r="K276" t="s">
        <v>54</v>
      </c>
      <c r="L276" t="s">
        <v>185</v>
      </c>
      <c r="M276" t="s">
        <v>186</v>
      </c>
      <c r="N276" t="s">
        <v>74</v>
      </c>
      <c r="O276" t="s">
        <v>80</v>
      </c>
      <c r="P276" t="s">
        <v>931</v>
      </c>
      <c r="Q276" t="s">
        <v>59</v>
      </c>
      <c r="R276">
        <v>6</v>
      </c>
      <c r="S276">
        <v>4246.71</v>
      </c>
      <c r="T276">
        <v>0.15</v>
      </c>
      <c r="U276">
        <v>21658.22</v>
      </c>
      <c r="V276">
        <v>15490.69</v>
      </c>
      <c r="W276">
        <v>6167.53</v>
      </c>
      <c r="X276" t="s">
        <v>155</v>
      </c>
      <c r="Y276" t="s">
        <v>103</v>
      </c>
      <c r="Z276" t="str">
        <f t="shared" si="56"/>
        <v>Unique</v>
      </c>
      <c r="AA276" t="str">
        <f t="shared" si="57"/>
        <v>Unique</v>
      </c>
      <c r="AB276" t="str">
        <f t="shared" si="61"/>
        <v>OK</v>
      </c>
      <c r="AC276">
        <f t="shared" si="62"/>
        <v>0.15</v>
      </c>
      <c r="AD276" t="str">
        <f t="shared" si="63"/>
        <v>OK</v>
      </c>
      <c r="AE276">
        <f t="shared" si="64"/>
        <v>21658.221000000001</v>
      </c>
      <c r="AF276">
        <f t="shared" si="65"/>
        <v>6167.5310000000009</v>
      </c>
      <c r="AG276">
        <f t="shared" si="66"/>
        <v>0.28476627881856043</v>
      </c>
      <c r="AH276" t="str">
        <f t="shared" si="58"/>
        <v>April</v>
      </c>
      <c r="AI276">
        <f t="shared" si="59"/>
        <v>2024</v>
      </c>
      <c r="AJ276" t="str">
        <f t="shared" si="67"/>
        <v>OK</v>
      </c>
      <c r="AK276" t="str">
        <f t="shared" si="68"/>
        <v>OK</v>
      </c>
      <c r="AL276" t="str">
        <f t="shared" si="69"/>
        <v>Exclude</v>
      </c>
      <c r="AM276" t="str">
        <f t="shared" si="60"/>
        <v>Clean</v>
      </c>
    </row>
    <row r="277" spans="1:39">
      <c r="A277" t="s">
        <v>932</v>
      </c>
      <c r="B277" s="4">
        <v>45337</v>
      </c>
      <c r="C277" s="4">
        <v>45344</v>
      </c>
      <c r="D277" s="6">
        <v>7</v>
      </c>
      <c r="E277" t="s">
        <v>2788</v>
      </c>
      <c r="F277" t="s">
        <v>2788</v>
      </c>
      <c r="G277" t="s">
        <v>2788</v>
      </c>
      <c r="H277" t="s">
        <v>933</v>
      </c>
      <c r="I277" t="s">
        <v>114</v>
      </c>
      <c r="J277" t="s">
        <v>37</v>
      </c>
      <c r="K277" t="s">
        <v>38</v>
      </c>
      <c r="L277" t="s">
        <v>99</v>
      </c>
      <c r="M277" t="s">
        <v>100</v>
      </c>
      <c r="N277" t="s">
        <v>41</v>
      </c>
      <c r="O277" t="s">
        <v>57</v>
      </c>
      <c r="P277" t="s">
        <v>934</v>
      </c>
      <c r="Q277" t="s">
        <v>44</v>
      </c>
      <c r="R277">
        <v>1</v>
      </c>
      <c r="S277">
        <v>980.51</v>
      </c>
      <c r="T277">
        <v>0</v>
      </c>
      <c r="U277">
        <v>980.51</v>
      </c>
      <c r="V277">
        <v>660.92</v>
      </c>
      <c r="W277">
        <v>319.58999999999997</v>
      </c>
      <c r="X277" t="s">
        <v>32</v>
      </c>
      <c r="Y277" t="s">
        <v>33</v>
      </c>
      <c r="Z277" t="str">
        <f t="shared" si="56"/>
        <v>Unique</v>
      </c>
      <c r="AA277" t="str">
        <f t="shared" si="57"/>
        <v>Unique</v>
      </c>
      <c r="AB277" t="str">
        <f t="shared" si="61"/>
        <v>OK</v>
      </c>
      <c r="AC277">
        <f t="shared" si="62"/>
        <v>0</v>
      </c>
      <c r="AD277" t="str">
        <f t="shared" si="63"/>
        <v>OK</v>
      </c>
      <c r="AE277">
        <f t="shared" si="64"/>
        <v>980.51</v>
      </c>
      <c r="AF277">
        <f t="shared" si="65"/>
        <v>319.59000000000003</v>
      </c>
      <c r="AG277">
        <f t="shared" si="66"/>
        <v>0.32594262169687205</v>
      </c>
      <c r="AH277" t="str">
        <f t="shared" si="58"/>
        <v>February</v>
      </c>
      <c r="AI277">
        <f t="shared" si="59"/>
        <v>2024</v>
      </c>
      <c r="AJ277" t="str">
        <f t="shared" si="67"/>
        <v>OK</v>
      </c>
      <c r="AK277" t="str">
        <f t="shared" si="68"/>
        <v>OK</v>
      </c>
      <c r="AL277" t="str">
        <f t="shared" si="69"/>
        <v>Include</v>
      </c>
      <c r="AM277" t="str">
        <f t="shared" si="60"/>
        <v>Clean</v>
      </c>
    </row>
    <row r="278" spans="1:39">
      <c r="A278" t="s">
        <v>935</v>
      </c>
      <c r="B278" s="4">
        <v>45313</v>
      </c>
      <c r="C278" s="4">
        <v>45314</v>
      </c>
      <c r="D278" s="6">
        <v>1</v>
      </c>
      <c r="E278" t="s">
        <v>2788</v>
      </c>
      <c r="F278" t="s">
        <v>2788</v>
      </c>
      <c r="G278" t="s">
        <v>2788</v>
      </c>
      <c r="H278" t="s">
        <v>936</v>
      </c>
      <c r="I278" t="s">
        <v>128</v>
      </c>
      <c r="J278" t="s">
        <v>37</v>
      </c>
      <c r="K278" t="s">
        <v>2783</v>
      </c>
      <c r="L278" t="s">
        <v>166</v>
      </c>
      <c r="M278" t="s">
        <v>167</v>
      </c>
      <c r="N278" t="s">
        <v>41</v>
      </c>
      <c r="O278" t="s">
        <v>66</v>
      </c>
      <c r="P278" t="s">
        <v>937</v>
      </c>
      <c r="Q278" t="s">
        <v>31</v>
      </c>
      <c r="R278">
        <v>6</v>
      </c>
      <c r="S278">
        <v>3391.53</v>
      </c>
      <c r="T278">
        <v>-0.14000000000000001</v>
      </c>
      <c r="U278">
        <v>15261.89</v>
      </c>
      <c r="V278">
        <v>8413.5300000000007</v>
      </c>
      <c r="W278">
        <v>6848.36</v>
      </c>
      <c r="X278" t="s">
        <v>32</v>
      </c>
      <c r="Y278" t="s">
        <v>33</v>
      </c>
      <c r="Z278" t="str">
        <f t="shared" si="56"/>
        <v>Exact Duplicate</v>
      </c>
      <c r="AA278" t="str">
        <f t="shared" si="57"/>
        <v>Duplicate Order ID</v>
      </c>
      <c r="AB278" t="str">
        <f t="shared" si="61"/>
        <v>OK</v>
      </c>
      <c r="AC278">
        <f t="shared" si="62"/>
        <v>-0.14000000000000001</v>
      </c>
      <c r="AD278" t="str">
        <f t="shared" si="63"/>
        <v>Invalid Negative Discount</v>
      </c>
      <c r="AE278">
        <f t="shared" si="64"/>
        <v>23198.065200000005</v>
      </c>
      <c r="AF278">
        <f t="shared" si="65"/>
        <v>14784.535200000004</v>
      </c>
      <c r="AG278">
        <f t="shared" si="66"/>
        <v>0.63731759836591895</v>
      </c>
      <c r="AH278" t="str">
        <f t="shared" si="58"/>
        <v>January</v>
      </c>
      <c r="AI278">
        <f t="shared" si="59"/>
        <v>2024</v>
      </c>
      <c r="AJ278" t="str">
        <f t="shared" si="67"/>
        <v>Sales Mismatch</v>
      </c>
      <c r="AK278" t="str">
        <f t="shared" si="68"/>
        <v>Profit Mismatch</v>
      </c>
      <c r="AL278" t="str">
        <f t="shared" si="69"/>
        <v>Include</v>
      </c>
      <c r="AM278" t="str">
        <f t="shared" si="60"/>
        <v>Invalid</v>
      </c>
    </row>
    <row r="279" spans="1:39">
      <c r="A279" t="s">
        <v>938</v>
      </c>
      <c r="B279" s="4">
        <v>45812</v>
      </c>
      <c r="C279" s="4">
        <v>45812</v>
      </c>
      <c r="D279" s="6">
        <v>0</v>
      </c>
      <c r="E279" t="s">
        <v>2788</v>
      </c>
      <c r="F279" t="s">
        <v>2788</v>
      </c>
      <c r="G279" t="s">
        <v>2788</v>
      </c>
      <c r="H279" t="s">
        <v>790</v>
      </c>
      <c r="I279" t="s">
        <v>47</v>
      </c>
      <c r="J279" t="s">
        <v>90</v>
      </c>
      <c r="K279" t="s">
        <v>25</v>
      </c>
      <c r="L279" t="s">
        <v>236</v>
      </c>
      <c r="M279" t="s">
        <v>237</v>
      </c>
      <c r="N279" t="s">
        <v>74</v>
      </c>
      <c r="O279" t="s">
        <v>75</v>
      </c>
      <c r="P279" t="s">
        <v>939</v>
      </c>
      <c r="Q279" t="s">
        <v>31</v>
      </c>
      <c r="R279">
        <v>1</v>
      </c>
      <c r="S279">
        <v>2133.73</v>
      </c>
      <c r="T279">
        <v>0.15</v>
      </c>
      <c r="U279">
        <v>2008.39</v>
      </c>
      <c r="V279">
        <v>1002.57</v>
      </c>
      <c r="W279">
        <v>811.1</v>
      </c>
      <c r="X279" t="s">
        <v>111</v>
      </c>
      <c r="Y279" t="s">
        <v>68</v>
      </c>
      <c r="Z279" t="str">
        <f t="shared" si="56"/>
        <v>Unique</v>
      </c>
      <c r="AA279" t="str">
        <f t="shared" si="57"/>
        <v>Unique</v>
      </c>
      <c r="AB279" t="str">
        <f t="shared" si="61"/>
        <v>OK</v>
      </c>
      <c r="AC279">
        <f t="shared" si="62"/>
        <v>0.15</v>
      </c>
      <c r="AD279" t="str">
        <f t="shared" si="63"/>
        <v>OK</v>
      </c>
      <c r="AE279">
        <f t="shared" si="64"/>
        <v>1813.6704999999999</v>
      </c>
      <c r="AF279">
        <f t="shared" si="65"/>
        <v>811.1004999999999</v>
      </c>
      <c r="AG279">
        <f t="shared" si="66"/>
        <v>0.4472149158295291</v>
      </c>
      <c r="AH279" t="str">
        <f t="shared" si="58"/>
        <v>June</v>
      </c>
      <c r="AI279">
        <f t="shared" si="59"/>
        <v>2025</v>
      </c>
      <c r="AJ279" t="str">
        <f t="shared" si="67"/>
        <v>Sales Mismatch</v>
      </c>
      <c r="AK279" t="str">
        <f t="shared" si="68"/>
        <v>OK</v>
      </c>
      <c r="AL279" t="str">
        <f t="shared" si="69"/>
        <v>Exclude</v>
      </c>
      <c r="AM279" t="str">
        <f t="shared" si="60"/>
        <v>Warning</v>
      </c>
    </row>
    <row r="280" spans="1:39">
      <c r="A280" t="s">
        <v>940</v>
      </c>
      <c r="B280" s="4">
        <v>45723</v>
      </c>
      <c r="C280" s="4">
        <v>45730</v>
      </c>
      <c r="D280" s="6">
        <v>7</v>
      </c>
      <c r="E280" t="s">
        <v>2788</v>
      </c>
      <c r="F280" t="s">
        <v>2788</v>
      </c>
      <c r="G280" t="s">
        <v>2788</v>
      </c>
      <c r="H280" t="s">
        <v>941</v>
      </c>
      <c r="I280" t="s">
        <v>114</v>
      </c>
      <c r="J280" t="s">
        <v>37</v>
      </c>
      <c r="K280" t="s">
        <v>25</v>
      </c>
      <c r="L280" t="s">
        <v>350</v>
      </c>
      <c r="M280" t="s">
        <v>351</v>
      </c>
      <c r="N280" t="s">
        <v>74</v>
      </c>
      <c r="O280" t="s">
        <v>75</v>
      </c>
      <c r="P280" t="s">
        <v>942</v>
      </c>
      <c r="Q280" t="s">
        <v>44</v>
      </c>
      <c r="R280">
        <v>1</v>
      </c>
      <c r="S280">
        <v>3979.64</v>
      </c>
      <c r="T280">
        <v>0.05</v>
      </c>
      <c r="U280">
        <v>3780.66</v>
      </c>
      <c r="V280">
        <v>2148.31</v>
      </c>
      <c r="W280">
        <v>1632.35</v>
      </c>
      <c r="X280" t="s">
        <v>32</v>
      </c>
      <c r="Y280" t="s">
        <v>103</v>
      </c>
      <c r="Z280" t="str">
        <f t="shared" si="56"/>
        <v>Unique</v>
      </c>
      <c r="AA280" t="str">
        <f t="shared" si="57"/>
        <v>Unique</v>
      </c>
      <c r="AB280" t="str">
        <f t="shared" si="61"/>
        <v>OK</v>
      </c>
      <c r="AC280">
        <f t="shared" si="62"/>
        <v>0.05</v>
      </c>
      <c r="AD280" t="str">
        <f t="shared" si="63"/>
        <v>OK</v>
      </c>
      <c r="AE280">
        <f t="shared" si="64"/>
        <v>3780.6579999999999</v>
      </c>
      <c r="AF280">
        <f t="shared" si="65"/>
        <v>1632.348</v>
      </c>
      <c r="AG280">
        <f t="shared" si="66"/>
        <v>0.43176293650470365</v>
      </c>
      <c r="AH280" t="str">
        <f t="shared" si="58"/>
        <v>March</v>
      </c>
      <c r="AI280">
        <f t="shared" si="59"/>
        <v>2025</v>
      </c>
      <c r="AJ280" t="str">
        <f t="shared" si="67"/>
        <v>OK</v>
      </c>
      <c r="AK280" t="str">
        <f t="shared" si="68"/>
        <v>OK</v>
      </c>
      <c r="AL280" t="str">
        <f t="shared" si="69"/>
        <v>Exclude</v>
      </c>
      <c r="AM280" t="str">
        <f t="shared" si="60"/>
        <v>Clean</v>
      </c>
    </row>
    <row r="281" spans="1:39">
      <c r="A281" t="s">
        <v>943</v>
      </c>
      <c r="B281" s="4">
        <v>45391</v>
      </c>
      <c r="C281" s="4">
        <v>45392</v>
      </c>
      <c r="D281" s="6">
        <v>1</v>
      </c>
      <c r="E281" t="s">
        <v>2788</v>
      </c>
      <c r="F281" t="s">
        <v>2788</v>
      </c>
      <c r="G281" t="s">
        <v>2788</v>
      </c>
      <c r="H281" t="s">
        <v>944</v>
      </c>
      <c r="I281" t="s">
        <v>141</v>
      </c>
      <c r="J281" t="s">
        <v>37</v>
      </c>
      <c r="K281" t="s">
        <v>63</v>
      </c>
      <c r="L281" t="s">
        <v>64</v>
      </c>
      <c r="M281" t="s">
        <v>65</v>
      </c>
      <c r="N281" t="s">
        <v>28</v>
      </c>
      <c r="O281" t="s">
        <v>124</v>
      </c>
      <c r="P281" t="s">
        <v>945</v>
      </c>
      <c r="Q281" t="s">
        <v>50</v>
      </c>
      <c r="R281">
        <v>1</v>
      </c>
      <c r="S281">
        <v>4359.12</v>
      </c>
      <c r="T281">
        <v>0.05</v>
      </c>
      <c r="U281">
        <v>4141.16</v>
      </c>
      <c r="V281">
        <v>2754.17</v>
      </c>
      <c r="W281">
        <v>1386.99</v>
      </c>
      <c r="X281" t="s">
        <v>32</v>
      </c>
      <c r="Y281" t="s">
        <v>33</v>
      </c>
      <c r="Z281" t="str">
        <f t="shared" si="56"/>
        <v>Unique</v>
      </c>
      <c r="AA281" t="str">
        <f t="shared" si="57"/>
        <v>Unique</v>
      </c>
      <c r="AB281" t="str">
        <f t="shared" si="61"/>
        <v>OK</v>
      </c>
      <c r="AC281">
        <f t="shared" si="62"/>
        <v>0.05</v>
      </c>
      <c r="AD281" t="str">
        <f t="shared" si="63"/>
        <v>OK</v>
      </c>
      <c r="AE281">
        <f t="shared" si="64"/>
        <v>4141.1639999999998</v>
      </c>
      <c r="AF281">
        <f t="shared" si="65"/>
        <v>1386.9939999999997</v>
      </c>
      <c r="AG281">
        <f t="shared" si="66"/>
        <v>0.33492853700070796</v>
      </c>
      <c r="AH281" t="str">
        <f t="shared" si="58"/>
        <v>April</v>
      </c>
      <c r="AI281">
        <f t="shared" si="59"/>
        <v>2024</v>
      </c>
      <c r="AJ281" t="str">
        <f t="shared" si="67"/>
        <v>OK</v>
      </c>
      <c r="AK281" t="str">
        <f t="shared" si="68"/>
        <v>OK</v>
      </c>
      <c r="AL281" t="str">
        <f t="shared" si="69"/>
        <v>Include</v>
      </c>
      <c r="AM281" t="str">
        <f t="shared" si="60"/>
        <v>Clean</v>
      </c>
    </row>
    <row r="282" spans="1:39">
      <c r="A282" t="s">
        <v>946</v>
      </c>
      <c r="B282" s="4">
        <v>45649</v>
      </c>
      <c r="C282" s="4">
        <v>45652</v>
      </c>
      <c r="D282" s="6">
        <v>3</v>
      </c>
      <c r="E282" t="s">
        <v>2788</v>
      </c>
      <c r="F282" t="s">
        <v>2788</v>
      </c>
      <c r="G282" t="s">
        <v>2788</v>
      </c>
      <c r="H282" t="s">
        <v>947</v>
      </c>
      <c r="I282" t="s">
        <v>89</v>
      </c>
      <c r="J282" t="s">
        <v>24</v>
      </c>
      <c r="K282" t="s">
        <v>54</v>
      </c>
      <c r="L282" t="s">
        <v>175</v>
      </c>
      <c r="M282" t="s">
        <v>176</v>
      </c>
      <c r="N282" t="s">
        <v>74</v>
      </c>
      <c r="O282" t="s">
        <v>80</v>
      </c>
      <c r="P282" t="s">
        <v>948</v>
      </c>
      <c r="Q282" t="s">
        <v>59</v>
      </c>
      <c r="R282">
        <v>9</v>
      </c>
      <c r="S282">
        <v>993.67</v>
      </c>
      <c r="T282">
        <v>0</v>
      </c>
      <c r="U282">
        <v>8943.0300000000007</v>
      </c>
      <c r="V282">
        <v>5165.38</v>
      </c>
      <c r="W282">
        <v>3777.65</v>
      </c>
      <c r="X282" t="s">
        <v>32</v>
      </c>
      <c r="Y282" t="s">
        <v>33</v>
      </c>
      <c r="Z282" t="str">
        <f t="shared" si="56"/>
        <v>Exact Duplicate</v>
      </c>
      <c r="AA282" t="str">
        <f t="shared" si="57"/>
        <v>Duplicate Order ID</v>
      </c>
      <c r="AB282" t="str">
        <f t="shared" si="61"/>
        <v>OK</v>
      </c>
      <c r="AC282">
        <f t="shared" si="62"/>
        <v>0</v>
      </c>
      <c r="AD282" t="str">
        <f t="shared" si="63"/>
        <v>OK</v>
      </c>
      <c r="AE282">
        <f t="shared" si="64"/>
        <v>8943.0299999999988</v>
      </c>
      <c r="AF282">
        <f t="shared" si="65"/>
        <v>3777.6499999999987</v>
      </c>
      <c r="AG282">
        <f t="shared" si="66"/>
        <v>0.42241276167026154</v>
      </c>
      <c r="AH282" t="str">
        <f t="shared" si="58"/>
        <v>December</v>
      </c>
      <c r="AI282">
        <f t="shared" si="59"/>
        <v>2024</v>
      </c>
      <c r="AJ282" t="str">
        <f t="shared" si="67"/>
        <v>OK</v>
      </c>
      <c r="AK282" t="str">
        <f t="shared" si="68"/>
        <v>OK</v>
      </c>
      <c r="AL282" t="str">
        <f t="shared" si="69"/>
        <v>Include</v>
      </c>
      <c r="AM282" t="str">
        <f t="shared" si="60"/>
        <v>Clean</v>
      </c>
    </row>
    <row r="283" spans="1:39">
      <c r="A283" t="s">
        <v>949</v>
      </c>
      <c r="B283" s="4">
        <v>45863</v>
      </c>
      <c r="C283" s="4">
        <v>45865</v>
      </c>
      <c r="D283" s="6">
        <v>2</v>
      </c>
      <c r="E283" t="s">
        <v>2788</v>
      </c>
      <c r="F283" t="s">
        <v>2788</v>
      </c>
      <c r="G283" t="s">
        <v>2788</v>
      </c>
      <c r="H283" t="s">
        <v>950</v>
      </c>
      <c r="I283" t="s">
        <v>264</v>
      </c>
      <c r="J283" t="s">
        <v>24</v>
      </c>
      <c r="K283" t="s">
        <v>38</v>
      </c>
      <c r="L283" t="s">
        <v>228</v>
      </c>
      <c r="M283" t="s">
        <v>229</v>
      </c>
      <c r="N283" t="s">
        <v>28</v>
      </c>
      <c r="O283" t="s">
        <v>153</v>
      </c>
      <c r="P283" t="s">
        <v>951</v>
      </c>
      <c r="Q283" t="s">
        <v>31</v>
      </c>
      <c r="R283">
        <v>6</v>
      </c>
      <c r="S283">
        <v>3438.38</v>
      </c>
      <c r="T283">
        <v>0.2</v>
      </c>
      <c r="U283">
        <v>16504.22</v>
      </c>
      <c r="V283">
        <v>11262.71</v>
      </c>
      <c r="W283">
        <v>5241.51</v>
      </c>
      <c r="X283" t="s">
        <v>32</v>
      </c>
      <c r="Y283" t="s">
        <v>33</v>
      </c>
      <c r="Z283" t="str">
        <f t="shared" si="56"/>
        <v>Unique</v>
      </c>
      <c r="AA283" t="str">
        <f t="shared" si="57"/>
        <v>Unique</v>
      </c>
      <c r="AB283" t="str">
        <f t="shared" si="61"/>
        <v>OK</v>
      </c>
      <c r="AC283">
        <f t="shared" si="62"/>
        <v>0.2</v>
      </c>
      <c r="AD283" t="str">
        <f t="shared" si="63"/>
        <v>OK</v>
      </c>
      <c r="AE283">
        <f t="shared" si="64"/>
        <v>16504.223999999998</v>
      </c>
      <c r="AF283">
        <f t="shared" si="65"/>
        <v>5241.5139999999992</v>
      </c>
      <c r="AG283">
        <f t="shared" si="66"/>
        <v>0.31758621308096641</v>
      </c>
      <c r="AH283" t="str">
        <f t="shared" si="58"/>
        <v>July</v>
      </c>
      <c r="AI283">
        <f t="shared" si="59"/>
        <v>2025</v>
      </c>
      <c r="AJ283" t="str">
        <f t="shared" si="67"/>
        <v>OK</v>
      </c>
      <c r="AK283" t="str">
        <f t="shared" si="68"/>
        <v>OK</v>
      </c>
      <c r="AL283" t="str">
        <f t="shared" si="69"/>
        <v>Include</v>
      </c>
      <c r="AM283" t="str">
        <f t="shared" si="60"/>
        <v>Clean</v>
      </c>
    </row>
    <row r="284" spans="1:39">
      <c r="A284" t="s">
        <v>952</v>
      </c>
      <c r="B284" s="4">
        <v>45566</v>
      </c>
      <c r="C284" s="4">
        <v>45567</v>
      </c>
      <c r="D284" s="6">
        <v>1</v>
      </c>
      <c r="E284" t="s">
        <v>2788</v>
      </c>
      <c r="F284" t="s">
        <v>2788</v>
      </c>
      <c r="G284" t="s">
        <v>2788</v>
      </c>
      <c r="H284" t="s">
        <v>953</v>
      </c>
      <c r="I284" t="s">
        <v>23</v>
      </c>
      <c r="J284" t="s">
        <v>95</v>
      </c>
      <c r="K284" t="s">
        <v>38</v>
      </c>
      <c r="L284" t="s">
        <v>166</v>
      </c>
      <c r="M284" t="s">
        <v>167</v>
      </c>
      <c r="N284" t="s">
        <v>41</v>
      </c>
      <c r="O284" t="s">
        <v>42</v>
      </c>
      <c r="P284" t="s">
        <v>954</v>
      </c>
      <c r="Q284" t="s">
        <v>31</v>
      </c>
      <c r="R284">
        <v>2</v>
      </c>
      <c r="S284">
        <v>2298</v>
      </c>
      <c r="T284">
        <v>0</v>
      </c>
      <c r="U284">
        <v>4596</v>
      </c>
      <c r="V284">
        <v>3220.33</v>
      </c>
      <c r="W284">
        <v>1375.67</v>
      </c>
      <c r="X284" t="s">
        <v>32</v>
      </c>
      <c r="Y284" t="s">
        <v>33</v>
      </c>
      <c r="Z284" t="str">
        <f t="shared" si="56"/>
        <v>Unique</v>
      </c>
      <c r="AA284" t="str">
        <f t="shared" si="57"/>
        <v>Unique</v>
      </c>
      <c r="AB284" t="str">
        <f t="shared" si="61"/>
        <v>OK</v>
      </c>
      <c r="AC284">
        <f t="shared" si="62"/>
        <v>0</v>
      </c>
      <c r="AD284" t="str">
        <f t="shared" si="63"/>
        <v>OK</v>
      </c>
      <c r="AE284">
        <f t="shared" si="64"/>
        <v>4596</v>
      </c>
      <c r="AF284">
        <f t="shared" si="65"/>
        <v>1375.67</v>
      </c>
      <c r="AG284">
        <f t="shared" si="66"/>
        <v>0.29931897302001742</v>
      </c>
      <c r="AH284" t="str">
        <f t="shared" si="58"/>
        <v>October</v>
      </c>
      <c r="AI284">
        <f t="shared" si="59"/>
        <v>2024</v>
      </c>
      <c r="AJ284" t="str">
        <f t="shared" si="67"/>
        <v>OK</v>
      </c>
      <c r="AK284" t="str">
        <f t="shared" si="68"/>
        <v>OK</v>
      </c>
      <c r="AL284" t="str">
        <f t="shared" si="69"/>
        <v>Include</v>
      </c>
      <c r="AM284" t="str">
        <f t="shared" si="60"/>
        <v>Clean</v>
      </c>
    </row>
    <row r="285" spans="1:39">
      <c r="A285" t="s">
        <v>955</v>
      </c>
      <c r="B285" s="4">
        <v>45729</v>
      </c>
      <c r="C285" s="4">
        <v>45736</v>
      </c>
      <c r="D285" s="6">
        <v>7</v>
      </c>
      <c r="E285" t="s">
        <v>2788</v>
      </c>
      <c r="F285" t="s">
        <v>2788</v>
      </c>
      <c r="G285" t="s">
        <v>2788</v>
      </c>
      <c r="H285" t="s">
        <v>956</v>
      </c>
      <c r="I285" t="s">
        <v>71</v>
      </c>
      <c r="J285" t="s">
        <v>24</v>
      </c>
      <c r="K285" t="s">
        <v>63</v>
      </c>
      <c r="L285" t="s">
        <v>64</v>
      </c>
      <c r="M285" t="s">
        <v>65</v>
      </c>
      <c r="N285" t="s">
        <v>41</v>
      </c>
      <c r="O285" t="s">
        <v>57</v>
      </c>
      <c r="P285" t="s">
        <v>957</v>
      </c>
      <c r="Q285" t="s">
        <v>50</v>
      </c>
      <c r="R285">
        <v>1</v>
      </c>
      <c r="S285">
        <v>1814.01</v>
      </c>
      <c r="T285">
        <v>0</v>
      </c>
      <c r="U285">
        <v>1814.01</v>
      </c>
      <c r="V285">
        <v>1033.47</v>
      </c>
      <c r="W285">
        <v>780.54</v>
      </c>
      <c r="X285" t="s">
        <v>32</v>
      </c>
      <c r="Y285" t="s">
        <v>33</v>
      </c>
      <c r="Z285" t="str">
        <f t="shared" si="56"/>
        <v>Unique</v>
      </c>
      <c r="AA285" t="str">
        <f t="shared" si="57"/>
        <v>Unique</v>
      </c>
      <c r="AB285" t="str">
        <f t="shared" si="61"/>
        <v>OK</v>
      </c>
      <c r="AC285">
        <f t="shared" si="62"/>
        <v>0</v>
      </c>
      <c r="AD285" t="str">
        <f t="shared" si="63"/>
        <v>OK</v>
      </c>
      <c r="AE285">
        <f t="shared" si="64"/>
        <v>1814.01</v>
      </c>
      <c r="AF285">
        <f t="shared" si="65"/>
        <v>780.54</v>
      </c>
      <c r="AG285">
        <f t="shared" si="66"/>
        <v>0.43028428729720342</v>
      </c>
      <c r="AH285" t="str">
        <f t="shared" si="58"/>
        <v>March</v>
      </c>
      <c r="AI285">
        <f t="shared" si="59"/>
        <v>2025</v>
      </c>
      <c r="AJ285" t="str">
        <f t="shared" si="67"/>
        <v>OK</v>
      </c>
      <c r="AK285" t="str">
        <f t="shared" si="68"/>
        <v>OK</v>
      </c>
      <c r="AL285" t="str">
        <f t="shared" si="69"/>
        <v>Include</v>
      </c>
      <c r="AM285" t="str">
        <f t="shared" si="60"/>
        <v>Clean</v>
      </c>
    </row>
    <row r="286" spans="1:39">
      <c r="A286" t="s">
        <v>958</v>
      </c>
      <c r="B286" s="4">
        <v>45634</v>
      </c>
      <c r="C286" s="4">
        <v>45640</v>
      </c>
      <c r="D286" s="6">
        <v>6</v>
      </c>
      <c r="E286" t="s">
        <v>2788</v>
      </c>
      <c r="F286" t="s">
        <v>2788</v>
      </c>
      <c r="G286" t="s">
        <v>2788</v>
      </c>
      <c r="H286" t="s">
        <v>959</v>
      </c>
      <c r="I286" t="s">
        <v>23</v>
      </c>
      <c r="J286" t="s">
        <v>24</v>
      </c>
      <c r="K286" t="s">
        <v>38</v>
      </c>
      <c r="L286" t="s">
        <v>39</v>
      </c>
      <c r="M286" t="s">
        <v>40</v>
      </c>
      <c r="N286" t="s">
        <v>41</v>
      </c>
      <c r="O286" t="s">
        <v>42</v>
      </c>
      <c r="P286" t="s">
        <v>960</v>
      </c>
      <c r="Q286" t="s">
        <v>44</v>
      </c>
      <c r="R286">
        <v>3</v>
      </c>
      <c r="S286">
        <v>1576.92</v>
      </c>
      <c r="T286">
        <v>0</v>
      </c>
      <c r="U286">
        <v>4730.76</v>
      </c>
      <c r="V286">
        <v>3139.73</v>
      </c>
      <c r="W286">
        <v>1591.03</v>
      </c>
      <c r="X286" t="s">
        <v>32</v>
      </c>
      <c r="Y286" t="s">
        <v>103</v>
      </c>
      <c r="Z286" t="str">
        <f t="shared" si="56"/>
        <v>Unique</v>
      </c>
      <c r="AA286" t="str">
        <f t="shared" si="57"/>
        <v>Unique</v>
      </c>
      <c r="AB286" t="str">
        <f t="shared" si="61"/>
        <v>OK</v>
      </c>
      <c r="AC286">
        <f t="shared" si="62"/>
        <v>0</v>
      </c>
      <c r="AD286" t="str">
        <f t="shared" si="63"/>
        <v>OK</v>
      </c>
      <c r="AE286">
        <f t="shared" si="64"/>
        <v>4730.76</v>
      </c>
      <c r="AF286">
        <f t="shared" si="65"/>
        <v>1591.0300000000002</v>
      </c>
      <c r="AG286">
        <f t="shared" si="66"/>
        <v>0.33631594077907145</v>
      </c>
      <c r="AH286" t="str">
        <f t="shared" si="58"/>
        <v>December</v>
      </c>
      <c r="AI286">
        <f t="shared" si="59"/>
        <v>2024</v>
      </c>
      <c r="AJ286" t="str">
        <f t="shared" si="67"/>
        <v>OK</v>
      </c>
      <c r="AK286" t="str">
        <f t="shared" si="68"/>
        <v>OK</v>
      </c>
      <c r="AL286" t="str">
        <f t="shared" si="69"/>
        <v>Exclude</v>
      </c>
      <c r="AM286" t="str">
        <f t="shared" si="60"/>
        <v>Clean</v>
      </c>
    </row>
    <row r="287" spans="1:39">
      <c r="A287" t="s">
        <v>961</v>
      </c>
      <c r="B287" s="4">
        <v>45884</v>
      </c>
      <c r="C287" s="4">
        <v>45889</v>
      </c>
      <c r="D287" s="6">
        <v>5</v>
      </c>
      <c r="E287" t="s">
        <v>2788</v>
      </c>
      <c r="F287" t="s">
        <v>2788</v>
      </c>
      <c r="G287" t="s">
        <v>2788</v>
      </c>
      <c r="H287" t="s">
        <v>962</v>
      </c>
      <c r="I287" t="s">
        <v>79</v>
      </c>
      <c r="J287" t="s">
        <v>95</v>
      </c>
      <c r="K287" t="s">
        <v>25</v>
      </c>
      <c r="L287" t="s">
        <v>26</v>
      </c>
      <c r="M287" t="s">
        <v>27</v>
      </c>
      <c r="N287" t="s">
        <v>28</v>
      </c>
      <c r="O287" t="s">
        <v>124</v>
      </c>
      <c r="P287" t="s">
        <v>963</v>
      </c>
      <c r="Q287" t="s">
        <v>59</v>
      </c>
      <c r="R287">
        <v>9</v>
      </c>
      <c r="S287">
        <v>4081.77</v>
      </c>
      <c r="T287">
        <v>0</v>
      </c>
      <c r="U287">
        <v>36735.93</v>
      </c>
      <c r="V287">
        <v>30820.84</v>
      </c>
      <c r="W287">
        <v>5915.09</v>
      </c>
      <c r="X287" t="s">
        <v>32</v>
      </c>
      <c r="Y287" t="s">
        <v>33</v>
      </c>
      <c r="Z287" t="str">
        <f t="shared" si="56"/>
        <v>Unique</v>
      </c>
      <c r="AA287" t="str">
        <f t="shared" si="57"/>
        <v>Unique</v>
      </c>
      <c r="AB287" t="str">
        <f t="shared" si="61"/>
        <v>OK</v>
      </c>
      <c r="AC287">
        <f t="shared" si="62"/>
        <v>0</v>
      </c>
      <c r="AD287" t="str">
        <f t="shared" si="63"/>
        <v>OK</v>
      </c>
      <c r="AE287">
        <f t="shared" si="64"/>
        <v>36735.93</v>
      </c>
      <c r="AF287">
        <f t="shared" si="65"/>
        <v>5915.09</v>
      </c>
      <c r="AG287">
        <f t="shared" si="66"/>
        <v>0.16101647624001897</v>
      </c>
      <c r="AH287" t="str">
        <f t="shared" si="58"/>
        <v>August</v>
      </c>
      <c r="AI287">
        <f t="shared" si="59"/>
        <v>2025</v>
      </c>
      <c r="AJ287" t="str">
        <f t="shared" si="67"/>
        <v>OK</v>
      </c>
      <c r="AK287" t="str">
        <f t="shared" si="68"/>
        <v>OK</v>
      </c>
      <c r="AL287" t="str">
        <f t="shared" si="69"/>
        <v>Include</v>
      </c>
      <c r="AM287" t="str">
        <f t="shared" si="60"/>
        <v>Clean</v>
      </c>
    </row>
    <row r="288" spans="1:39">
      <c r="A288" t="s">
        <v>964</v>
      </c>
      <c r="B288" s="4">
        <v>45350</v>
      </c>
      <c r="C288" s="4">
        <v>45353</v>
      </c>
      <c r="D288" s="6">
        <v>3</v>
      </c>
      <c r="E288" t="s">
        <v>2788</v>
      </c>
      <c r="F288" t="s">
        <v>2788</v>
      </c>
      <c r="G288" t="s">
        <v>2788</v>
      </c>
      <c r="H288" t="s">
        <v>965</v>
      </c>
      <c r="I288" t="s">
        <v>114</v>
      </c>
      <c r="J288" t="s">
        <v>37</v>
      </c>
      <c r="K288" t="s">
        <v>25</v>
      </c>
      <c r="L288" t="s">
        <v>350</v>
      </c>
      <c r="M288" t="s">
        <v>351</v>
      </c>
      <c r="N288" t="s">
        <v>41</v>
      </c>
      <c r="O288" t="s">
        <v>57</v>
      </c>
      <c r="P288" t="s">
        <v>966</v>
      </c>
      <c r="Q288" t="s">
        <v>50</v>
      </c>
      <c r="R288">
        <v>7</v>
      </c>
      <c r="S288">
        <v>701.8</v>
      </c>
      <c r="T288">
        <v>0.1</v>
      </c>
      <c r="U288">
        <v>4421.34</v>
      </c>
      <c r="V288">
        <v>2489.98</v>
      </c>
      <c r="W288">
        <v>1931.36</v>
      </c>
      <c r="X288" t="s">
        <v>111</v>
      </c>
      <c r="Y288" t="s">
        <v>103</v>
      </c>
      <c r="Z288" t="str">
        <f t="shared" si="56"/>
        <v>Unique</v>
      </c>
      <c r="AA288" t="str">
        <f t="shared" si="57"/>
        <v>Unique</v>
      </c>
      <c r="AB288" t="str">
        <f t="shared" si="61"/>
        <v>OK</v>
      </c>
      <c r="AC288">
        <f t="shared" si="62"/>
        <v>0.1</v>
      </c>
      <c r="AD288" t="str">
        <f t="shared" si="63"/>
        <v>OK</v>
      </c>
      <c r="AE288">
        <f t="shared" si="64"/>
        <v>4421.3399999999992</v>
      </c>
      <c r="AF288">
        <f t="shared" si="65"/>
        <v>1931.3599999999992</v>
      </c>
      <c r="AG288">
        <f t="shared" si="66"/>
        <v>0.43682684435035524</v>
      </c>
      <c r="AH288" t="str">
        <f t="shared" si="58"/>
        <v>February</v>
      </c>
      <c r="AI288">
        <f t="shared" si="59"/>
        <v>2024</v>
      </c>
      <c r="AJ288" t="str">
        <f t="shared" si="67"/>
        <v>OK</v>
      </c>
      <c r="AK288" t="str">
        <f t="shared" si="68"/>
        <v>OK</v>
      </c>
      <c r="AL288" t="str">
        <f t="shared" si="69"/>
        <v>Exclude</v>
      </c>
      <c r="AM288" t="str">
        <f t="shared" si="60"/>
        <v>Clean</v>
      </c>
    </row>
    <row r="289" spans="1:39">
      <c r="A289" t="s">
        <v>967</v>
      </c>
      <c r="B289" s="4">
        <v>45540</v>
      </c>
      <c r="C289" s="4">
        <v>45542</v>
      </c>
      <c r="D289" s="6">
        <v>2</v>
      </c>
      <c r="E289" t="s">
        <v>2788</v>
      </c>
      <c r="F289" t="s">
        <v>2788</v>
      </c>
      <c r="G289" t="s">
        <v>2788</v>
      </c>
      <c r="H289" t="s">
        <v>968</v>
      </c>
      <c r="I289" t="s">
        <v>79</v>
      </c>
      <c r="J289" t="s">
        <v>37</v>
      </c>
      <c r="K289" t="s">
        <v>54</v>
      </c>
      <c r="L289" t="s">
        <v>247</v>
      </c>
      <c r="M289" t="s">
        <v>248</v>
      </c>
      <c r="N289" t="s">
        <v>74</v>
      </c>
      <c r="O289" t="s">
        <v>80</v>
      </c>
      <c r="P289" t="s">
        <v>969</v>
      </c>
      <c r="Q289" t="s">
        <v>59</v>
      </c>
      <c r="R289">
        <v>3</v>
      </c>
      <c r="S289">
        <v>2555.66</v>
      </c>
      <c r="T289">
        <v>0.15</v>
      </c>
      <c r="U289">
        <v>6516.93</v>
      </c>
      <c r="V289">
        <v>4511.54</v>
      </c>
      <c r="W289">
        <v>2005.39</v>
      </c>
      <c r="X289" t="s">
        <v>32</v>
      </c>
      <c r="Y289" t="s">
        <v>68</v>
      </c>
      <c r="Z289" t="str">
        <f t="shared" si="56"/>
        <v>Unique</v>
      </c>
      <c r="AA289" t="str">
        <f t="shared" si="57"/>
        <v>Unique</v>
      </c>
      <c r="AB289" t="str">
        <f t="shared" si="61"/>
        <v>OK</v>
      </c>
      <c r="AC289">
        <f t="shared" si="62"/>
        <v>0.15</v>
      </c>
      <c r="AD289" t="str">
        <f t="shared" si="63"/>
        <v>OK</v>
      </c>
      <c r="AE289">
        <f t="shared" si="64"/>
        <v>6516.9329999999991</v>
      </c>
      <c r="AF289">
        <f t="shared" si="65"/>
        <v>2005.3929999999991</v>
      </c>
      <c r="AG289">
        <f t="shared" si="66"/>
        <v>0.30772036477895343</v>
      </c>
      <c r="AH289" t="str">
        <f t="shared" si="58"/>
        <v>September</v>
      </c>
      <c r="AI289">
        <f t="shared" si="59"/>
        <v>2024</v>
      </c>
      <c r="AJ289" t="str">
        <f t="shared" si="67"/>
        <v>OK</v>
      </c>
      <c r="AK289" t="str">
        <f t="shared" si="68"/>
        <v>OK</v>
      </c>
      <c r="AL289" t="str">
        <f t="shared" si="69"/>
        <v>Exclude</v>
      </c>
      <c r="AM289" t="str">
        <f t="shared" si="60"/>
        <v>Clean</v>
      </c>
    </row>
    <row r="290" spans="1:39">
      <c r="A290" t="s">
        <v>970</v>
      </c>
      <c r="B290" s="4">
        <v>45467</v>
      </c>
      <c r="C290" s="4">
        <v>45467</v>
      </c>
      <c r="D290" s="6">
        <v>0</v>
      </c>
      <c r="E290" t="s">
        <v>2788</v>
      </c>
      <c r="F290" t="s">
        <v>2788</v>
      </c>
      <c r="G290" t="s">
        <v>2788</v>
      </c>
      <c r="H290" t="s">
        <v>971</v>
      </c>
      <c r="I290" t="s">
        <v>141</v>
      </c>
      <c r="J290" t="s">
        <v>37</v>
      </c>
      <c r="K290" t="s">
        <v>38</v>
      </c>
      <c r="L290" t="s">
        <v>145</v>
      </c>
      <c r="M290" t="s">
        <v>146</v>
      </c>
      <c r="N290" t="s">
        <v>28</v>
      </c>
      <c r="O290" t="s">
        <v>153</v>
      </c>
      <c r="P290" t="s">
        <v>972</v>
      </c>
      <c r="Q290" t="s">
        <v>44</v>
      </c>
      <c r="R290">
        <v>2</v>
      </c>
      <c r="S290">
        <v>4359.8999999999996</v>
      </c>
      <c r="T290">
        <v>0.15</v>
      </c>
      <c r="U290">
        <v>7411.83</v>
      </c>
      <c r="V290">
        <v>4904.63</v>
      </c>
      <c r="W290">
        <v>2507.1999999999998</v>
      </c>
      <c r="X290" t="s">
        <v>32</v>
      </c>
      <c r="Y290" t="s">
        <v>33</v>
      </c>
      <c r="Z290" t="str">
        <f t="shared" si="56"/>
        <v>Unique</v>
      </c>
      <c r="AA290" t="str">
        <f t="shared" si="57"/>
        <v>Unique</v>
      </c>
      <c r="AB290" t="str">
        <f t="shared" si="61"/>
        <v>OK</v>
      </c>
      <c r="AC290">
        <f t="shared" si="62"/>
        <v>0.15</v>
      </c>
      <c r="AD290" t="str">
        <f t="shared" si="63"/>
        <v>OK</v>
      </c>
      <c r="AE290">
        <f t="shared" si="64"/>
        <v>7411.829999999999</v>
      </c>
      <c r="AF290">
        <f t="shared" si="65"/>
        <v>2507.1999999999989</v>
      </c>
      <c r="AG290">
        <f t="shared" si="66"/>
        <v>0.3382700358750807</v>
      </c>
      <c r="AH290" t="str">
        <f t="shared" si="58"/>
        <v>June</v>
      </c>
      <c r="AI290">
        <f t="shared" si="59"/>
        <v>2024</v>
      </c>
      <c r="AJ290" t="str">
        <f t="shared" si="67"/>
        <v>OK</v>
      </c>
      <c r="AK290" t="str">
        <f t="shared" si="68"/>
        <v>OK</v>
      </c>
      <c r="AL290" t="str">
        <f t="shared" si="69"/>
        <v>Include</v>
      </c>
      <c r="AM290" t="str">
        <f t="shared" si="60"/>
        <v>Clean</v>
      </c>
    </row>
    <row r="291" spans="1:39">
      <c r="A291" t="s">
        <v>973</v>
      </c>
      <c r="B291" s="4">
        <v>45827</v>
      </c>
      <c r="C291" s="4">
        <v>45835</v>
      </c>
      <c r="D291" s="6">
        <v>8</v>
      </c>
      <c r="E291" t="s">
        <v>2788</v>
      </c>
      <c r="F291" t="s">
        <v>2788</v>
      </c>
      <c r="G291" t="s">
        <v>2788</v>
      </c>
      <c r="H291" t="s">
        <v>974</v>
      </c>
      <c r="I291" t="s">
        <v>23</v>
      </c>
      <c r="J291" t="s">
        <v>95</v>
      </c>
      <c r="K291" t="s">
        <v>54</v>
      </c>
      <c r="L291" t="s">
        <v>247</v>
      </c>
      <c r="M291" t="s">
        <v>248</v>
      </c>
      <c r="N291" t="s">
        <v>41</v>
      </c>
      <c r="O291" t="s">
        <v>158</v>
      </c>
      <c r="P291" t="s">
        <v>975</v>
      </c>
      <c r="Q291" t="s">
        <v>50</v>
      </c>
      <c r="R291">
        <v>2</v>
      </c>
      <c r="S291">
        <v>4346.6899999999996</v>
      </c>
      <c r="T291">
        <v>0.05</v>
      </c>
      <c r="U291">
        <v>8258.7099999999991</v>
      </c>
      <c r="V291">
        <v>7018.97</v>
      </c>
      <c r="W291">
        <v>1239.74</v>
      </c>
      <c r="X291" t="s">
        <v>32</v>
      </c>
      <c r="Y291" t="s">
        <v>33</v>
      </c>
      <c r="Z291" t="str">
        <f t="shared" si="56"/>
        <v>Unique</v>
      </c>
      <c r="AA291" t="str">
        <f t="shared" si="57"/>
        <v>Unique</v>
      </c>
      <c r="AB291" t="str">
        <f t="shared" si="61"/>
        <v>OK</v>
      </c>
      <c r="AC291">
        <f t="shared" si="62"/>
        <v>0.05</v>
      </c>
      <c r="AD291" t="str">
        <f t="shared" si="63"/>
        <v>OK</v>
      </c>
      <c r="AE291">
        <f t="shared" si="64"/>
        <v>8258.7109999999993</v>
      </c>
      <c r="AF291">
        <f t="shared" si="65"/>
        <v>1239.7409999999991</v>
      </c>
      <c r="AG291">
        <f t="shared" si="66"/>
        <v>0.15011313508851432</v>
      </c>
      <c r="AH291" t="str">
        <f t="shared" si="58"/>
        <v>June</v>
      </c>
      <c r="AI291">
        <f t="shared" si="59"/>
        <v>2025</v>
      </c>
      <c r="AJ291" t="str">
        <f t="shared" si="67"/>
        <v>OK</v>
      </c>
      <c r="AK291" t="str">
        <f t="shared" si="68"/>
        <v>OK</v>
      </c>
      <c r="AL291" t="str">
        <f t="shared" si="69"/>
        <v>Include</v>
      </c>
      <c r="AM291" t="str">
        <f t="shared" si="60"/>
        <v>Clean</v>
      </c>
    </row>
    <row r="292" spans="1:39">
      <c r="A292" t="s">
        <v>976</v>
      </c>
      <c r="B292" s="4">
        <v>45891</v>
      </c>
      <c r="C292" s="4">
        <v>45895</v>
      </c>
      <c r="D292" s="6">
        <v>4</v>
      </c>
      <c r="E292" t="s">
        <v>2788</v>
      </c>
      <c r="F292" t="s">
        <v>2788</v>
      </c>
      <c r="G292" t="s">
        <v>2788</v>
      </c>
      <c r="H292" t="s">
        <v>977</v>
      </c>
      <c r="I292" t="s">
        <v>162</v>
      </c>
      <c r="J292" t="s">
        <v>95</v>
      </c>
      <c r="K292" t="s">
        <v>38</v>
      </c>
      <c r="L292" t="s">
        <v>228</v>
      </c>
      <c r="M292" t="s">
        <v>229</v>
      </c>
      <c r="N292" t="s">
        <v>41</v>
      </c>
      <c r="O292" t="s">
        <v>42</v>
      </c>
      <c r="P292" t="s">
        <v>978</v>
      </c>
      <c r="Q292" t="s">
        <v>59</v>
      </c>
      <c r="R292">
        <v>1</v>
      </c>
      <c r="S292">
        <v>1842.63</v>
      </c>
      <c r="T292">
        <v>0.1</v>
      </c>
      <c r="U292">
        <v>1658.37</v>
      </c>
      <c r="V292">
        <v>971.12</v>
      </c>
      <c r="W292">
        <v>687.25</v>
      </c>
      <c r="X292" t="s">
        <v>32</v>
      </c>
      <c r="Y292" t="s">
        <v>33</v>
      </c>
      <c r="Z292" t="str">
        <f t="shared" si="56"/>
        <v>Unique</v>
      </c>
      <c r="AA292" t="str">
        <f t="shared" si="57"/>
        <v>Unique</v>
      </c>
      <c r="AB292" t="str">
        <f t="shared" si="61"/>
        <v>OK</v>
      </c>
      <c r="AC292">
        <f t="shared" si="62"/>
        <v>0.1</v>
      </c>
      <c r="AD292" t="str">
        <f t="shared" si="63"/>
        <v>OK</v>
      </c>
      <c r="AE292">
        <f t="shared" si="64"/>
        <v>1658.3670000000002</v>
      </c>
      <c r="AF292">
        <f t="shared" si="65"/>
        <v>687.24700000000018</v>
      </c>
      <c r="AG292">
        <f t="shared" si="66"/>
        <v>0.41441188832146331</v>
      </c>
      <c r="AH292" t="str">
        <f t="shared" si="58"/>
        <v>August</v>
      </c>
      <c r="AI292">
        <f t="shared" si="59"/>
        <v>2025</v>
      </c>
      <c r="AJ292" t="str">
        <f t="shared" si="67"/>
        <v>OK</v>
      </c>
      <c r="AK292" t="str">
        <f t="shared" si="68"/>
        <v>OK</v>
      </c>
      <c r="AL292" t="str">
        <f t="shared" si="69"/>
        <v>Include</v>
      </c>
      <c r="AM292" t="str">
        <f t="shared" si="60"/>
        <v>Clean</v>
      </c>
    </row>
    <row r="293" spans="1:39">
      <c r="A293" t="s">
        <v>979</v>
      </c>
      <c r="B293" s="4">
        <v>45387</v>
      </c>
      <c r="C293" s="4">
        <v>45392</v>
      </c>
      <c r="D293" s="6">
        <v>5</v>
      </c>
      <c r="E293" t="s">
        <v>2788</v>
      </c>
      <c r="F293" t="s">
        <v>2788</v>
      </c>
      <c r="G293" t="s">
        <v>2788</v>
      </c>
      <c r="H293" t="s">
        <v>980</v>
      </c>
      <c r="I293" t="s">
        <v>114</v>
      </c>
      <c r="J293" t="s">
        <v>95</v>
      </c>
      <c r="K293" t="s">
        <v>25</v>
      </c>
      <c r="L293" t="s">
        <v>26</v>
      </c>
      <c r="M293" t="s">
        <v>27</v>
      </c>
      <c r="N293" t="s">
        <v>28</v>
      </c>
      <c r="O293" t="s">
        <v>153</v>
      </c>
      <c r="P293" t="s">
        <v>981</v>
      </c>
      <c r="Q293" t="s">
        <v>59</v>
      </c>
      <c r="R293">
        <v>4</v>
      </c>
      <c r="S293">
        <v>3228.66</v>
      </c>
      <c r="T293">
        <v>0.25</v>
      </c>
      <c r="U293">
        <v>9685.98</v>
      </c>
      <c r="V293">
        <v>7730.04</v>
      </c>
      <c r="W293">
        <v>1955.94</v>
      </c>
      <c r="X293" t="s">
        <v>32</v>
      </c>
      <c r="Y293" t="s">
        <v>33</v>
      </c>
      <c r="Z293" t="str">
        <f t="shared" si="56"/>
        <v>Unique</v>
      </c>
      <c r="AA293" t="str">
        <f t="shared" si="57"/>
        <v>Unique</v>
      </c>
      <c r="AB293" t="str">
        <f t="shared" si="61"/>
        <v>OK</v>
      </c>
      <c r="AC293">
        <f t="shared" si="62"/>
        <v>0.25</v>
      </c>
      <c r="AD293" t="str">
        <f t="shared" si="63"/>
        <v>OK</v>
      </c>
      <c r="AE293">
        <f t="shared" si="64"/>
        <v>9685.98</v>
      </c>
      <c r="AF293">
        <f t="shared" si="65"/>
        <v>1955.9399999999996</v>
      </c>
      <c r="AG293">
        <f t="shared" si="66"/>
        <v>0.20193516815025425</v>
      </c>
      <c r="AH293" t="str">
        <f t="shared" si="58"/>
        <v>April</v>
      </c>
      <c r="AI293">
        <f t="shared" si="59"/>
        <v>2024</v>
      </c>
      <c r="AJ293" t="str">
        <f t="shared" si="67"/>
        <v>OK</v>
      </c>
      <c r="AK293" t="str">
        <f t="shared" si="68"/>
        <v>OK</v>
      </c>
      <c r="AL293" t="str">
        <f t="shared" si="69"/>
        <v>Include</v>
      </c>
      <c r="AM293" t="str">
        <f t="shared" si="60"/>
        <v>Clean</v>
      </c>
    </row>
    <row r="294" spans="1:39">
      <c r="A294" t="s">
        <v>982</v>
      </c>
      <c r="B294" s="4">
        <v>45716</v>
      </c>
      <c r="C294" s="4">
        <v>45719</v>
      </c>
      <c r="D294" s="6">
        <v>3</v>
      </c>
      <c r="E294" t="s">
        <v>2788</v>
      </c>
      <c r="F294" t="s">
        <v>2788</v>
      </c>
      <c r="G294" t="s">
        <v>2788</v>
      </c>
      <c r="H294" t="s">
        <v>983</v>
      </c>
      <c r="I294" t="s">
        <v>264</v>
      </c>
      <c r="J294" t="s">
        <v>95</v>
      </c>
      <c r="K294" t="s">
        <v>25</v>
      </c>
      <c r="L294" t="s">
        <v>236</v>
      </c>
      <c r="M294" t="s">
        <v>237</v>
      </c>
      <c r="N294" t="s">
        <v>28</v>
      </c>
      <c r="O294" t="s">
        <v>48</v>
      </c>
      <c r="P294" t="s">
        <v>984</v>
      </c>
      <c r="Q294" t="s">
        <v>44</v>
      </c>
      <c r="R294">
        <v>9</v>
      </c>
      <c r="S294">
        <v>3748.95</v>
      </c>
      <c r="T294">
        <v>0</v>
      </c>
      <c r="U294">
        <v>33740.550000000003</v>
      </c>
      <c r="V294">
        <v>24621.89</v>
      </c>
      <c r="W294">
        <v>9118.66</v>
      </c>
      <c r="X294" t="s">
        <v>111</v>
      </c>
      <c r="Y294" t="s">
        <v>68</v>
      </c>
      <c r="Z294" t="str">
        <f t="shared" si="56"/>
        <v>Unique</v>
      </c>
      <c r="AA294" t="str">
        <f t="shared" si="57"/>
        <v>Unique</v>
      </c>
      <c r="AB294" t="str">
        <f t="shared" si="61"/>
        <v>OK</v>
      </c>
      <c r="AC294">
        <f t="shared" si="62"/>
        <v>0</v>
      </c>
      <c r="AD294" t="str">
        <f t="shared" si="63"/>
        <v>OK</v>
      </c>
      <c r="AE294">
        <f t="shared" si="64"/>
        <v>33740.549999999996</v>
      </c>
      <c r="AF294">
        <f t="shared" si="65"/>
        <v>9118.6599999999962</v>
      </c>
      <c r="AG294">
        <f t="shared" si="66"/>
        <v>0.2702581908119458</v>
      </c>
      <c r="AH294" t="str">
        <f t="shared" si="58"/>
        <v>February</v>
      </c>
      <c r="AI294">
        <f t="shared" si="59"/>
        <v>2025</v>
      </c>
      <c r="AJ294" t="str">
        <f t="shared" si="67"/>
        <v>OK</v>
      </c>
      <c r="AK294" t="str">
        <f t="shared" si="68"/>
        <v>OK</v>
      </c>
      <c r="AL294" t="str">
        <f t="shared" si="69"/>
        <v>Exclude</v>
      </c>
      <c r="AM294" t="str">
        <f t="shared" si="60"/>
        <v>Clean</v>
      </c>
    </row>
    <row r="295" spans="1:39">
      <c r="A295" t="s">
        <v>985</v>
      </c>
      <c r="B295" s="4">
        <v>45358</v>
      </c>
      <c r="C295" s="4">
        <v>45362</v>
      </c>
      <c r="D295" s="6">
        <v>4</v>
      </c>
      <c r="E295" t="s">
        <v>2788</v>
      </c>
      <c r="F295" t="s">
        <v>2788</v>
      </c>
      <c r="G295" t="s">
        <v>2788</v>
      </c>
      <c r="H295" t="s">
        <v>986</v>
      </c>
      <c r="I295" t="s">
        <v>53</v>
      </c>
      <c r="J295" t="s">
        <v>95</v>
      </c>
      <c r="K295" t="s">
        <v>54</v>
      </c>
      <c r="L295" t="s">
        <v>55</v>
      </c>
      <c r="M295" t="s">
        <v>56</v>
      </c>
      <c r="N295" t="s">
        <v>74</v>
      </c>
      <c r="O295" t="s">
        <v>171</v>
      </c>
      <c r="P295" t="s">
        <v>987</v>
      </c>
      <c r="Q295" t="s">
        <v>50</v>
      </c>
      <c r="R295">
        <v>2</v>
      </c>
      <c r="S295">
        <v>4401.51</v>
      </c>
      <c r="T295">
        <v>0.65</v>
      </c>
      <c r="U295">
        <v>8362.8700000000008</v>
      </c>
      <c r="V295">
        <v>6541.04</v>
      </c>
      <c r="W295">
        <v>1821.83</v>
      </c>
      <c r="X295" t="s">
        <v>32</v>
      </c>
      <c r="Y295" t="s">
        <v>33</v>
      </c>
      <c r="Z295" t="str">
        <f t="shared" si="56"/>
        <v>Unique</v>
      </c>
      <c r="AA295" t="str">
        <f t="shared" si="57"/>
        <v>Unique</v>
      </c>
      <c r="AB295" t="str">
        <f t="shared" si="61"/>
        <v>OK</v>
      </c>
      <c r="AC295">
        <f t="shared" si="62"/>
        <v>0.65</v>
      </c>
      <c r="AD295" t="str">
        <f t="shared" si="63"/>
        <v>OK</v>
      </c>
      <c r="AE295">
        <f t="shared" si="64"/>
        <v>3081.0569999999998</v>
      </c>
      <c r="AF295">
        <f t="shared" si="65"/>
        <v>-3459.9830000000002</v>
      </c>
      <c r="AG295">
        <f t="shared" si="66"/>
        <v>-1.1229857156164267</v>
      </c>
      <c r="AH295" t="str">
        <f t="shared" si="58"/>
        <v>March</v>
      </c>
      <c r="AI295">
        <f t="shared" si="59"/>
        <v>2024</v>
      </c>
      <c r="AJ295" t="str">
        <f t="shared" si="67"/>
        <v>Sales Mismatch</v>
      </c>
      <c r="AK295" t="str">
        <f t="shared" si="68"/>
        <v>Profit Mismatch</v>
      </c>
      <c r="AL295" t="str">
        <f t="shared" si="69"/>
        <v>Include</v>
      </c>
      <c r="AM295" t="str">
        <f t="shared" si="60"/>
        <v>Warning</v>
      </c>
    </row>
    <row r="296" spans="1:39">
      <c r="A296" t="s">
        <v>988</v>
      </c>
      <c r="B296" s="4">
        <v>45854</v>
      </c>
      <c r="C296" s="4">
        <v>45860</v>
      </c>
      <c r="D296" s="6">
        <v>6</v>
      </c>
      <c r="E296" t="s">
        <v>2788</v>
      </c>
      <c r="F296" t="s">
        <v>2788</v>
      </c>
      <c r="G296" t="s">
        <v>2788</v>
      </c>
      <c r="H296" t="s">
        <v>989</v>
      </c>
      <c r="I296" t="s">
        <v>114</v>
      </c>
      <c r="J296" t="s">
        <v>24</v>
      </c>
      <c r="K296" t="s">
        <v>38</v>
      </c>
      <c r="L296" t="s">
        <v>39</v>
      </c>
      <c r="M296" t="s">
        <v>40</v>
      </c>
      <c r="N296" t="s">
        <v>74</v>
      </c>
      <c r="O296" t="s">
        <v>171</v>
      </c>
      <c r="P296" t="s">
        <v>990</v>
      </c>
      <c r="Q296" t="s">
        <v>31</v>
      </c>
      <c r="R296">
        <v>6</v>
      </c>
      <c r="S296">
        <v>4159.33</v>
      </c>
      <c r="T296">
        <v>0.25</v>
      </c>
      <c r="U296">
        <v>18716.990000000002</v>
      </c>
      <c r="V296">
        <v>12282.43</v>
      </c>
      <c r="W296">
        <v>6434.56</v>
      </c>
      <c r="X296" t="s">
        <v>32</v>
      </c>
      <c r="Y296" t="s">
        <v>103</v>
      </c>
      <c r="Z296" t="str">
        <f t="shared" si="56"/>
        <v>Unique</v>
      </c>
      <c r="AA296" t="str">
        <f t="shared" si="57"/>
        <v>Unique</v>
      </c>
      <c r="AB296" t="str">
        <f t="shared" si="61"/>
        <v>OK</v>
      </c>
      <c r="AC296">
        <f t="shared" si="62"/>
        <v>0.25</v>
      </c>
      <c r="AD296" t="str">
        <f t="shared" si="63"/>
        <v>OK</v>
      </c>
      <c r="AE296">
        <f t="shared" si="64"/>
        <v>18716.985000000001</v>
      </c>
      <c r="AF296">
        <f t="shared" si="65"/>
        <v>6434.5550000000003</v>
      </c>
      <c r="AG296">
        <f t="shared" si="66"/>
        <v>0.34378159730319813</v>
      </c>
      <c r="AH296" t="str">
        <f t="shared" si="58"/>
        <v>July</v>
      </c>
      <c r="AI296">
        <f t="shared" si="59"/>
        <v>2025</v>
      </c>
      <c r="AJ296" t="str">
        <f t="shared" si="67"/>
        <v>OK</v>
      </c>
      <c r="AK296" t="str">
        <f t="shared" si="68"/>
        <v>OK</v>
      </c>
      <c r="AL296" t="str">
        <f t="shared" si="69"/>
        <v>Exclude</v>
      </c>
      <c r="AM296" t="str">
        <f t="shared" si="60"/>
        <v>Clean</v>
      </c>
    </row>
    <row r="297" spans="1:39">
      <c r="A297" t="s">
        <v>991</v>
      </c>
      <c r="B297" s="4">
        <v>45833</v>
      </c>
      <c r="C297" s="4">
        <v>45836</v>
      </c>
      <c r="D297" s="6">
        <v>3</v>
      </c>
      <c r="E297" t="s">
        <v>2788</v>
      </c>
      <c r="F297" t="s">
        <v>2788</v>
      </c>
      <c r="G297" t="s">
        <v>2788</v>
      </c>
      <c r="H297" t="s">
        <v>992</v>
      </c>
      <c r="I297" t="s">
        <v>89</v>
      </c>
      <c r="J297" t="s">
        <v>37</v>
      </c>
      <c r="K297" t="s">
        <v>38</v>
      </c>
      <c r="L297" t="s">
        <v>166</v>
      </c>
      <c r="M297" t="s">
        <v>167</v>
      </c>
      <c r="N297" t="s">
        <v>28</v>
      </c>
      <c r="O297" t="s">
        <v>153</v>
      </c>
      <c r="P297" t="s">
        <v>993</v>
      </c>
      <c r="Q297" t="s">
        <v>59</v>
      </c>
      <c r="R297">
        <v>3</v>
      </c>
      <c r="S297">
        <v>3476.05</v>
      </c>
      <c r="T297">
        <v>0.1</v>
      </c>
      <c r="U297">
        <v>9385.34</v>
      </c>
      <c r="V297">
        <v>5828.54</v>
      </c>
      <c r="W297">
        <v>3556.8</v>
      </c>
      <c r="X297" t="s">
        <v>32</v>
      </c>
      <c r="Y297" t="s">
        <v>33</v>
      </c>
      <c r="Z297" t="str">
        <f t="shared" si="56"/>
        <v>Unique</v>
      </c>
      <c r="AA297" t="str">
        <f t="shared" si="57"/>
        <v>Unique</v>
      </c>
      <c r="AB297" t="str">
        <f t="shared" si="61"/>
        <v>OK</v>
      </c>
      <c r="AC297">
        <f t="shared" si="62"/>
        <v>0.1</v>
      </c>
      <c r="AD297" t="str">
        <f t="shared" si="63"/>
        <v>OK</v>
      </c>
      <c r="AE297">
        <f t="shared" si="64"/>
        <v>9385.3350000000009</v>
      </c>
      <c r="AF297">
        <f t="shared" si="65"/>
        <v>3556.795000000001</v>
      </c>
      <c r="AG297">
        <f t="shared" si="66"/>
        <v>0.37897368607513748</v>
      </c>
      <c r="AH297" t="str">
        <f t="shared" si="58"/>
        <v>June</v>
      </c>
      <c r="AI297">
        <f t="shared" si="59"/>
        <v>2025</v>
      </c>
      <c r="AJ297" t="str">
        <f t="shared" si="67"/>
        <v>OK</v>
      </c>
      <c r="AK297" t="str">
        <f t="shared" si="68"/>
        <v>OK</v>
      </c>
      <c r="AL297" t="str">
        <f t="shared" si="69"/>
        <v>Include</v>
      </c>
      <c r="AM297" t="str">
        <f t="shared" si="60"/>
        <v>Clean</v>
      </c>
    </row>
    <row r="298" spans="1:39">
      <c r="A298" t="s">
        <v>994</v>
      </c>
      <c r="B298" s="4">
        <v>45801</v>
      </c>
      <c r="C298" s="4">
        <v>45803</v>
      </c>
      <c r="D298" s="6">
        <v>2</v>
      </c>
      <c r="E298" t="s">
        <v>2788</v>
      </c>
      <c r="F298" t="s">
        <v>2788</v>
      </c>
      <c r="G298" t="s">
        <v>2788</v>
      </c>
      <c r="H298" t="s">
        <v>995</v>
      </c>
      <c r="I298" t="s">
        <v>89</v>
      </c>
      <c r="J298" t="s">
        <v>95</v>
      </c>
      <c r="K298" t="s">
        <v>25</v>
      </c>
      <c r="L298" t="s">
        <v>236</v>
      </c>
      <c r="M298" t="s">
        <v>237</v>
      </c>
      <c r="N298" t="s">
        <v>41</v>
      </c>
      <c r="O298" t="s">
        <v>57</v>
      </c>
      <c r="P298" t="s">
        <v>996</v>
      </c>
      <c r="Q298" t="s">
        <v>44</v>
      </c>
      <c r="R298">
        <v>6</v>
      </c>
      <c r="S298">
        <v>3495.41</v>
      </c>
      <c r="T298">
        <v>0.15</v>
      </c>
      <c r="U298">
        <v>17826.59</v>
      </c>
      <c r="V298">
        <v>10855.35</v>
      </c>
      <c r="W298">
        <v>6971.24</v>
      </c>
      <c r="X298" t="s">
        <v>32</v>
      </c>
      <c r="Y298" t="s">
        <v>33</v>
      </c>
      <c r="Z298" t="str">
        <f t="shared" si="56"/>
        <v>Unique</v>
      </c>
      <c r="AA298" t="str">
        <f t="shared" si="57"/>
        <v>Unique</v>
      </c>
      <c r="AB298" t="str">
        <f t="shared" si="61"/>
        <v>OK</v>
      </c>
      <c r="AC298">
        <f t="shared" si="62"/>
        <v>0.15</v>
      </c>
      <c r="AD298" t="str">
        <f t="shared" si="63"/>
        <v>OK</v>
      </c>
      <c r="AE298">
        <f t="shared" si="64"/>
        <v>17826.591</v>
      </c>
      <c r="AF298">
        <f t="shared" si="65"/>
        <v>6971.241</v>
      </c>
      <c r="AG298">
        <f t="shared" si="66"/>
        <v>0.39105855965394615</v>
      </c>
      <c r="AH298" t="str">
        <f t="shared" si="58"/>
        <v>May</v>
      </c>
      <c r="AI298">
        <f t="shared" si="59"/>
        <v>2025</v>
      </c>
      <c r="AJ298" t="str">
        <f t="shared" si="67"/>
        <v>OK</v>
      </c>
      <c r="AK298" t="str">
        <f t="shared" si="68"/>
        <v>OK</v>
      </c>
      <c r="AL298" t="str">
        <f t="shared" si="69"/>
        <v>Include</v>
      </c>
      <c r="AM298" t="str">
        <f t="shared" si="60"/>
        <v>Clean</v>
      </c>
    </row>
    <row r="299" spans="1:39">
      <c r="A299" t="s">
        <v>997</v>
      </c>
      <c r="B299" s="4">
        <v>45594</v>
      </c>
      <c r="C299" s="4">
        <v>45602</v>
      </c>
      <c r="D299" s="6">
        <v>8</v>
      </c>
      <c r="E299" t="s">
        <v>2788</v>
      </c>
      <c r="F299" t="s">
        <v>2788</v>
      </c>
      <c r="G299" t="s">
        <v>2788</v>
      </c>
      <c r="H299" t="s">
        <v>998</v>
      </c>
      <c r="I299" t="s">
        <v>132</v>
      </c>
      <c r="J299" t="s">
        <v>90</v>
      </c>
      <c r="K299" t="s">
        <v>54</v>
      </c>
      <c r="L299" t="s">
        <v>247</v>
      </c>
      <c r="M299" t="s">
        <v>248</v>
      </c>
      <c r="N299" t="s">
        <v>74</v>
      </c>
      <c r="O299" t="s">
        <v>80</v>
      </c>
      <c r="P299" t="s">
        <v>999</v>
      </c>
      <c r="Q299" t="s">
        <v>44</v>
      </c>
      <c r="R299">
        <v>6</v>
      </c>
      <c r="S299">
        <v>1169.92</v>
      </c>
      <c r="T299">
        <v>0.15</v>
      </c>
      <c r="U299">
        <v>5966.59</v>
      </c>
      <c r="V299">
        <v>3994.72</v>
      </c>
      <c r="W299">
        <v>1971.87</v>
      </c>
      <c r="X299" t="s">
        <v>32</v>
      </c>
      <c r="Y299" t="s">
        <v>33</v>
      </c>
      <c r="Z299" t="str">
        <f t="shared" si="56"/>
        <v>Unique</v>
      </c>
      <c r="AA299" t="str">
        <f t="shared" si="57"/>
        <v>Unique</v>
      </c>
      <c r="AB299" t="str">
        <f t="shared" si="61"/>
        <v>OK</v>
      </c>
      <c r="AC299">
        <f t="shared" si="62"/>
        <v>0.15</v>
      </c>
      <c r="AD299" t="str">
        <f t="shared" si="63"/>
        <v>OK</v>
      </c>
      <c r="AE299">
        <f t="shared" si="64"/>
        <v>5966.5920000000006</v>
      </c>
      <c r="AF299">
        <f t="shared" si="65"/>
        <v>1971.8720000000008</v>
      </c>
      <c r="AG299">
        <f t="shared" si="66"/>
        <v>0.33048547646629778</v>
      </c>
      <c r="AH299" t="str">
        <f t="shared" si="58"/>
        <v>October</v>
      </c>
      <c r="AI299">
        <f t="shared" si="59"/>
        <v>2024</v>
      </c>
      <c r="AJ299" t="str">
        <f t="shared" si="67"/>
        <v>OK</v>
      </c>
      <c r="AK299" t="str">
        <f t="shared" si="68"/>
        <v>OK</v>
      </c>
      <c r="AL299" t="str">
        <f t="shared" si="69"/>
        <v>Include</v>
      </c>
      <c r="AM299" t="str">
        <f t="shared" si="60"/>
        <v>Clean</v>
      </c>
    </row>
    <row r="300" spans="1:39">
      <c r="A300" t="s">
        <v>1000</v>
      </c>
      <c r="B300" s="4">
        <v>45680</v>
      </c>
      <c r="C300" s="4">
        <v>45683</v>
      </c>
      <c r="D300" s="6">
        <v>3</v>
      </c>
      <c r="E300" t="s">
        <v>2788</v>
      </c>
      <c r="F300" t="s">
        <v>2788</v>
      </c>
      <c r="G300" t="s">
        <v>2788</v>
      </c>
      <c r="H300" t="s">
        <v>1001</v>
      </c>
      <c r="I300" t="s">
        <v>47</v>
      </c>
      <c r="J300" t="s">
        <v>24</v>
      </c>
      <c r="K300" t="s">
        <v>54</v>
      </c>
      <c r="L300" t="s">
        <v>185</v>
      </c>
      <c r="M300" t="s">
        <v>186</v>
      </c>
      <c r="N300" t="s">
        <v>74</v>
      </c>
      <c r="O300" t="s">
        <v>80</v>
      </c>
      <c r="P300" t="s">
        <v>1002</v>
      </c>
      <c r="Q300" t="s">
        <v>50</v>
      </c>
      <c r="R300">
        <v>7</v>
      </c>
      <c r="S300">
        <v>348.49</v>
      </c>
      <c r="T300">
        <v>0.2</v>
      </c>
      <c r="U300">
        <v>1951.54</v>
      </c>
      <c r="V300">
        <v>1609.95</v>
      </c>
      <c r="W300">
        <v>341.59</v>
      </c>
      <c r="X300" t="s">
        <v>155</v>
      </c>
      <c r="Y300" t="s">
        <v>103</v>
      </c>
      <c r="Z300" t="str">
        <f t="shared" si="56"/>
        <v>Unique</v>
      </c>
      <c r="AA300" t="str">
        <f t="shared" si="57"/>
        <v>Unique</v>
      </c>
      <c r="AB300" t="str">
        <f t="shared" si="61"/>
        <v>OK</v>
      </c>
      <c r="AC300">
        <f t="shared" si="62"/>
        <v>0.2</v>
      </c>
      <c r="AD300" t="str">
        <f t="shared" si="63"/>
        <v>OK</v>
      </c>
      <c r="AE300">
        <f t="shared" si="64"/>
        <v>1951.5440000000003</v>
      </c>
      <c r="AF300">
        <f t="shared" si="65"/>
        <v>341.59400000000028</v>
      </c>
      <c r="AG300">
        <f t="shared" si="66"/>
        <v>0.17503781621116421</v>
      </c>
      <c r="AH300" t="str">
        <f t="shared" si="58"/>
        <v>January</v>
      </c>
      <c r="AI300">
        <f t="shared" si="59"/>
        <v>2025</v>
      </c>
      <c r="AJ300" t="str">
        <f t="shared" si="67"/>
        <v>OK</v>
      </c>
      <c r="AK300" t="str">
        <f t="shared" si="68"/>
        <v>OK</v>
      </c>
      <c r="AL300" t="str">
        <f t="shared" si="69"/>
        <v>Exclude</v>
      </c>
      <c r="AM300" t="str">
        <f t="shared" si="60"/>
        <v>Clean</v>
      </c>
    </row>
    <row r="301" spans="1:39">
      <c r="A301" t="s">
        <v>1003</v>
      </c>
      <c r="B301" s="4">
        <v>45602</v>
      </c>
      <c r="C301" s="4">
        <v>45608</v>
      </c>
      <c r="D301" s="6">
        <v>6</v>
      </c>
      <c r="E301" t="s">
        <v>2788</v>
      </c>
      <c r="F301" t="s">
        <v>2788</v>
      </c>
      <c r="G301" t="s">
        <v>2788</v>
      </c>
      <c r="H301" t="s">
        <v>1004</v>
      </c>
      <c r="I301" t="s">
        <v>118</v>
      </c>
      <c r="J301" t="s">
        <v>37</v>
      </c>
      <c r="K301" t="s">
        <v>63</v>
      </c>
      <c r="L301" t="s">
        <v>180</v>
      </c>
      <c r="M301" t="s">
        <v>181</v>
      </c>
      <c r="N301" t="s">
        <v>74</v>
      </c>
      <c r="O301" t="s">
        <v>75</v>
      </c>
      <c r="P301" t="s">
        <v>1005</v>
      </c>
      <c r="Q301" t="s">
        <v>59</v>
      </c>
      <c r="R301">
        <v>7</v>
      </c>
      <c r="S301">
        <v>1719.05</v>
      </c>
      <c r="T301">
        <v>0.1</v>
      </c>
      <c r="U301">
        <v>10830.02</v>
      </c>
      <c r="V301">
        <v>7055.31</v>
      </c>
      <c r="W301">
        <v>3774.71</v>
      </c>
      <c r="X301" t="s">
        <v>32</v>
      </c>
      <c r="Y301" t="s">
        <v>33</v>
      </c>
      <c r="Z301" t="str">
        <f t="shared" si="56"/>
        <v>Unique</v>
      </c>
      <c r="AA301" t="str">
        <f t="shared" si="57"/>
        <v>Unique</v>
      </c>
      <c r="AB301" t="str">
        <f t="shared" si="61"/>
        <v>OK</v>
      </c>
      <c r="AC301">
        <f t="shared" si="62"/>
        <v>0.1</v>
      </c>
      <c r="AD301" t="str">
        <f t="shared" si="63"/>
        <v>OK</v>
      </c>
      <c r="AE301">
        <f t="shared" si="64"/>
        <v>10830.015000000001</v>
      </c>
      <c r="AF301">
        <f t="shared" si="65"/>
        <v>3774.7050000000008</v>
      </c>
      <c r="AG301">
        <f t="shared" si="66"/>
        <v>0.34854106850267524</v>
      </c>
      <c r="AH301" t="str">
        <f t="shared" si="58"/>
        <v>November</v>
      </c>
      <c r="AI301">
        <f t="shared" si="59"/>
        <v>2024</v>
      </c>
      <c r="AJ301" t="str">
        <f t="shared" si="67"/>
        <v>OK</v>
      </c>
      <c r="AK301" t="str">
        <f t="shared" si="68"/>
        <v>OK</v>
      </c>
      <c r="AL301" t="str">
        <f t="shared" si="69"/>
        <v>Include</v>
      </c>
      <c r="AM301" t="str">
        <f t="shared" si="60"/>
        <v>Clean</v>
      </c>
    </row>
    <row r="302" spans="1:39">
      <c r="A302" t="s">
        <v>1006</v>
      </c>
      <c r="B302" s="4">
        <v>45397</v>
      </c>
      <c r="C302" s="4">
        <v>45405</v>
      </c>
      <c r="D302" s="6">
        <v>8</v>
      </c>
      <c r="E302" t="s">
        <v>2788</v>
      </c>
      <c r="F302" t="s">
        <v>2788</v>
      </c>
      <c r="G302" t="s">
        <v>2788</v>
      </c>
      <c r="H302" t="s">
        <v>1007</v>
      </c>
      <c r="I302" t="s">
        <v>162</v>
      </c>
      <c r="J302" t="s">
        <v>37</v>
      </c>
      <c r="K302" t="s">
        <v>25</v>
      </c>
      <c r="L302" t="s">
        <v>122</v>
      </c>
      <c r="M302" t="s">
        <v>123</v>
      </c>
      <c r="N302" t="s">
        <v>74</v>
      </c>
      <c r="O302" t="s">
        <v>75</v>
      </c>
      <c r="P302" t="s">
        <v>1008</v>
      </c>
      <c r="Q302" t="s">
        <v>31</v>
      </c>
      <c r="R302">
        <v>9</v>
      </c>
      <c r="S302">
        <v>3893.74</v>
      </c>
      <c r="T302">
        <v>0.1</v>
      </c>
      <c r="U302">
        <v>31539.29</v>
      </c>
      <c r="V302">
        <v>22100.14</v>
      </c>
      <c r="W302">
        <v>9439.15</v>
      </c>
      <c r="X302" t="s">
        <v>32</v>
      </c>
      <c r="Y302" t="s">
        <v>33</v>
      </c>
      <c r="Z302" t="str">
        <f t="shared" si="56"/>
        <v>Unique</v>
      </c>
      <c r="AA302" t="str">
        <f t="shared" si="57"/>
        <v>Unique</v>
      </c>
      <c r="AB302" t="str">
        <f t="shared" si="61"/>
        <v>OK</v>
      </c>
      <c r="AC302">
        <f t="shared" si="62"/>
        <v>0.1</v>
      </c>
      <c r="AD302" t="str">
        <f t="shared" si="63"/>
        <v>OK</v>
      </c>
      <c r="AE302">
        <f t="shared" si="64"/>
        <v>31539.293999999998</v>
      </c>
      <c r="AF302">
        <f t="shared" si="65"/>
        <v>9439.1539999999986</v>
      </c>
      <c r="AG302">
        <f t="shared" si="66"/>
        <v>0.29928234918638313</v>
      </c>
      <c r="AH302" t="str">
        <f t="shared" si="58"/>
        <v>April</v>
      </c>
      <c r="AI302">
        <f t="shared" si="59"/>
        <v>2024</v>
      </c>
      <c r="AJ302" t="str">
        <f t="shared" si="67"/>
        <v>OK</v>
      </c>
      <c r="AK302" t="str">
        <f t="shared" si="68"/>
        <v>OK</v>
      </c>
      <c r="AL302" t="str">
        <f t="shared" si="69"/>
        <v>Include</v>
      </c>
      <c r="AM302" t="str">
        <f t="shared" si="60"/>
        <v>Clean</v>
      </c>
    </row>
    <row r="303" spans="1:39">
      <c r="A303" t="s">
        <v>1009</v>
      </c>
      <c r="B303" s="4">
        <v>45805</v>
      </c>
      <c r="C303" s="4">
        <v>45809</v>
      </c>
      <c r="D303" s="6">
        <v>4</v>
      </c>
      <c r="E303" t="s">
        <v>2788</v>
      </c>
      <c r="F303" t="s">
        <v>2788</v>
      </c>
      <c r="G303" t="s">
        <v>2788</v>
      </c>
      <c r="H303" t="s">
        <v>1010</v>
      </c>
      <c r="I303" t="s">
        <v>47</v>
      </c>
      <c r="J303" t="s">
        <v>95</v>
      </c>
      <c r="K303" t="s">
        <v>38</v>
      </c>
      <c r="L303" t="s">
        <v>145</v>
      </c>
      <c r="M303" t="s">
        <v>146</v>
      </c>
      <c r="N303" t="s">
        <v>74</v>
      </c>
      <c r="O303" t="s">
        <v>171</v>
      </c>
      <c r="P303" t="s">
        <v>1011</v>
      </c>
      <c r="Q303" t="s">
        <v>44</v>
      </c>
      <c r="R303">
        <v>4</v>
      </c>
      <c r="S303">
        <v>1654.11</v>
      </c>
      <c r="T303">
        <v>0.05</v>
      </c>
      <c r="U303">
        <v>6285.62</v>
      </c>
      <c r="V303">
        <v>3705.38</v>
      </c>
      <c r="W303">
        <v>2580.2399999999998</v>
      </c>
      <c r="X303" t="s">
        <v>32</v>
      </c>
      <c r="Y303" t="s">
        <v>33</v>
      </c>
      <c r="Z303" t="str">
        <f t="shared" si="56"/>
        <v>Unique</v>
      </c>
      <c r="AA303" t="str">
        <f t="shared" si="57"/>
        <v>Unique</v>
      </c>
      <c r="AB303" t="str">
        <f t="shared" si="61"/>
        <v>OK</v>
      </c>
      <c r="AC303">
        <f t="shared" si="62"/>
        <v>0.05</v>
      </c>
      <c r="AD303" t="str">
        <f t="shared" si="63"/>
        <v>OK</v>
      </c>
      <c r="AE303">
        <f t="shared" si="64"/>
        <v>6285.6179999999995</v>
      </c>
      <c r="AF303">
        <f t="shared" si="65"/>
        <v>2580.2379999999994</v>
      </c>
      <c r="AG303">
        <f t="shared" si="66"/>
        <v>0.41049869718458865</v>
      </c>
      <c r="AH303" t="str">
        <f t="shared" si="58"/>
        <v>May</v>
      </c>
      <c r="AI303">
        <f t="shared" si="59"/>
        <v>2025</v>
      </c>
      <c r="AJ303" t="str">
        <f t="shared" si="67"/>
        <v>OK</v>
      </c>
      <c r="AK303" t="str">
        <f t="shared" si="68"/>
        <v>OK</v>
      </c>
      <c r="AL303" t="str">
        <f t="shared" si="69"/>
        <v>Include</v>
      </c>
      <c r="AM303" t="str">
        <f t="shared" si="60"/>
        <v>Clean</v>
      </c>
    </row>
    <row r="304" spans="1:39">
      <c r="A304" t="s">
        <v>1012</v>
      </c>
      <c r="B304" s="4">
        <v>45812</v>
      </c>
      <c r="C304" s="4">
        <v>45820</v>
      </c>
      <c r="D304" s="6">
        <v>8</v>
      </c>
      <c r="E304" t="s">
        <v>2788</v>
      </c>
      <c r="F304" t="s">
        <v>2788</v>
      </c>
      <c r="G304" t="s">
        <v>2788</v>
      </c>
      <c r="H304" t="s">
        <v>1013</v>
      </c>
      <c r="I304" t="s">
        <v>79</v>
      </c>
      <c r="J304" t="s">
        <v>24</v>
      </c>
      <c r="K304" t="s">
        <v>63</v>
      </c>
      <c r="L304" t="s">
        <v>190</v>
      </c>
      <c r="M304" t="s">
        <v>191</v>
      </c>
      <c r="N304" t="s">
        <v>28</v>
      </c>
      <c r="O304" t="s">
        <v>124</v>
      </c>
      <c r="P304" t="s">
        <v>1014</v>
      </c>
      <c r="Q304" t="s">
        <v>44</v>
      </c>
      <c r="R304">
        <v>2</v>
      </c>
      <c r="S304">
        <v>2703.28</v>
      </c>
      <c r="T304">
        <v>0.25</v>
      </c>
      <c r="U304">
        <v>4054.92</v>
      </c>
      <c r="V304">
        <v>2424.83</v>
      </c>
      <c r="W304">
        <v>1630.09</v>
      </c>
      <c r="X304" t="s">
        <v>32</v>
      </c>
      <c r="Y304" t="s">
        <v>33</v>
      </c>
      <c r="Z304" t="str">
        <f t="shared" si="56"/>
        <v>Unique</v>
      </c>
      <c r="AA304" t="str">
        <f t="shared" si="57"/>
        <v>Unique</v>
      </c>
      <c r="AB304" t="str">
        <f t="shared" si="61"/>
        <v>OK</v>
      </c>
      <c r="AC304">
        <f t="shared" si="62"/>
        <v>0.25</v>
      </c>
      <c r="AD304" t="str">
        <f t="shared" si="63"/>
        <v>OK</v>
      </c>
      <c r="AE304">
        <f t="shared" si="64"/>
        <v>4054.92</v>
      </c>
      <c r="AF304">
        <f t="shared" si="65"/>
        <v>1630.0900000000001</v>
      </c>
      <c r="AG304">
        <f t="shared" si="66"/>
        <v>0.40200299882611745</v>
      </c>
      <c r="AH304" t="str">
        <f t="shared" si="58"/>
        <v>June</v>
      </c>
      <c r="AI304">
        <f t="shared" si="59"/>
        <v>2025</v>
      </c>
      <c r="AJ304" t="str">
        <f t="shared" si="67"/>
        <v>OK</v>
      </c>
      <c r="AK304" t="str">
        <f t="shared" si="68"/>
        <v>OK</v>
      </c>
      <c r="AL304" t="str">
        <f t="shared" si="69"/>
        <v>Include</v>
      </c>
      <c r="AM304" t="str">
        <f t="shared" si="60"/>
        <v>Clean</v>
      </c>
    </row>
    <row r="305" spans="1:39">
      <c r="A305" t="s">
        <v>1015</v>
      </c>
      <c r="B305" s="4">
        <v>45466</v>
      </c>
      <c r="C305" s="4">
        <v>45471</v>
      </c>
      <c r="D305" s="6">
        <v>5</v>
      </c>
      <c r="E305" t="s">
        <v>2788</v>
      </c>
      <c r="F305" t="s">
        <v>2788</v>
      </c>
      <c r="G305" t="s">
        <v>2788</v>
      </c>
      <c r="H305" t="s">
        <v>1016</v>
      </c>
      <c r="I305" t="s">
        <v>162</v>
      </c>
      <c r="J305" t="s">
        <v>95</v>
      </c>
      <c r="K305" t="s">
        <v>63</v>
      </c>
      <c r="L305" t="s">
        <v>180</v>
      </c>
      <c r="M305" t="s">
        <v>181</v>
      </c>
      <c r="N305" t="s">
        <v>41</v>
      </c>
      <c r="O305" t="s">
        <v>66</v>
      </c>
      <c r="P305" t="s">
        <v>1017</v>
      </c>
      <c r="Q305" t="s">
        <v>59</v>
      </c>
      <c r="R305">
        <v>2</v>
      </c>
      <c r="S305">
        <v>1313.14</v>
      </c>
      <c r="T305">
        <v>0.1</v>
      </c>
      <c r="U305">
        <v>2363.65</v>
      </c>
      <c r="V305">
        <v>1876.1</v>
      </c>
      <c r="W305">
        <v>487.55</v>
      </c>
      <c r="X305" t="s">
        <v>111</v>
      </c>
      <c r="Y305" t="s">
        <v>103</v>
      </c>
      <c r="Z305" t="str">
        <f t="shared" si="56"/>
        <v>Unique</v>
      </c>
      <c r="AA305" t="str">
        <f t="shared" si="57"/>
        <v>Unique</v>
      </c>
      <c r="AB305" t="str">
        <f t="shared" si="61"/>
        <v>OK</v>
      </c>
      <c r="AC305">
        <f t="shared" si="62"/>
        <v>0.1</v>
      </c>
      <c r="AD305" t="str">
        <f t="shared" si="63"/>
        <v>OK</v>
      </c>
      <c r="AE305">
        <f t="shared" si="64"/>
        <v>2363.652</v>
      </c>
      <c r="AF305">
        <f t="shared" si="65"/>
        <v>487.55200000000013</v>
      </c>
      <c r="AG305">
        <f t="shared" si="66"/>
        <v>0.20627063544041174</v>
      </c>
      <c r="AH305" t="str">
        <f t="shared" si="58"/>
        <v>June</v>
      </c>
      <c r="AI305">
        <f t="shared" si="59"/>
        <v>2024</v>
      </c>
      <c r="AJ305" t="str">
        <f t="shared" si="67"/>
        <v>OK</v>
      </c>
      <c r="AK305" t="str">
        <f t="shared" si="68"/>
        <v>OK</v>
      </c>
      <c r="AL305" t="str">
        <f t="shared" si="69"/>
        <v>Exclude</v>
      </c>
      <c r="AM305" t="str">
        <f t="shared" si="60"/>
        <v>Clean</v>
      </c>
    </row>
    <row r="306" spans="1:39">
      <c r="A306" t="s">
        <v>1018</v>
      </c>
      <c r="B306" s="4">
        <v>45357</v>
      </c>
      <c r="C306" s="4">
        <v>45364</v>
      </c>
      <c r="D306" s="6">
        <v>7</v>
      </c>
      <c r="E306" t="s">
        <v>2788</v>
      </c>
      <c r="F306" t="s">
        <v>2788</v>
      </c>
      <c r="G306" t="s">
        <v>2788</v>
      </c>
      <c r="H306" t="s">
        <v>1019</v>
      </c>
      <c r="I306" t="s">
        <v>23</v>
      </c>
      <c r="J306" t="s">
        <v>24</v>
      </c>
      <c r="K306" t="s">
        <v>25</v>
      </c>
      <c r="L306" t="s">
        <v>122</v>
      </c>
      <c r="M306" t="s">
        <v>123</v>
      </c>
      <c r="N306" t="s">
        <v>41</v>
      </c>
      <c r="O306" t="s">
        <v>57</v>
      </c>
      <c r="P306" t="s">
        <v>1020</v>
      </c>
      <c r="Q306" t="s">
        <v>59</v>
      </c>
      <c r="R306">
        <v>6</v>
      </c>
      <c r="S306">
        <v>2403.0500000000002</v>
      </c>
      <c r="T306">
        <v>0.1</v>
      </c>
      <c r="U306">
        <v>12976.47</v>
      </c>
      <c r="V306">
        <v>10019.98</v>
      </c>
      <c r="W306">
        <v>2956.49</v>
      </c>
      <c r="X306" t="s">
        <v>32</v>
      </c>
      <c r="Y306" t="s">
        <v>33</v>
      </c>
      <c r="Z306" t="str">
        <f t="shared" si="56"/>
        <v>Unique</v>
      </c>
      <c r="AA306" t="str">
        <f t="shared" si="57"/>
        <v>Unique</v>
      </c>
      <c r="AB306" t="str">
        <f t="shared" si="61"/>
        <v>OK</v>
      </c>
      <c r="AC306">
        <f t="shared" si="62"/>
        <v>0.1</v>
      </c>
      <c r="AD306" t="str">
        <f t="shared" si="63"/>
        <v>OK</v>
      </c>
      <c r="AE306">
        <f t="shared" si="64"/>
        <v>12976.470000000001</v>
      </c>
      <c r="AF306">
        <f t="shared" si="65"/>
        <v>2956.4900000000016</v>
      </c>
      <c r="AG306">
        <f t="shared" si="66"/>
        <v>0.22783468847845378</v>
      </c>
      <c r="AH306" t="str">
        <f t="shared" si="58"/>
        <v>March</v>
      </c>
      <c r="AI306">
        <f t="shared" si="59"/>
        <v>2024</v>
      </c>
      <c r="AJ306" t="str">
        <f t="shared" si="67"/>
        <v>OK</v>
      </c>
      <c r="AK306" t="str">
        <f t="shared" si="68"/>
        <v>OK</v>
      </c>
      <c r="AL306" t="str">
        <f t="shared" si="69"/>
        <v>Include</v>
      </c>
      <c r="AM306" t="str">
        <f t="shared" si="60"/>
        <v>Clean</v>
      </c>
    </row>
    <row r="307" spans="1:39">
      <c r="A307" t="s">
        <v>1021</v>
      </c>
      <c r="B307" s="4">
        <v>45413</v>
      </c>
      <c r="C307" s="4">
        <v>45414</v>
      </c>
      <c r="D307" s="6">
        <v>1</v>
      </c>
      <c r="E307" t="s">
        <v>2788</v>
      </c>
      <c r="F307" t="s">
        <v>2788</v>
      </c>
      <c r="G307" t="s">
        <v>2788</v>
      </c>
      <c r="H307" t="s">
        <v>1022</v>
      </c>
      <c r="I307" t="s">
        <v>62</v>
      </c>
      <c r="J307" t="s">
        <v>24</v>
      </c>
      <c r="K307" t="s">
        <v>38</v>
      </c>
      <c r="L307" t="s">
        <v>166</v>
      </c>
      <c r="M307" t="s">
        <v>167</v>
      </c>
      <c r="N307" t="s">
        <v>41</v>
      </c>
      <c r="O307" t="s">
        <v>66</v>
      </c>
      <c r="P307" t="s">
        <v>1023</v>
      </c>
      <c r="Q307" t="s">
        <v>50</v>
      </c>
      <c r="R307">
        <v>4</v>
      </c>
      <c r="S307">
        <v>4156.0600000000004</v>
      </c>
      <c r="T307">
        <v>0.55000000000000004</v>
      </c>
      <c r="U307">
        <v>13299.39</v>
      </c>
      <c r="V307">
        <v>9851.91</v>
      </c>
      <c r="W307">
        <v>3447.48</v>
      </c>
      <c r="X307" t="s">
        <v>32</v>
      </c>
      <c r="Y307" t="s">
        <v>68</v>
      </c>
      <c r="Z307" t="str">
        <f t="shared" si="56"/>
        <v>Unique</v>
      </c>
      <c r="AA307" t="str">
        <f t="shared" si="57"/>
        <v>Unique</v>
      </c>
      <c r="AB307" t="str">
        <f t="shared" si="61"/>
        <v>OK</v>
      </c>
      <c r="AC307">
        <f t="shared" si="62"/>
        <v>0.55000000000000004</v>
      </c>
      <c r="AD307" t="str">
        <f t="shared" si="63"/>
        <v>OK</v>
      </c>
      <c r="AE307">
        <f t="shared" si="64"/>
        <v>7480.9080000000004</v>
      </c>
      <c r="AF307">
        <f t="shared" si="65"/>
        <v>-2371.0019999999995</v>
      </c>
      <c r="AG307">
        <f t="shared" si="66"/>
        <v>-0.31694040349112695</v>
      </c>
      <c r="AH307" t="str">
        <f t="shared" si="58"/>
        <v>May</v>
      </c>
      <c r="AI307">
        <f t="shared" si="59"/>
        <v>2024</v>
      </c>
      <c r="AJ307" t="str">
        <f t="shared" si="67"/>
        <v>Sales Mismatch</v>
      </c>
      <c r="AK307" t="str">
        <f t="shared" si="68"/>
        <v>Profit Mismatch</v>
      </c>
      <c r="AL307" t="str">
        <f t="shared" si="69"/>
        <v>Exclude</v>
      </c>
      <c r="AM307" t="str">
        <f t="shared" si="60"/>
        <v>Warning</v>
      </c>
    </row>
    <row r="308" spans="1:39">
      <c r="A308" t="s">
        <v>1024</v>
      </c>
      <c r="B308" s="4">
        <v>45708</v>
      </c>
      <c r="C308" s="4">
        <v>45711</v>
      </c>
      <c r="D308" s="6">
        <v>3</v>
      </c>
      <c r="E308" t="s">
        <v>2788</v>
      </c>
      <c r="F308" t="s">
        <v>2788</v>
      </c>
      <c r="G308" t="s">
        <v>2788</v>
      </c>
      <c r="H308" t="s">
        <v>1025</v>
      </c>
      <c r="I308" t="s">
        <v>128</v>
      </c>
      <c r="J308" t="s">
        <v>24</v>
      </c>
      <c r="K308" t="s">
        <v>25</v>
      </c>
      <c r="L308" t="s">
        <v>26</v>
      </c>
      <c r="M308" t="s">
        <v>27</v>
      </c>
      <c r="N308" t="s">
        <v>74</v>
      </c>
      <c r="O308" t="s">
        <v>171</v>
      </c>
      <c r="P308" t="s">
        <v>1026</v>
      </c>
      <c r="Q308" t="s">
        <v>31</v>
      </c>
      <c r="R308">
        <v>4</v>
      </c>
      <c r="S308">
        <v>3673.11</v>
      </c>
      <c r="T308">
        <v>0</v>
      </c>
      <c r="U308">
        <v>14692.44</v>
      </c>
      <c r="V308">
        <v>10082.19</v>
      </c>
      <c r="W308">
        <v>4610.25</v>
      </c>
      <c r="X308" t="s">
        <v>32</v>
      </c>
      <c r="Y308" t="s">
        <v>33</v>
      </c>
      <c r="Z308" t="str">
        <f t="shared" si="56"/>
        <v>Unique</v>
      </c>
      <c r="AA308" t="str">
        <f t="shared" si="57"/>
        <v>Unique</v>
      </c>
      <c r="AB308" t="str">
        <f t="shared" si="61"/>
        <v>OK</v>
      </c>
      <c r="AC308">
        <f t="shared" si="62"/>
        <v>0</v>
      </c>
      <c r="AD308" t="str">
        <f t="shared" si="63"/>
        <v>OK</v>
      </c>
      <c r="AE308">
        <f t="shared" si="64"/>
        <v>14692.44</v>
      </c>
      <c r="AF308">
        <f t="shared" si="65"/>
        <v>4610.25</v>
      </c>
      <c r="AG308">
        <f t="shared" si="66"/>
        <v>0.31378382351740075</v>
      </c>
      <c r="AH308" t="str">
        <f t="shared" si="58"/>
        <v>February</v>
      </c>
      <c r="AI308">
        <f t="shared" si="59"/>
        <v>2025</v>
      </c>
      <c r="AJ308" t="str">
        <f t="shared" si="67"/>
        <v>OK</v>
      </c>
      <c r="AK308" t="str">
        <f t="shared" si="68"/>
        <v>OK</v>
      </c>
      <c r="AL308" t="str">
        <f t="shared" si="69"/>
        <v>Include</v>
      </c>
      <c r="AM308" t="str">
        <f t="shared" si="60"/>
        <v>Clean</v>
      </c>
    </row>
    <row r="309" spans="1:39">
      <c r="A309" t="s">
        <v>1027</v>
      </c>
      <c r="B309" s="4">
        <v>45850</v>
      </c>
      <c r="C309" s="4">
        <v>45857</v>
      </c>
      <c r="D309" s="6">
        <v>7</v>
      </c>
      <c r="E309" t="s">
        <v>2788</v>
      </c>
      <c r="F309" t="s">
        <v>2788</v>
      </c>
      <c r="G309" t="s">
        <v>2788</v>
      </c>
      <c r="H309" t="s">
        <v>1028</v>
      </c>
      <c r="I309" t="s">
        <v>62</v>
      </c>
      <c r="J309" t="s">
        <v>90</v>
      </c>
      <c r="K309" t="s">
        <v>25</v>
      </c>
      <c r="L309" t="s">
        <v>136</v>
      </c>
      <c r="M309" t="s">
        <v>137</v>
      </c>
      <c r="N309" t="s">
        <v>41</v>
      </c>
      <c r="O309" t="s">
        <v>42</v>
      </c>
      <c r="P309" t="s">
        <v>1029</v>
      </c>
      <c r="Q309" t="s">
        <v>50</v>
      </c>
      <c r="R309">
        <v>9</v>
      </c>
      <c r="S309">
        <v>4093.04</v>
      </c>
      <c r="T309">
        <v>0.2</v>
      </c>
      <c r="U309">
        <v>29469.89</v>
      </c>
      <c r="V309">
        <v>18935.509999999998</v>
      </c>
      <c r="W309">
        <v>10534.38</v>
      </c>
      <c r="X309" t="s">
        <v>111</v>
      </c>
      <c r="Y309" t="s">
        <v>68</v>
      </c>
      <c r="Z309" t="str">
        <f t="shared" si="56"/>
        <v>Unique</v>
      </c>
      <c r="AA309" t="str">
        <f t="shared" si="57"/>
        <v>Unique</v>
      </c>
      <c r="AB309" t="str">
        <f t="shared" si="61"/>
        <v>OK</v>
      </c>
      <c r="AC309">
        <f t="shared" si="62"/>
        <v>0.2</v>
      </c>
      <c r="AD309" t="str">
        <f t="shared" si="63"/>
        <v>OK</v>
      </c>
      <c r="AE309">
        <f t="shared" si="64"/>
        <v>29469.888000000003</v>
      </c>
      <c r="AF309">
        <f t="shared" si="65"/>
        <v>10534.378000000004</v>
      </c>
      <c r="AG309">
        <f t="shared" si="66"/>
        <v>0.3574624375905332</v>
      </c>
      <c r="AH309" t="str">
        <f t="shared" si="58"/>
        <v>July</v>
      </c>
      <c r="AI309">
        <f t="shared" si="59"/>
        <v>2025</v>
      </c>
      <c r="AJ309" t="str">
        <f t="shared" si="67"/>
        <v>OK</v>
      </c>
      <c r="AK309" t="str">
        <f t="shared" si="68"/>
        <v>OK</v>
      </c>
      <c r="AL309" t="str">
        <f t="shared" si="69"/>
        <v>Exclude</v>
      </c>
      <c r="AM309" t="str">
        <f t="shared" si="60"/>
        <v>Clean</v>
      </c>
    </row>
    <row r="310" spans="1:39">
      <c r="A310" t="s">
        <v>1030</v>
      </c>
      <c r="B310" s="4">
        <v>45821</v>
      </c>
      <c r="C310" s="4">
        <v>45827</v>
      </c>
      <c r="D310" s="6">
        <v>6</v>
      </c>
      <c r="E310" t="s">
        <v>2788</v>
      </c>
      <c r="F310" t="s">
        <v>2788</v>
      </c>
      <c r="G310" t="s">
        <v>2788</v>
      </c>
      <c r="H310" t="s">
        <v>1031</v>
      </c>
      <c r="I310" t="s">
        <v>141</v>
      </c>
      <c r="J310" t="s">
        <v>24</v>
      </c>
      <c r="K310" t="s">
        <v>25</v>
      </c>
      <c r="L310" t="s">
        <v>26</v>
      </c>
      <c r="M310" t="s">
        <v>27</v>
      </c>
      <c r="N310" t="s">
        <v>41</v>
      </c>
      <c r="O310" t="s">
        <v>42</v>
      </c>
      <c r="P310" t="s">
        <v>1032</v>
      </c>
      <c r="Q310" t="s">
        <v>50</v>
      </c>
      <c r="R310">
        <v>4</v>
      </c>
      <c r="S310">
        <v>731.57</v>
      </c>
      <c r="T310">
        <v>0.2</v>
      </c>
      <c r="U310">
        <v>2341.02</v>
      </c>
      <c r="V310">
        <v>1565.49</v>
      </c>
      <c r="W310">
        <v>775.53</v>
      </c>
      <c r="X310" t="s">
        <v>32</v>
      </c>
      <c r="Y310" t="s">
        <v>33</v>
      </c>
      <c r="Z310" t="str">
        <f t="shared" si="56"/>
        <v>Unique</v>
      </c>
      <c r="AA310" t="str">
        <f t="shared" si="57"/>
        <v>Unique</v>
      </c>
      <c r="AB310" t="str">
        <f t="shared" si="61"/>
        <v>OK</v>
      </c>
      <c r="AC310">
        <f t="shared" si="62"/>
        <v>0.2</v>
      </c>
      <c r="AD310" t="str">
        <f t="shared" si="63"/>
        <v>OK</v>
      </c>
      <c r="AE310">
        <f t="shared" si="64"/>
        <v>2341.0240000000003</v>
      </c>
      <c r="AF310">
        <f t="shared" si="65"/>
        <v>775.53400000000033</v>
      </c>
      <c r="AG310">
        <f t="shared" si="66"/>
        <v>0.33127981601213835</v>
      </c>
      <c r="AH310" t="str">
        <f t="shared" si="58"/>
        <v>June</v>
      </c>
      <c r="AI310">
        <f t="shared" si="59"/>
        <v>2025</v>
      </c>
      <c r="AJ310" t="str">
        <f t="shared" si="67"/>
        <v>OK</v>
      </c>
      <c r="AK310" t="str">
        <f t="shared" si="68"/>
        <v>OK</v>
      </c>
      <c r="AL310" t="str">
        <f t="shared" si="69"/>
        <v>Include</v>
      </c>
      <c r="AM310" t="str">
        <f t="shared" si="60"/>
        <v>Clean</v>
      </c>
    </row>
    <row r="311" spans="1:39">
      <c r="A311" t="s">
        <v>1033</v>
      </c>
      <c r="B311" s="4">
        <v>45493</v>
      </c>
      <c r="C311" s="4">
        <v>45495</v>
      </c>
      <c r="D311" s="6">
        <v>2</v>
      </c>
      <c r="E311" t="s">
        <v>2788</v>
      </c>
      <c r="F311" t="s">
        <v>2788</v>
      </c>
      <c r="G311" t="s">
        <v>2788</v>
      </c>
      <c r="H311" t="s">
        <v>1034</v>
      </c>
      <c r="I311" t="s">
        <v>62</v>
      </c>
      <c r="J311" t="s">
        <v>24</v>
      </c>
      <c r="K311" t="s">
        <v>54</v>
      </c>
      <c r="L311" t="s">
        <v>247</v>
      </c>
      <c r="M311" t="s">
        <v>248</v>
      </c>
      <c r="N311" t="s">
        <v>41</v>
      </c>
      <c r="O311" t="s">
        <v>42</v>
      </c>
      <c r="P311" t="s">
        <v>1035</v>
      </c>
      <c r="Q311" t="s">
        <v>50</v>
      </c>
      <c r="R311">
        <v>7</v>
      </c>
      <c r="S311">
        <v>2060.73</v>
      </c>
      <c r="T311">
        <v>0.1</v>
      </c>
      <c r="U311">
        <v>12982.6</v>
      </c>
      <c r="V311">
        <v>7246.36</v>
      </c>
      <c r="W311">
        <v>5736.24</v>
      </c>
      <c r="X311" t="s">
        <v>32</v>
      </c>
      <c r="Y311" t="s">
        <v>68</v>
      </c>
      <c r="Z311" t="str">
        <f t="shared" si="56"/>
        <v>Unique</v>
      </c>
      <c r="AA311" t="str">
        <f t="shared" si="57"/>
        <v>Unique</v>
      </c>
      <c r="AB311" t="str">
        <f t="shared" si="61"/>
        <v>OK</v>
      </c>
      <c r="AC311">
        <f t="shared" si="62"/>
        <v>0.1</v>
      </c>
      <c r="AD311" t="str">
        <f t="shared" si="63"/>
        <v>OK</v>
      </c>
      <c r="AE311">
        <f t="shared" si="64"/>
        <v>12982.599</v>
      </c>
      <c r="AF311">
        <f t="shared" si="65"/>
        <v>5736.2390000000005</v>
      </c>
      <c r="AG311">
        <f t="shared" si="66"/>
        <v>0.441840574448922</v>
      </c>
      <c r="AH311" t="str">
        <f t="shared" si="58"/>
        <v>July</v>
      </c>
      <c r="AI311">
        <f t="shared" si="59"/>
        <v>2024</v>
      </c>
      <c r="AJ311" t="str">
        <f t="shared" si="67"/>
        <v>OK</v>
      </c>
      <c r="AK311" t="str">
        <f t="shared" si="68"/>
        <v>OK</v>
      </c>
      <c r="AL311" t="str">
        <f t="shared" si="69"/>
        <v>Exclude</v>
      </c>
      <c r="AM311" t="str">
        <f t="shared" si="60"/>
        <v>Clean</v>
      </c>
    </row>
    <row r="312" spans="1:39">
      <c r="A312" t="s">
        <v>1036</v>
      </c>
      <c r="B312" s="4">
        <v>45477</v>
      </c>
      <c r="C312" s="4">
        <v>45481</v>
      </c>
      <c r="D312" s="6">
        <v>4</v>
      </c>
      <c r="E312" t="s">
        <v>2788</v>
      </c>
      <c r="F312" t="s">
        <v>2788</v>
      </c>
      <c r="G312" t="s">
        <v>2788</v>
      </c>
      <c r="H312" t="s">
        <v>1037</v>
      </c>
      <c r="I312" t="s">
        <v>141</v>
      </c>
      <c r="J312" t="s">
        <v>37</v>
      </c>
      <c r="K312" t="s">
        <v>54</v>
      </c>
      <c r="L312" t="s">
        <v>247</v>
      </c>
      <c r="M312" t="s">
        <v>248</v>
      </c>
      <c r="N312" t="s">
        <v>74</v>
      </c>
      <c r="O312" t="s">
        <v>274</v>
      </c>
      <c r="P312" t="s">
        <v>1038</v>
      </c>
      <c r="Q312" t="s">
        <v>50</v>
      </c>
      <c r="R312">
        <v>8</v>
      </c>
      <c r="S312">
        <v>2034.25</v>
      </c>
      <c r="T312">
        <v>0</v>
      </c>
      <c r="U312">
        <v>16274</v>
      </c>
      <c r="V312">
        <v>9424.25</v>
      </c>
      <c r="W312">
        <v>6849.75</v>
      </c>
      <c r="X312" t="s">
        <v>32</v>
      </c>
      <c r="Y312" t="s">
        <v>33</v>
      </c>
      <c r="Z312" t="str">
        <f t="shared" si="56"/>
        <v>Unique</v>
      </c>
      <c r="AA312" t="str">
        <f t="shared" si="57"/>
        <v>Unique</v>
      </c>
      <c r="AB312" t="str">
        <f t="shared" si="61"/>
        <v>OK</v>
      </c>
      <c r="AC312">
        <f t="shared" si="62"/>
        <v>0</v>
      </c>
      <c r="AD312" t="str">
        <f t="shared" si="63"/>
        <v>OK</v>
      </c>
      <c r="AE312">
        <f t="shared" si="64"/>
        <v>16274</v>
      </c>
      <c r="AF312">
        <f t="shared" si="65"/>
        <v>6849.75</v>
      </c>
      <c r="AG312">
        <f t="shared" si="66"/>
        <v>0.42090143787636719</v>
      </c>
      <c r="AH312" t="str">
        <f t="shared" si="58"/>
        <v>July</v>
      </c>
      <c r="AI312">
        <f t="shared" si="59"/>
        <v>2024</v>
      </c>
      <c r="AJ312" t="str">
        <f t="shared" si="67"/>
        <v>OK</v>
      </c>
      <c r="AK312" t="str">
        <f t="shared" si="68"/>
        <v>OK</v>
      </c>
      <c r="AL312" t="str">
        <f t="shared" si="69"/>
        <v>Include</v>
      </c>
      <c r="AM312" t="str">
        <f t="shared" si="60"/>
        <v>Clean</v>
      </c>
    </row>
    <row r="313" spans="1:39">
      <c r="A313" t="s">
        <v>1039</v>
      </c>
      <c r="B313" s="4">
        <v>45409</v>
      </c>
      <c r="C313" s="4">
        <v>45414</v>
      </c>
      <c r="D313" s="6">
        <v>5</v>
      </c>
      <c r="E313" t="s">
        <v>2788</v>
      </c>
      <c r="F313" t="s">
        <v>2788</v>
      </c>
      <c r="G313" t="s">
        <v>2788</v>
      </c>
      <c r="H313" t="s">
        <v>1040</v>
      </c>
      <c r="I313" t="s">
        <v>36</v>
      </c>
      <c r="J313" t="s">
        <v>90</v>
      </c>
      <c r="K313" t="s">
        <v>54</v>
      </c>
      <c r="L313" t="s">
        <v>175</v>
      </c>
      <c r="M313" t="s">
        <v>176</v>
      </c>
      <c r="N313" t="s">
        <v>28</v>
      </c>
      <c r="O313" t="s">
        <v>153</v>
      </c>
      <c r="P313" t="s">
        <v>1041</v>
      </c>
      <c r="Q313" t="s">
        <v>31</v>
      </c>
      <c r="R313">
        <v>5</v>
      </c>
      <c r="S313">
        <v>554.04</v>
      </c>
      <c r="T313">
        <v>0.1</v>
      </c>
      <c r="U313">
        <v>2493.1799999999998</v>
      </c>
      <c r="V313">
        <v>1764</v>
      </c>
      <c r="W313">
        <v>729.18</v>
      </c>
      <c r="X313" t="s">
        <v>32</v>
      </c>
      <c r="Y313" t="s">
        <v>33</v>
      </c>
      <c r="Z313" t="str">
        <f t="shared" si="56"/>
        <v>Unique</v>
      </c>
      <c r="AA313" t="str">
        <f t="shared" si="57"/>
        <v>Unique</v>
      </c>
      <c r="AB313" t="str">
        <f t="shared" si="61"/>
        <v>OK</v>
      </c>
      <c r="AC313">
        <f t="shared" si="62"/>
        <v>0.1</v>
      </c>
      <c r="AD313" t="str">
        <f t="shared" si="63"/>
        <v>OK</v>
      </c>
      <c r="AE313">
        <f t="shared" si="64"/>
        <v>2493.1799999999998</v>
      </c>
      <c r="AF313">
        <f t="shared" si="65"/>
        <v>729.17999999999984</v>
      </c>
      <c r="AG313">
        <f t="shared" si="66"/>
        <v>0.29246985777200196</v>
      </c>
      <c r="AH313" t="str">
        <f t="shared" si="58"/>
        <v>April</v>
      </c>
      <c r="AI313">
        <f t="shared" si="59"/>
        <v>2024</v>
      </c>
      <c r="AJ313" t="str">
        <f t="shared" si="67"/>
        <v>OK</v>
      </c>
      <c r="AK313" t="str">
        <f t="shared" si="68"/>
        <v>OK</v>
      </c>
      <c r="AL313" t="str">
        <f t="shared" si="69"/>
        <v>Include</v>
      </c>
      <c r="AM313" t="str">
        <f t="shared" si="60"/>
        <v>Clean</v>
      </c>
    </row>
    <row r="314" spans="1:39">
      <c r="A314" t="s">
        <v>1042</v>
      </c>
      <c r="B314" s="4">
        <v>45504</v>
      </c>
      <c r="C314" s="4">
        <v>45508</v>
      </c>
      <c r="D314" s="6">
        <v>4</v>
      </c>
      <c r="E314" t="s">
        <v>2788</v>
      </c>
      <c r="F314" t="s">
        <v>2788</v>
      </c>
      <c r="G314" t="s">
        <v>2788</v>
      </c>
      <c r="H314" t="s">
        <v>1043</v>
      </c>
      <c r="I314" t="s">
        <v>23</v>
      </c>
      <c r="J314" t="s">
        <v>37</v>
      </c>
      <c r="K314" t="s">
        <v>38</v>
      </c>
      <c r="L314" t="s">
        <v>166</v>
      </c>
      <c r="M314" t="s">
        <v>167</v>
      </c>
      <c r="N314" t="s">
        <v>74</v>
      </c>
      <c r="O314" t="s">
        <v>171</v>
      </c>
      <c r="P314" t="s">
        <v>1044</v>
      </c>
      <c r="Q314" t="s">
        <v>59</v>
      </c>
      <c r="R314">
        <v>8</v>
      </c>
      <c r="S314">
        <v>2614.7399999999998</v>
      </c>
      <c r="U314">
        <v>15688.44</v>
      </c>
      <c r="V314">
        <v>10047.33</v>
      </c>
      <c r="W314">
        <v>5641.11</v>
      </c>
      <c r="X314" t="s">
        <v>32</v>
      </c>
      <c r="Y314" t="s">
        <v>68</v>
      </c>
      <c r="Z314" t="str">
        <f t="shared" si="56"/>
        <v>Unique</v>
      </c>
      <c r="AA314" t="str">
        <f t="shared" si="57"/>
        <v>Unique</v>
      </c>
      <c r="AB314" t="str">
        <f t="shared" si="61"/>
        <v>OK</v>
      </c>
      <c r="AC314">
        <f t="shared" si="62"/>
        <v>0</v>
      </c>
      <c r="AD314" t="str">
        <f t="shared" si="63"/>
        <v>OK</v>
      </c>
      <c r="AE314">
        <f t="shared" si="64"/>
        <v>20917.919999999998</v>
      </c>
      <c r="AF314">
        <f t="shared" si="65"/>
        <v>10870.589999999998</v>
      </c>
      <c r="AG314">
        <f t="shared" si="66"/>
        <v>0.5196783427797792</v>
      </c>
      <c r="AH314" t="str">
        <f t="shared" si="58"/>
        <v>July</v>
      </c>
      <c r="AI314">
        <f t="shared" si="59"/>
        <v>2024</v>
      </c>
      <c r="AJ314" t="str">
        <f t="shared" si="67"/>
        <v>Sales Mismatch</v>
      </c>
      <c r="AK314" t="str">
        <f t="shared" si="68"/>
        <v>Profit Mismatch</v>
      </c>
      <c r="AL314" t="str">
        <f t="shared" si="69"/>
        <v>Exclude</v>
      </c>
      <c r="AM314" t="str">
        <f t="shared" si="60"/>
        <v>Warning</v>
      </c>
    </row>
    <row r="315" spans="1:39">
      <c r="A315" t="s">
        <v>1045</v>
      </c>
      <c r="B315" s="4">
        <v>45807</v>
      </c>
      <c r="C315" s="4">
        <v>45808</v>
      </c>
      <c r="D315" s="6">
        <v>1</v>
      </c>
      <c r="E315" t="s">
        <v>2788</v>
      </c>
      <c r="F315" t="s">
        <v>2788</v>
      </c>
      <c r="G315" t="s">
        <v>2788</v>
      </c>
      <c r="H315" t="s">
        <v>1046</v>
      </c>
      <c r="I315" t="s">
        <v>118</v>
      </c>
      <c r="J315" t="s">
        <v>90</v>
      </c>
      <c r="K315" t="s">
        <v>25</v>
      </c>
      <c r="L315" t="s">
        <v>136</v>
      </c>
      <c r="M315" t="s">
        <v>137</v>
      </c>
      <c r="N315" t="s">
        <v>74</v>
      </c>
      <c r="O315" t="s">
        <v>171</v>
      </c>
      <c r="P315" t="s">
        <v>1047</v>
      </c>
      <c r="Q315" t="s">
        <v>50</v>
      </c>
      <c r="R315">
        <v>8</v>
      </c>
      <c r="S315">
        <v>2081.4299999999998</v>
      </c>
      <c r="T315">
        <v>0.25</v>
      </c>
      <c r="U315">
        <v>12488.58</v>
      </c>
      <c r="V315">
        <v>10717.4</v>
      </c>
      <c r="W315">
        <v>1771.18</v>
      </c>
      <c r="X315" t="s">
        <v>102</v>
      </c>
      <c r="Y315" t="s">
        <v>68</v>
      </c>
      <c r="Z315" t="str">
        <f t="shared" si="56"/>
        <v>Unique</v>
      </c>
      <c r="AA315" t="str">
        <f t="shared" si="57"/>
        <v>Unique</v>
      </c>
      <c r="AB315" t="str">
        <f t="shared" si="61"/>
        <v>OK</v>
      </c>
      <c r="AC315">
        <f t="shared" si="62"/>
        <v>0.25</v>
      </c>
      <c r="AD315" t="str">
        <f t="shared" si="63"/>
        <v>OK</v>
      </c>
      <c r="AE315">
        <f t="shared" si="64"/>
        <v>12488.579999999998</v>
      </c>
      <c r="AF315">
        <f t="shared" si="65"/>
        <v>1771.1799999999985</v>
      </c>
      <c r="AG315">
        <f t="shared" si="66"/>
        <v>0.14182397037933847</v>
      </c>
      <c r="AH315" t="str">
        <f t="shared" si="58"/>
        <v>May</v>
      </c>
      <c r="AI315">
        <f t="shared" si="59"/>
        <v>2025</v>
      </c>
      <c r="AJ315" t="str">
        <f t="shared" si="67"/>
        <v>OK</v>
      </c>
      <c r="AK315" t="str">
        <f t="shared" si="68"/>
        <v>OK</v>
      </c>
      <c r="AL315" t="str">
        <f t="shared" si="69"/>
        <v>Exclude</v>
      </c>
      <c r="AM315" t="str">
        <f t="shared" si="60"/>
        <v>Clean</v>
      </c>
    </row>
    <row r="316" spans="1:39">
      <c r="A316" t="s">
        <v>1048</v>
      </c>
      <c r="B316" s="4">
        <v>45795</v>
      </c>
      <c r="C316" s="4">
        <v>45797</v>
      </c>
      <c r="D316" s="6">
        <v>2</v>
      </c>
      <c r="E316" t="s">
        <v>2788</v>
      </c>
      <c r="F316" t="s">
        <v>2788</v>
      </c>
      <c r="G316" t="s">
        <v>2788</v>
      </c>
      <c r="H316" t="s">
        <v>1049</v>
      </c>
      <c r="I316" t="s">
        <v>47</v>
      </c>
      <c r="J316" t="s">
        <v>90</v>
      </c>
      <c r="K316" t="s">
        <v>63</v>
      </c>
      <c r="L316" t="s">
        <v>72</v>
      </c>
      <c r="M316" t="s">
        <v>73</v>
      </c>
      <c r="N316" t="s">
        <v>28</v>
      </c>
      <c r="O316" t="s">
        <v>91</v>
      </c>
      <c r="P316" t="s">
        <v>1050</v>
      </c>
      <c r="Q316" t="s">
        <v>59</v>
      </c>
      <c r="R316">
        <v>9</v>
      </c>
      <c r="S316">
        <v>847.76</v>
      </c>
      <c r="T316">
        <v>0.15</v>
      </c>
      <c r="U316">
        <v>6485.36</v>
      </c>
      <c r="V316">
        <v>5376.17</v>
      </c>
      <c r="W316">
        <v>1109.19</v>
      </c>
      <c r="X316" t="s">
        <v>155</v>
      </c>
      <c r="Y316" t="s">
        <v>103</v>
      </c>
      <c r="Z316" t="str">
        <f t="shared" si="56"/>
        <v>Unique</v>
      </c>
      <c r="AA316" t="str">
        <f t="shared" si="57"/>
        <v>Duplicate Order ID</v>
      </c>
      <c r="AB316" t="str">
        <f t="shared" si="61"/>
        <v>Conflicting Duplicate</v>
      </c>
      <c r="AC316">
        <f t="shared" si="62"/>
        <v>0.15</v>
      </c>
      <c r="AD316" t="str">
        <f t="shared" si="63"/>
        <v>OK</v>
      </c>
      <c r="AE316">
        <f t="shared" si="64"/>
        <v>6485.3639999999996</v>
      </c>
      <c r="AF316">
        <f t="shared" si="65"/>
        <v>1109.1939999999995</v>
      </c>
      <c r="AG316">
        <f t="shared" si="66"/>
        <v>0.17103033846673826</v>
      </c>
      <c r="AH316" t="str">
        <f t="shared" si="58"/>
        <v>May</v>
      </c>
      <c r="AI316">
        <f t="shared" si="59"/>
        <v>2025</v>
      </c>
      <c r="AJ316" t="str">
        <f t="shared" si="67"/>
        <v>OK</v>
      </c>
      <c r="AK316" t="str">
        <f t="shared" si="68"/>
        <v>OK</v>
      </c>
      <c r="AL316" t="str">
        <f t="shared" si="69"/>
        <v>Exclude</v>
      </c>
      <c r="AM316" t="str">
        <f t="shared" si="60"/>
        <v>Invalid</v>
      </c>
    </row>
    <row r="317" spans="1:39">
      <c r="A317" t="s">
        <v>1051</v>
      </c>
      <c r="B317" s="4">
        <v>45475</v>
      </c>
      <c r="C317" s="4">
        <v>45481</v>
      </c>
      <c r="D317" s="6">
        <v>6</v>
      </c>
      <c r="E317" t="s">
        <v>2788</v>
      </c>
      <c r="F317" t="s">
        <v>2788</v>
      </c>
      <c r="G317" t="s">
        <v>2788</v>
      </c>
      <c r="H317" t="s">
        <v>1052</v>
      </c>
      <c r="I317" t="s">
        <v>141</v>
      </c>
      <c r="J317" t="s">
        <v>24</v>
      </c>
      <c r="K317" t="s">
        <v>25</v>
      </c>
      <c r="L317" t="s">
        <v>350</v>
      </c>
      <c r="M317" t="s">
        <v>351</v>
      </c>
      <c r="N317" t="s">
        <v>28</v>
      </c>
      <c r="O317" t="s">
        <v>29</v>
      </c>
      <c r="P317" t="s">
        <v>1053</v>
      </c>
      <c r="Q317" t="s">
        <v>59</v>
      </c>
      <c r="R317">
        <v>9</v>
      </c>
      <c r="S317">
        <v>3450.4</v>
      </c>
      <c r="T317">
        <v>0.05</v>
      </c>
      <c r="U317">
        <v>29500.92</v>
      </c>
      <c r="V317">
        <v>17989.68</v>
      </c>
      <c r="W317">
        <v>11511.24</v>
      </c>
      <c r="X317" t="s">
        <v>111</v>
      </c>
      <c r="Y317" t="s">
        <v>103</v>
      </c>
      <c r="Z317" t="str">
        <f t="shared" si="56"/>
        <v>Unique</v>
      </c>
      <c r="AA317" t="str">
        <f t="shared" si="57"/>
        <v>Unique</v>
      </c>
      <c r="AB317" t="str">
        <f t="shared" si="61"/>
        <v>OK</v>
      </c>
      <c r="AC317">
        <f t="shared" si="62"/>
        <v>0.05</v>
      </c>
      <c r="AD317" t="str">
        <f t="shared" si="63"/>
        <v>OK</v>
      </c>
      <c r="AE317">
        <f t="shared" si="64"/>
        <v>29500.920000000002</v>
      </c>
      <c r="AF317">
        <f t="shared" si="65"/>
        <v>11511.240000000002</v>
      </c>
      <c r="AG317">
        <f t="shared" si="66"/>
        <v>0.39019935649464493</v>
      </c>
      <c r="AH317" t="str">
        <f t="shared" si="58"/>
        <v>July</v>
      </c>
      <c r="AI317">
        <f t="shared" si="59"/>
        <v>2024</v>
      </c>
      <c r="AJ317" t="str">
        <f t="shared" si="67"/>
        <v>OK</v>
      </c>
      <c r="AK317" t="str">
        <f t="shared" si="68"/>
        <v>OK</v>
      </c>
      <c r="AL317" t="str">
        <f t="shared" si="69"/>
        <v>Exclude</v>
      </c>
      <c r="AM317" t="str">
        <f t="shared" si="60"/>
        <v>Clean</v>
      </c>
    </row>
    <row r="318" spans="1:39">
      <c r="A318" t="s">
        <v>1054</v>
      </c>
      <c r="B318" s="4">
        <v>45338</v>
      </c>
      <c r="C318" s="4">
        <v>45340</v>
      </c>
      <c r="D318" s="6">
        <v>2</v>
      </c>
      <c r="E318" t="s">
        <v>2788</v>
      </c>
      <c r="F318" t="s">
        <v>2788</v>
      </c>
      <c r="G318" t="s">
        <v>2788</v>
      </c>
      <c r="H318" t="s">
        <v>1055</v>
      </c>
      <c r="I318" t="s">
        <v>23</v>
      </c>
      <c r="J318" t="s">
        <v>90</v>
      </c>
      <c r="K318" t="s">
        <v>25</v>
      </c>
      <c r="L318" t="s">
        <v>122</v>
      </c>
      <c r="M318" t="s">
        <v>123</v>
      </c>
      <c r="N318" t="s">
        <v>28</v>
      </c>
      <c r="O318" t="s">
        <v>91</v>
      </c>
      <c r="P318" t="s">
        <v>1056</v>
      </c>
      <c r="Q318" t="s">
        <v>59</v>
      </c>
      <c r="R318">
        <v>2</v>
      </c>
      <c r="S318">
        <v>1947.53</v>
      </c>
      <c r="T318">
        <v>0.2</v>
      </c>
      <c r="U318">
        <v>3116.05</v>
      </c>
      <c r="V318">
        <v>1956.63</v>
      </c>
      <c r="W318">
        <v>1159.42</v>
      </c>
      <c r="X318" t="s">
        <v>32</v>
      </c>
      <c r="Y318" t="s">
        <v>68</v>
      </c>
      <c r="Z318" t="str">
        <f t="shared" si="56"/>
        <v>Unique</v>
      </c>
      <c r="AA318" t="str">
        <f t="shared" si="57"/>
        <v>Unique</v>
      </c>
      <c r="AB318" t="str">
        <f t="shared" si="61"/>
        <v>OK</v>
      </c>
      <c r="AC318">
        <f t="shared" si="62"/>
        <v>0.2</v>
      </c>
      <c r="AD318" t="str">
        <f t="shared" si="63"/>
        <v>OK</v>
      </c>
      <c r="AE318">
        <f t="shared" si="64"/>
        <v>3116.0480000000002</v>
      </c>
      <c r="AF318">
        <f t="shared" si="65"/>
        <v>1159.4180000000001</v>
      </c>
      <c r="AG318">
        <f t="shared" si="66"/>
        <v>0.37207963420332424</v>
      </c>
      <c r="AH318" t="str">
        <f t="shared" si="58"/>
        <v>February</v>
      </c>
      <c r="AI318">
        <f t="shared" si="59"/>
        <v>2024</v>
      </c>
      <c r="AJ318" t="str">
        <f t="shared" si="67"/>
        <v>OK</v>
      </c>
      <c r="AK318" t="str">
        <f t="shared" si="68"/>
        <v>OK</v>
      </c>
      <c r="AL318" t="str">
        <f t="shared" si="69"/>
        <v>Exclude</v>
      </c>
      <c r="AM318" t="str">
        <f t="shared" si="60"/>
        <v>Clean</v>
      </c>
    </row>
    <row r="319" spans="1:39">
      <c r="A319" t="s">
        <v>1057</v>
      </c>
      <c r="B319" s="4">
        <v>45898</v>
      </c>
      <c r="C319" s="4">
        <v>45904</v>
      </c>
      <c r="D319" s="6">
        <v>6</v>
      </c>
      <c r="E319" t="s">
        <v>2788</v>
      </c>
      <c r="F319" t="s">
        <v>2788</v>
      </c>
      <c r="G319" t="s">
        <v>2788</v>
      </c>
      <c r="H319" t="s">
        <v>1058</v>
      </c>
      <c r="I319" t="s">
        <v>79</v>
      </c>
      <c r="J319" t="s">
        <v>90</v>
      </c>
      <c r="K319" t="s">
        <v>54</v>
      </c>
      <c r="L319" t="s">
        <v>185</v>
      </c>
      <c r="M319" t="s">
        <v>186</v>
      </c>
      <c r="N319" t="s">
        <v>41</v>
      </c>
      <c r="O319" t="s">
        <v>42</v>
      </c>
      <c r="P319" t="s">
        <v>1059</v>
      </c>
      <c r="Q319" t="s">
        <v>50</v>
      </c>
      <c r="R319">
        <v>9</v>
      </c>
      <c r="S319">
        <v>2996.97</v>
      </c>
      <c r="T319">
        <v>0.15</v>
      </c>
      <c r="U319">
        <v>22926.82</v>
      </c>
      <c r="V319">
        <v>14621.59</v>
      </c>
      <c r="W319">
        <v>8305.23</v>
      </c>
      <c r="X319" t="s">
        <v>32</v>
      </c>
      <c r="Y319" t="s">
        <v>33</v>
      </c>
      <c r="Z319" t="str">
        <f t="shared" si="56"/>
        <v>Unique</v>
      </c>
      <c r="AA319" t="str">
        <f t="shared" si="57"/>
        <v>Unique</v>
      </c>
      <c r="AB319" t="str">
        <f t="shared" si="61"/>
        <v>OK</v>
      </c>
      <c r="AC319">
        <f t="shared" si="62"/>
        <v>0.15</v>
      </c>
      <c r="AD319" t="str">
        <f t="shared" si="63"/>
        <v>OK</v>
      </c>
      <c r="AE319">
        <f t="shared" si="64"/>
        <v>22926.820499999998</v>
      </c>
      <c r="AF319">
        <f t="shared" si="65"/>
        <v>8305.2304999999978</v>
      </c>
      <c r="AG319">
        <f t="shared" si="66"/>
        <v>0.36224955396671765</v>
      </c>
      <c r="AH319" t="str">
        <f t="shared" si="58"/>
        <v>August</v>
      </c>
      <c r="AI319">
        <f t="shared" si="59"/>
        <v>2025</v>
      </c>
      <c r="AJ319" t="str">
        <f t="shared" si="67"/>
        <v>OK</v>
      </c>
      <c r="AK319" t="str">
        <f t="shared" si="68"/>
        <v>OK</v>
      </c>
      <c r="AL319" t="str">
        <f t="shared" si="69"/>
        <v>Include</v>
      </c>
      <c r="AM319" t="str">
        <f t="shared" si="60"/>
        <v>Clean</v>
      </c>
    </row>
    <row r="320" spans="1:39">
      <c r="A320" t="s">
        <v>1060</v>
      </c>
      <c r="B320" s="4">
        <v>45407</v>
      </c>
      <c r="C320" s="4">
        <v>45412</v>
      </c>
      <c r="D320" s="6">
        <v>5</v>
      </c>
      <c r="E320" t="s">
        <v>2788</v>
      </c>
      <c r="F320" t="s">
        <v>2788</v>
      </c>
      <c r="G320" t="s">
        <v>2788</v>
      </c>
      <c r="H320" t="s">
        <v>1061</v>
      </c>
      <c r="I320" t="s">
        <v>36</v>
      </c>
      <c r="J320" t="s">
        <v>37</v>
      </c>
      <c r="K320" t="s">
        <v>54</v>
      </c>
      <c r="L320" t="s">
        <v>175</v>
      </c>
      <c r="M320" t="s">
        <v>176</v>
      </c>
      <c r="N320" t="s">
        <v>74</v>
      </c>
      <c r="O320" t="s">
        <v>171</v>
      </c>
      <c r="P320" t="s">
        <v>1062</v>
      </c>
      <c r="Q320" t="s">
        <v>59</v>
      </c>
      <c r="R320">
        <v>3</v>
      </c>
      <c r="S320">
        <v>4149.46</v>
      </c>
      <c r="T320">
        <v>0.1</v>
      </c>
      <c r="U320">
        <v>11203.54</v>
      </c>
      <c r="V320">
        <v>8452.93</v>
      </c>
      <c r="W320">
        <v>2750.61</v>
      </c>
      <c r="X320" t="s">
        <v>32</v>
      </c>
      <c r="Y320" t="s">
        <v>33</v>
      </c>
      <c r="Z320" t="str">
        <f t="shared" si="56"/>
        <v>Unique</v>
      </c>
      <c r="AA320" t="str">
        <f t="shared" si="57"/>
        <v>Unique</v>
      </c>
      <c r="AB320" t="str">
        <f t="shared" si="61"/>
        <v>OK</v>
      </c>
      <c r="AC320">
        <f t="shared" si="62"/>
        <v>0.1</v>
      </c>
      <c r="AD320" t="str">
        <f t="shared" si="63"/>
        <v>OK</v>
      </c>
      <c r="AE320">
        <f t="shared" si="64"/>
        <v>11203.542000000001</v>
      </c>
      <c r="AF320">
        <f t="shared" si="65"/>
        <v>2750.612000000001</v>
      </c>
      <c r="AG320">
        <f t="shared" si="66"/>
        <v>0.24551271374713468</v>
      </c>
      <c r="AH320" t="str">
        <f t="shared" si="58"/>
        <v>April</v>
      </c>
      <c r="AI320">
        <f t="shared" si="59"/>
        <v>2024</v>
      </c>
      <c r="AJ320" t="str">
        <f t="shared" si="67"/>
        <v>OK</v>
      </c>
      <c r="AK320" t="str">
        <f t="shared" si="68"/>
        <v>OK</v>
      </c>
      <c r="AL320" t="str">
        <f t="shared" si="69"/>
        <v>Include</v>
      </c>
      <c r="AM320" t="str">
        <f t="shared" si="60"/>
        <v>Clean</v>
      </c>
    </row>
    <row r="321" spans="1:39">
      <c r="A321" t="s">
        <v>1063</v>
      </c>
      <c r="B321" s="4">
        <v>45525</v>
      </c>
      <c r="C321" s="4">
        <v>45529</v>
      </c>
      <c r="D321" s="6">
        <v>4</v>
      </c>
      <c r="E321" t="s">
        <v>2788</v>
      </c>
      <c r="F321" t="s">
        <v>2788</v>
      </c>
      <c r="G321" t="s">
        <v>2788</v>
      </c>
      <c r="H321" t="s">
        <v>1064</v>
      </c>
      <c r="I321" t="s">
        <v>162</v>
      </c>
      <c r="J321" t="s">
        <v>24</v>
      </c>
      <c r="K321" t="s">
        <v>63</v>
      </c>
      <c r="L321" t="s">
        <v>180</v>
      </c>
      <c r="M321" t="s">
        <v>181</v>
      </c>
      <c r="N321" t="s">
        <v>28</v>
      </c>
      <c r="O321" t="s">
        <v>153</v>
      </c>
      <c r="P321" t="s">
        <v>1065</v>
      </c>
      <c r="Q321" t="s">
        <v>50</v>
      </c>
      <c r="R321">
        <v>1</v>
      </c>
      <c r="S321">
        <v>270.27999999999997</v>
      </c>
      <c r="T321">
        <v>0</v>
      </c>
      <c r="U321">
        <v>270.27999999999997</v>
      </c>
      <c r="V321">
        <v>156.34</v>
      </c>
      <c r="W321">
        <v>113.94</v>
      </c>
      <c r="X321" t="s">
        <v>32</v>
      </c>
      <c r="Y321" t="s">
        <v>33</v>
      </c>
      <c r="Z321" t="str">
        <f t="shared" si="56"/>
        <v>Unique</v>
      </c>
      <c r="AA321" t="str">
        <f t="shared" si="57"/>
        <v>Unique</v>
      </c>
      <c r="AB321" t="str">
        <f t="shared" si="61"/>
        <v>OK</v>
      </c>
      <c r="AC321">
        <f t="shared" si="62"/>
        <v>0</v>
      </c>
      <c r="AD321" t="str">
        <f t="shared" si="63"/>
        <v>OK</v>
      </c>
      <c r="AE321">
        <f t="shared" si="64"/>
        <v>270.27999999999997</v>
      </c>
      <c r="AF321">
        <f t="shared" si="65"/>
        <v>113.93999999999997</v>
      </c>
      <c r="AG321">
        <f t="shared" si="66"/>
        <v>0.42156282373834536</v>
      </c>
      <c r="AH321" t="str">
        <f t="shared" si="58"/>
        <v>August</v>
      </c>
      <c r="AI321">
        <f t="shared" si="59"/>
        <v>2024</v>
      </c>
      <c r="AJ321" t="str">
        <f t="shared" si="67"/>
        <v>OK</v>
      </c>
      <c r="AK321" t="str">
        <f t="shared" si="68"/>
        <v>OK</v>
      </c>
      <c r="AL321" t="str">
        <f t="shared" si="69"/>
        <v>Include</v>
      </c>
      <c r="AM321" t="str">
        <f t="shared" si="60"/>
        <v>Clean</v>
      </c>
    </row>
    <row r="322" spans="1:39">
      <c r="A322" t="s">
        <v>1066</v>
      </c>
      <c r="B322" s="4">
        <v>45630</v>
      </c>
      <c r="C322" s="4">
        <v>45632</v>
      </c>
      <c r="D322" s="6">
        <v>2</v>
      </c>
      <c r="E322" t="s">
        <v>2788</v>
      </c>
      <c r="F322" t="s">
        <v>2788</v>
      </c>
      <c r="G322" t="s">
        <v>2788</v>
      </c>
      <c r="H322" t="s">
        <v>1067</v>
      </c>
      <c r="I322" t="s">
        <v>128</v>
      </c>
      <c r="J322" t="s">
        <v>95</v>
      </c>
      <c r="K322" t="s">
        <v>38</v>
      </c>
      <c r="L322" t="s">
        <v>99</v>
      </c>
      <c r="M322" t="s">
        <v>100</v>
      </c>
      <c r="N322" t="s">
        <v>28</v>
      </c>
      <c r="O322" t="s">
        <v>48</v>
      </c>
      <c r="P322" t="s">
        <v>1068</v>
      </c>
      <c r="Q322" t="s">
        <v>31</v>
      </c>
      <c r="R322">
        <v>3</v>
      </c>
      <c r="S322">
        <v>876.14</v>
      </c>
      <c r="T322" t="s">
        <v>463</v>
      </c>
      <c r="U322">
        <v>2628.42</v>
      </c>
      <c r="V322">
        <v>1541.54</v>
      </c>
      <c r="W322">
        <v>1086.8800000000001</v>
      </c>
      <c r="X322" t="s">
        <v>111</v>
      </c>
      <c r="Y322" t="s">
        <v>103</v>
      </c>
      <c r="Z322" t="str">
        <f t="shared" ref="Z322:Z385" si="70">IF(COUNTIFS($A:$A,A322,$B:$B,B322,$C:$C,C322,$H:$H,H322,$U:$U,U322,$W:$W,W322)&gt;1,"Exact Duplicate","Unique")</f>
        <v>Unique</v>
      </c>
      <c r="AA322" t="str">
        <f t="shared" ref="AA322:AA385" si="71">IF(COUNTIF($A:$A,A322)&gt;1,"Duplicate Order ID","Unique")</f>
        <v>Unique</v>
      </c>
      <c r="AB322" t="str">
        <f t="shared" si="61"/>
        <v>OK</v>
      </c>
      <c r="AC322" t="str">
        <f t="shared" si="62"/>
        <v>70%</v>
      </c>
      <c r="AD322" t="str">
        <f t="shared" si="63"/>
        <v>Invalid High Discount</v>
      </c>
      <c r="AE322">
        <f t="shared" si="64"/>
        <v>788.52600000000018</v>
      </c>
      <c r="AF322">
        <f t="shared" si="65"/>
        <v>-753.01399999999978</v>
      </c>
      <c r="AG322">
        <f t="shared" si="66"/>
        <v>-0.95496407220560842</v>
      </c>
      <c r="AH322" t="str">
        <f t="shared" ref="AH322:AH385" si="72">IFERROR(TEXT(B322,"mmmm"),"")</f>
        <v>December</v>
      </c>
      <c r="AI322">
        <f t="shared" ref="AI322:AI385" si="73">IFERROR(YEAR(B322),"")</f>
        <v>2024</v>
      </c>
      <c r="AJ322" t="str">
        <f t="shared" si="67"/>
        <v>Sales Mismatch</v>
      </c>
      <c r="AK322" t="str">
        <f t="shared" si="68"/>
        <v>Profit Mismatch</v>
      </c>
      <c r="AL322" t="str">
        <f t="shared" si="69"/>
        <v>Exclude</v>
      </c>
      <c r="AM322" t="str">
        <f t="shared" ref="AM322:AM385" si="74">IF(OR(E322&lt;&gt;"OK",F322&lt;&gt;"OK",AD322&lt;&gt;"OK",AB322="Conflicting Duplicate"),"Invalid",IF(OR(G322&lt;&gt;"OK",AJ322&lt;&gt;"OK",AK322&lt;&gt;"OK"),"Warning","Clean"))</f>
        <v>Invalid</v>
      </c>
    </row>
    <row r="323" spans="1:39">
      <c r="A323" t="s">
        <v>1069</v>
      </c>
      <c r="B323" s="4">
        <v>45466</v>
      </c>
      <c r="C323" s="4">
        <v>45473</v>
      </c>
      <c r="D323" s="6">
        <v>7</v>
      </c>
      <c r="E323" t="s">
        <v>2788</v>
      </c>
      <c r="F323" t="s">
        <v>2788</v>
      </c>
      <c r="G323" t="s">
        <v>2788</v>
      </c>
      <c r="H323" t="s">
        <v>1070</v>
      </c>
      <c r="I323" t="s">
        <v>79</v>
      </c>
      <c r="J323" t="s">
        <v>37</v>
      </c>
      <c r="K323" t="s">
        <v>63</v>
      </c>
      <c r="L323" t="s">
        <v>190</v>
      </c>
      <c r="M323" t="s">
        <v>191</v>
      </c>
      <c r="N323" t="s">
        <v>74</v>
      </c>
      <c r="O323" t="s">
        <v>75</v>
      </c>
      <c r="P323" t="s">
        <v>1071</v>
      </c>
      <c r="Q323" t="s">
        <v>44</v>
      </c>
      <c r="R323">
        <v>4</v>
      </c>
      <c r="S323">
        <v>674.82</v>
      </c>
      <c r="T323">
        <v>0</v>
      </c>
      <c r="U323">
        <v>2699.28</v>
      </c>
      <c r="V323">
        <v>1759.76</v>
      </c>
      <c r="W323">
        <v>939.52</v>
      </c>
      <c r="X323" t="s">
        <v>155</v>
      </c>
      <c r="Y323" t="s">
        <v>68</v>
      </c>
      <c r="Z323" t="str">
        <f t="shared" si="70"/>
        <v>Unique</v>
      </c>
      <c r="AA323" t="str">
        <f t="shared" si="71"/>
        <v>Unique</v>
      </c>
      <c r="AB323" t="str">
        <f t="shared" ref="AB323:AB386" si="75">IF(AND(AA323="Duplicate Order ID",Z323&lt;&gt;"Exact Duplicate"),"Conflicting Duplicate","OK")</f>
        <v>OK</v>
      </c>
      <c r="AC323">
        <f t="shared" ref="AC323:AC386" si="76">IF(OR(T323="",ISBLANK(T323)),0,T323)</f>
        <v>0</v>
      </c>
      <c r="AD323" t="str">
        <f t="shared" ref="AD323:AD386" si="77">IF(AC323&lt;0,"Invalid Negative Discount",IF(AC323&gt;1,"Invalid High Discount","OK"))</f>
        <v>OK</v>
      </c>
      <c r="AE323">
        <f t="shared" ref="AE323:AE386" si="78">R323*S323*(1-AC323)</f>
        <v>2699.28</v>
      </c>
      <c r="AF323">
        <f t="shared" ref="AF323:AF386" si="79">AE323-V323</f>
        <v>939.52000000000021</v>
      </c>
      <c r="AG323">
        <f t="shared" ref="AG323:AG386" si="80">IF(AE323=0,0,AF323/AE323)</f>
        <v>0.34806318722029583</v>
      </c>
      <c r="AH323" t="str">
        <f t="shared" si="72"/>
        <v>June</v>
      </c>
      <c r="AI323">
        <f t="shared" si="73"/>
        <v>2024</v>
      </c>
      <c r="AJ323" t="str">
        <f t="shared" ref="AJ323:AJ386" si="81">IF(ABS(U323-AE323)&gt;1,"Sales Mismatch","OK")</f>
        <v>OK</v>
      </c>
      <c r="AK323" t="str">
        <f t="shared" ref="AK323:AK386" si="82">IF(ABS(W323-AF323)&gt;1,"Profit Mismatch","OK")</f>
        <v>OK</v>
      </c>
      <c r="AL323" t="str">
        <f t="shared" ref="AL323:AL386" si="83">IF(AND(X323="Paid",Y323="Completed"),"Include","Exclude")</f>
        <v>Exclude</v>
      </c>
      <c r="AM323" t="str">
        <f t="shared" si="74"/>
        <v>Clean</v>
      </c>
    </row>
    <row r="324" spans="1:39">
      <c r="A324" t="s">
        <v>1072</v>
      </c>
      <c r="B324" s="4">
        <v>45608</v>
      </c>
      <c r="C324" s="4">
        <v>45608</v>
      </c>
      <c r="D324" s="6">
        <v>0</v>
      </c>
      <c r="E324" t="s">
        <v>2788</v>
      </c>
      <c r="F324" t="s">
        <v>2788</v>
      </c>
      <c r="G324" t="s">
        <v>2788</v>
      </c>
      <c r="H324" t="s">
        <v>1073</v>
      </c>
      <c r="I324" t="s">
        <v>47</v>
      </c>
      <c r="J324" t="s">
        <v>24</v>
      </c>
      <c r="K324" t="s">
        <v>25</v>
      </c>
      <c r="L324" t="s">
        <v>136</v>
      </c>
      <c r="M324" t="s">
        <v>137</v>
      </c>
      <c r="N324" t="s">
        <v>74</v>
      </c>
      <c r="O324" t="s">
        <v>171</v>
      </c>
      <c r="P324" t="s">
        <v>1074</v>
      </c>
      <c r="Q324" t="s">
        <v>31</v>
      </c>
      <c r="R324">
        <v>6</v>
      </c>
      <c r="S324">
        <v>1369.48</v>
      </c>
      <c r="T324">
        <v>0.15</v>
      </c>
      <c r="U324">
        <v>6984.35</v>
      </c>
      <c r="V324">
        <v>4023.63</v>
      </c>
      <c r="W324">
        <v>2960.72</v>
      </c>
      <c r="X324" t="s">
        <v>32</v>
      </c>
      <c r="Y324" t="s">
        <v>33</v>
      </c>
      <c r="Z324" t="str">
        <f t="shared" si="70"/>
        <v>Unique</v>
      </c>
      <c r="AA324" t="str">
        <f t="shared" si="71"/>
        <v>Unique</v>
      </c>
      <c r="AB324" t="str">
        <f t="shared" si="75"/>
        <v>OK</v>
      </c>
      <c r="AC324">
        <f t="shared" si="76"/>
        <v>0.15</v>
      </c>
      <c r="AD324" t="str">
        <f t="shared" si="77"/>
        <v>OK</v>
      </c>
      <c r="AE324">
        <f t="shared" si="78"/>
        <v>6984.3480000000009</v>
      </c>
      <c r="AF324">
        <f t="shared" si="79"/>
        <v>2960.7180000000008</v>
      </c>
      <c r="AG324">
        <f t="shared" si="80"/>
        <v>0.42390757161584736</v>
      </c>
      <c r="AH324" t="str">
        <f t="shared" si="72"/>
        <v>November</v>
      </c>
      <c r="AI324">
        <f t="shared" si="73"/>
        <v>2024</v>
      </c>
      <c r="AJ324" t="str">
        <f t="shared" si="81"/>
        <v>OK</v>
      </c>
      <c r="AK324" t="str">
        <f t="shared" si="82"/>
        <v>OK</v>
      </c>
      <c r="AL324" t="str">
        <f t="shared" si="83"/>
        <v>Include</v>
      </c>
      <c r="AM324" t="str">
        <f t="shared" si="74"/>
        <v>Clean</v>
      </c>
    </row>
    <row r="325" spans="1:39">
      <c r="A325" t="s">
        <v>1075</v>
      </c>
      <c r="B325" s="4">
        <v>45347</v>
      </c>
      <c r="C325" s="4">
        <v>45351</v>
      </c>
      <c r="D325" s="6">
        <v>4</v>
      </c>
      <c r="E325" t="s">
        <v>2788</v>
      </c>
      <c r="F325" t="s">
        <v>2788</v>
      </c>
      <c r="G325" t="s">
        <v>2788</v>
      </c>
      <c r="H325" t="s">
        <v>1076</v>
      </c>
      <c r="I325" t="s">
        <v>47</v>
      </c>
      <c r="J325" t="s">
        <v>37</v>
      </c>
      <c r="K325" t="s">
        <v>63</v>
      </c>
      <c r="L325" t="s">
        <v>190</v>
      </c>
      <c r="M325" t="s">
        <v>191</v>
      </c>
      <c r="N325" t="s">
        <v>41</v>
      </c>
      <c r="O325" t="s">
        <v>57</v>
      </c>
      <c r="P325" t="s">
        <v>150</v>
      </c>
      <c r="Q325" t="s">
        <v>59</v>
      </c>
      <c r="R325">
        <v>9</v>
      </c>
      <c r="S325">
        <v>1331.46</v>
      </c>
      <c r="T325">
        <v>0.15</v>
      </c>
      <c r="U325">
        <v>10185.67</v>
      </c>
      <c r="V325">
        <v>6479.31</v>
      </c>
      <c r="W325">
        <v>3706.36</v>
      </c>
      <c r="X325" t="s">
        <v>32</v>
      </c>
      <c r="Y325" t="s">
        <v>33</v>
      </c>
      <c r="Z325" t="str">
        <f t="shared" si="70"/>
        <v>Unique</v>
      </c>
      <c r="AA325" t="str">
        <f t="shared" si="71"/>
        <v>Unique</v>
      </c>
      <c r="AB325" t="str">
        <f t="shared" si="75"/>
        <v>OK</v>
      </c>
      <c r="AC325">
        <f t="shared" si="76"/>
        <v>0.15</v>
      </c>
      <c r="AD325" t="str">
        <f t="shared" si="77"/>
        <v>OK</v>
      </c>
      <c r="AE325">
        <f t="shared" si="78"/>
        <v>10185.669</v>
      </c>
      <c r="AF325">
        <f t="shared" si="79"/>
        <v>3706.3589999999995</v>
      </c>
      <c r="AG325">
        <f t="shared" si="80"/>
        <v>0.36387978050337189</v>
      </c>
      <c r="AH325" t="str">
        <f t="shared" si="72"/>
        <v>February</v>
      </c>
      <c r="AI325">
        <f t="shared" si="73"/>
        <v>2024</v>
      </c>
      <c r="AJ325" t="str">
        <f t="shared" si="81"/>
        <v>OK</v>
      </c>
      <c r="AK325" t="str">
        <f t="shared" si="82"/>
        <v>OK</v>
      </c>
      <c r="AL325" t="str">
        <f t="shared" si="83"/>
        <v>Include</v>
      </c>
      <c r="AM325" t="str">
        <f t="shared" si="74"/>
        <v>Clean</v>
      </c>
    </row>
    <row r="326" spans="1:39">
      <c r="A326" t="s">
        <v>1077</v>
      </c>
      <c r="B326" s="4">
        <v>45869</v>
      </c>
      <c r="C326" s="4">
        <v>45871</v>
      </c>
      <c r="D326" s="6">
        <v>2</v>
      </c>
      <c r="E326" t="s">
        <v>2788</v>
      </c>
      <c r="F326" t="s">
        <v>2788</v>
      </c>
      <c r="G326" t="s">
        <v>2788</v>
      </c>
      <c r="H326" t="s">
        <v>1078</v>
      </c>
      <c r="I326" t="s">
        <v>141</v>
      </c>
      <c r="J326" t="s">
        <v>95</v>
      </c>
      <c r="K326" t="s">
        <v>54</v>
      </c>
      <c r="L326" t="s">
        <v>84</v>
      </c>
      <c r="M326" t="s">
        <v>85</v>
      </c>
      <c r="N326" t="s">
        <v>28</v>
      </c>
      <c r="O326" t="s">
        <v>91</v>
      </c>
      <c r="P326" t="s">
        <v>1079</v>
      </c>
      <c r="Q326" t="s">
        <v>44</v>
      </c>
      <c r="R326">
        <v>1</v>
      </c>
      <c r="S326">
        <v>1947.88</v>
      </c>
      <c r="T326">
        <v>0.15</v>
      </c>
      <c r="U326">
        <v>1655.7</v>
      </c>
      <c r="V326">
        <v>1354.8</v>
      </c>
      <c r="W326">
        <v>300.89999999999998</v>
      </c>
      <c r="X326" t="s">
        <v>32</v>
      </c>
      <c r="Y326" t="s">
        <v>103</v>
      </c>
      <c r="Z326" t="str">
        <f t="shared" si="70"/>
        <v>Unique</v>
      </c>
      <c r="AA326" t="str">
        <f t="shared" si="71"/>
        <v>Unique</v>
      </c>
      <c r="AB326" t="str">
        <f t="shared" si="75"/>
        <v>OK</v>
      </c>
      <c r="AC326">
        <f t="shared" si="76"/>
        <v>0.15</v>
      </c>
      <c r="AD326" t="str">
        <f t="shared" si="77"/>
        <v>OK</v>
      </c>
      <c r="AE326">
        <f t="shared" si="78"/>
        <v>1655.6980000000001</v>
      </c>
      <c r="AF326">
        <f t="shared" si="79"/>
        <v>300.89800000000014</v>
      </c>
      <c r="AG326">
        <f t="shared" si="80"/>
        <v>0.1817348332848141</v>
      </c>
      <c r="AH326" t="str">
        <f t="shared" si="72"/>
        <v>July</v>
      </c>
      <c r="AI326">
        <f t="shared" si="73"/>
        <v>2025</v>
      </c>
      <c r="AJ326" t="str">
        <f t="shared" si="81"/>
        <v>OK</v>
      </c>
      <c r="AK326" t="str">
        <f t="shared" si="82"/>
        <v>OK</v>
      </c>
      <c r="AL326" t="str">
        <f t="shared" si="83"/>
        <v>Exclude</v>
      </c>
      <c r="AM326" t="str">
        <f t="shared" si="74"/>
        <v>Clean</v>
      </c>
    </row>
    <row r="327" spans="1:39">
      <c r="A327" t="s">
        <v>1080</v>
      </c>
      <c r="B327" s="4">
        <v>45916</v>
      </c>
      <c r="C327" s="4">
        <v>45922</v>
      </c>
      <c r="D327" s="6">
        <v>6</v>
      </c>
      <c r="E327" t="s">
        <v>2788</v>
      </c>
      <c r="F327" t="s">
        <v>2788</v>
      </c>
      <c r="G327" t="s">
        <v>2788</v>
      </c>
      <c r="H327" t="s">
        <v>1081</v>
      </c>
      <c r="I327" t="s">
        <v>132</v>
      </c>
      <c r="J327" t="s">
        <v>95</v>
      </c>
      <c r="K327" t="s">
        <v>38</v>
      </c>
      <c r="L327" t="s">
        <v>99</v>
      </c>
      <c r="M327" t="s">
        <v>100</v>
      </c>
      <c r="N327" t="s">
        <v>74</v>
      </c>
      <c r="O327" t="s">
        <v>80</v>
      </c>
      <c r="P327" t="s">
        <v>1082</v>
      </c>
      <c r="Q327" t="s">
        <v>31</v>
      </c>
      <c r="R327">
        <v>5</v>
      </c>
      <c r="S327">
        <v>3671.2</v>
      </c>
      <c r="T327">
        <v>0.15</v>
      </c>
      <c r="U327">
        <v>15602.6</v>
      </c>
      <c r="V327">
        <v>11908.52</v>
      </c>
      <c r="W327">
        <v>3694.08</v>
      </c>
      <c r="X327" t="s">
        <v>32</v>
      </c>
      <c r="Y327" t="s">
        <v>33</v>
      </c>
      <c r="Z327" t="str">
        <f t="shared" si="70"/>
        <v>Unique</v>
      </c>
      <c r="AA327" t="str">
        <f t="shared" si="71"/>
        <v>Unique</v>
      </c>
      <c r="AB327" t="str">
        <f t="shared" si="75"/>
        <v>OK</v>
      </c>
      <c r="AC327">
        <f t="shared" si="76"/>
        <v>0.15</v>
      </c>
      <c r="AD327" t="str">
        <f t="shared" si="77"/>
        <v>OK</v>
      </c>
      <c r="AE327">
        <f t="shared" si="78"/>
        <v>15602.6</v>
      </c>
      <c r="AF327">
        <f t="shared" si="79"/>
        <v>3694.08</v>
      </c>
      <c r="AG327">
        <f t="shared" si="80"/>
        <v>0.236760539910015</v>
      </c>
      <c r="AH327" t="str">
        <f t="shared" si="72"/>
        <v>September</v>
      </c>
      <c r="AI327">
        <f t="shared" si="73"/>
        <v>2025</v>
      </c>
      <c r="AJ327" t="str">
        <f t="shared" si="81"/>
        <v>OK</v>
      </c>
      <c r="AK327" t="str">
        <f t="shared" si="82"/>
        <v>OK</v>
      </c>
      <c r="AL327" t="str">
        <f t="shared" si="83"/>
        <v>Include</v>
      </c>
      <c r="AM327" t="str">
        <f t="shared" si="74"/>
        <v>Clean</v>
      </c>
    </row>
    <row r="328" spans="1:39">
      <c r="A328" t="s">
        <v>1083</v>
      </c>
      <c r="B328" s="4">
        <v>45860</v>
      </c>
      <c r="C328" s="4">
        <v>45860</v>
      </c>
      <c r="D328" s="6">
        <v>0</v>
      </c>
      <c r="E328" t="s">
        <v>2788</v>
      </c>
      <c r="F328" t="s">
        <v>2788</v>
      </c>
      <c r="G328" t="s">
        <v>2788</v>
      </c>
      <c r="H328" t="s">
        <v>1084</v>
      </c>
      <c r="I328" t="s">
        <v>132</v>
      </c>
      <c r="J328" t="s">
        <v>90</v>
      </c>
      <c r="K328" t="s">
        <v>38</v>
      </c>
      <c r="L328" t="s">
        <v>228</v>
      </c>
      <c r="M328" t="s">
        <v>229</v>
      </c>
      <c r="N328" t="s">
        <v>41</v>
      </c>
      <c r="O328" t="s">
        <v>57</v>
      </c>
      <c r="P328" t="s">
        <v>1085</v>
      </c>
      <c r="Q328" t="s">
        <v>44</v>
      </c>
      <c r="R328">
        <v>5</v>
      </c>
      <c r="S328">
        <v>3187.05</v>
      </c>
      <c r="T328">
        <v>0.05</v>
      </c>
      <c r="U328">
        <v>15138.49</v>
      </c>
      <c r="V328">
        <v>11235.72</v>
      </c>
      <c r="W328">
        <v>3902.77</v>
      </c>
      <c r="X328" t="s">
        <v>32</v>
      </c>
      <c r="Y328" t="s">
        <v>33</v>
      </c>
      <c r="Z328" t="str">
        <f t="shared" si="70"/>
        <v>Unique</v>
      </c>
      <c r="AA328" t="str">
        <f t="shared" si="71"/>
        <v>Unique</v>
      </c>
      <c r="AB328" t="str">
        <f t="shared" si="75"/>
        <v>OK</v>
      </c>
      <c r="AC328">
        <f t="shared" si="76"/>
        <v>0.05</v>
      </c>
      <c r="AD328" t="str">
        <f t="shared" si="77"/>
        <v>OK</v>
      </c>
      <c r="AE328">
        <f t="shared" si="78"/>
        <v>15138.487499999999</v>
      </c>
      <c r="AF328">
        <f t="shared" si="79"/>
        <v>3902.7674999999999</v>
      </c>
      <c r="AG328">
        <f t="shared" si="80"/>
        <v>0.25780432160082045</v>
      </c>
      <c r="AH328" t="str">
        <f t="shared" si="72"/>
        <v>July</v>
      </c>
      <c r="AI328">
        <f t="shared" si="73"/>
        <v>2025</v>
      </c>
      <c r="AJ328" t="str">
        <f t="shared" si="81"/>
        <v>OK</v>
      </c>
      <c r="AK328" t="str">
        <f t="shared" si="82"/>
        <v>OK</v>
      </c>
      <c r="AL328" t="str">
        <f t="shared" si="83"/>
        <v>Include</v>
      </c>
      <c r="AM328" t="str">
        <f t="shared" si="74"/>
        <v>Clean</v>
      </c>
    </row>
    <row r="329" spans="1:39">
      <c r="A329" t="s">
        <v>1086</v>
      </c>
      <c r="B329" s="4">
        <v>45497</v>
      </c>
      <c r="C329" s="4">
        <v>45500</v>
      </c>
      <c r="D329" s="6">
        <v>3</v>
      </c>
      <c r="E329" t="s">
        <v>2788</v>
      </c>
      <c r="F329" t="s">
        <v>2788</v>
      </c>
      <c r="G329" t="s">
        <v>2788</v>
      </c>
      <c r="H329" t="s">
        <v>1087</v>
      </c>
      <c r="I329" t="s">
        <v>47</v>
      </c>
      <c r="J329" t="s">
        <v>24</v>
      </c>
      <c r="K329" t="s">
        <v>63</v>
      </c>
      <c r="L329" t="s">
        <v>26</v>
      </c>
      <c r="M329" t="s">
        <v>109</v>
      </c>
      <c r="N329" t="s">
        <v>74</v>
      </c>
      <c r="O329" t="s">
        <v>75</v>
      </c>
      <c r="P329" t="s">
        <v>1088</v>
      </c>
      <c r="Q329" t="s">
        <v>31</v>
      </c>
      <c r="R329">
        <v>3</v>
      </c>
      <c r="S329">
        <v>1834.55</v>
      </c>
      <c r="T329">
        <v>0.2</v>
      </c>
      <c r="U329">
        <v>4402.92</v>
      </c>
      <c r="V329">
        <v>2993.94</v>
      </c>
      <c r="W329">
        <v>1408.98</v>
      </c>
      <c r="X329" t="s">
        <v>111</v>
      </c>
      <c r="Y329" t="s">
        <v>68</v>
      </c>
      <c r="Z329" t="str">
        <f t="shared" si="70"/>
        <v>Unique</v>
      </c>
      <c r="AA329" t="str">
        <f t="shared" si="71"/>
        <v>Unique</v>
      </c>
      <c r="AB329" t="str">
        <f t="shared" si="75"/>
        <v>OK</v>
      </c>
      <c r="AC329">
        <f t="shared" si="76"/>
        <v>0.2</v>
      </c>
      <c r="AD329" t="str">
        <f t="shared" si="77"/>
        <v>OK</v>
      </c>
      <c r="AE329">
        <f t="shared" si="78"/>
        <v>4402.92</v>
      </c>
      <c r="AF329">
        <f t="shared" si="79"/>
        <v>1408.98</v>
      </c>
      <c r="AG329">
        <f t="shared" si="80"/>
        <v>0.32001035676323897</v>
      </c>
      <c r="AH329" t="str">
        <f t="shared" si="72"/>
        <v>July</v>
      </c>
      <c r="AI329">
        <f t="shared" si="73"/>
        <v>2024</v>
      </c>
      <c r="AJ329" t="str">
        <f t="shared" si="81"/>
        <v>OK</v>
      </c>
      <c r="AK329" t="str">
        <f t="shared" si="82"/>
        <v>OK</v>
      </c>
      <c r="AL329" t="str">
        <f t="shared" si="83"/>
        <v>Exclude</v>
      </c>
      <c r="AM329" t="str">
        <f t="shared" si="74"/>
        <v>Clean</v>
      </c>
    </row>
    <row r="330" spans="1:39">
      <c r="A330" t="s">
        <v>1089</v>
      </c>
      <c r="B330" s="4">
        <v>45806</v>
      </c>
      <c r="C330" s="4">
        <v>45812</v>
      </c>
      <c r="D330" s="6">
        <v>6</v>
      </c>
      <c r="E330" t="s">
        <v>2788</v>
      </c>
      <c r="F330" t="s">
        <v>2788</v>
      </c>
      <c r="G330" t="s">
        <v>2788</v>
      </c>
      <c r="H330" t="s">
        <v>1090</v>
      </c>
      <c r="I330" t="s">
        <v>162</v>
      </c>
      <c r="J330" t="s">
        <v>24</v>
      </c>
      <c r="K330" t="s">
        <v>63</v>
      </c>
      <c r="L330" t="s">
        <v>64</v>
      </c>
      <c r="M330" t="s">
        <v>65</v>
      </c>
      <c r="N330" t="s">
        <v>28</v>
      </c>
      <c r="O330" t="s">
        <v>124</v>
      </c>
      <c r="P330" t="s">
        <v>1091</v>
      </c>
      <c r="Q330" t="s">
        <v>50</v>
      </c>
      <c r="R330">
        <v>6</v>
      </c>
      <c r="S330">
        <v>3100.68</v>
      </c>
      <c r="T330">
        <v>0</v>
      </c>
      <c r="U330">
        <v>18604.080000000002</v>
      </c>
      <c r="V330">
        <v>15834.3</v>
      </c>
      <c r="W330">
        <v>2769.78</v>
      </c>
      <c r="X330" t="s">
        <v>32</v>
      </c>
      <c r="Y330" t="s">
        <v>33</v>
      </c>
      <c r="Z330" t="str">
        <f t="shared" si="70"/>
        <v>Unique</v>
      </c>
      <c r="AA330" t="str">
        <f t="shared" si="71"/>
        <v>Unique</v>
      </c>
      <c r="AB330" t="str">
        <f t="shared" si="75"/>
        <v>OK</v>
      </c>
      <c r="AC330">
        <f t="shared" si="76"/>
        <v>0</v>
      </c>
      <c r="AD330" t="str">
        <f t="shared" si="77"/>
        <v>OK</v>
      </c>
      <c r="AE330">
        <f t="shared" si="78"/>
        <v>18604.079999999998</v>
      </c>
      <c r="AF330">
        <f t="shared" si="79"/>
        <v>2769.7799999999988</v>
      </c>
      <c r="AG330">
        <f t="shared" si="80"/>
        <v>0.1488802456235406</v>
      </c>
      <c r="AH330" t="str">
        <f t="shared" si="72"/>
        <v>May</v>
      </c>
      <c r="AI330">
        <f t="shared" si="73"/>
        <v>2025</v>
      </c>
      <c r="AJ330" t="str">
        <f t="shared" si="81"/>
        <v>OK</v>
      </c>
      <c r="AK330" t="str">
        <f t="shared" si="82"/>
        <v>OK</v>
      </c>
      <c r="AL330" t="str">
        <f t="shared" si="83"/>
        <v>Include</v>
      </c>
      <c r="AM330" t="str">
        <f t="shared" si="74"/>
        <v>Clean</v>
      </c>
    </row>
    <row r="331" spans="1:39">
      <c r="A331" t="s">
        <v>1092</v>
      </c>
      <c r="B331" s="4">
        <v>45789</v>
      </c>
      <c r="C331" s="4">
        <v>45795</v>
      </c>
      <c r="D331" s="6">
        <v>6</v>
      </c>
      <c r="E331" t="s">
        <v>2788</v>
      </c>
      <c r="F331" t="s">
        <v>2788</v>
      </c>
      <c r="G331" t="s">
        <v>2788</v>
      </c>
      <c r="H331" t="s">
        <v>1093</v>
      </c>
      <c r="I331" t="s">
        <v>79</v>
      </c>
      <c r="J331" t="s">
        <v>37</v>
      </c>
      <c r="K331" t="s">
        <v>63</v>
      </c>
      <c r="L331" t="s">
        <v>64</v>
      </c>
      <c r="M331" t="s">
        <v>65</v>
      </c>
      <c r="N331" t="s">
        <v>28</v>
      </c>
      <c r="O331" t="s">
        <v>124</v>
      </c>
      <c r="P331" t="s">
        <v>1094</v>
      </c>
      <c r="Q331" t="s">
        <v>59</v>
      </c>
      <c r="R331">
        <v>4</v>
      </c>
      <c r="S331">
        <v>4053.03</v>
      </c>
      <c r="T331">
        <v>0.05</v>
      </c>
      <c r="U331">
        <v>15401.51</v>
      </c>
      <c r="V331">
        <v>8650.42</v>
      </c>
      <c r="W331">
        <v>6751.09</v>
      </c>
      <c r="X331" t="s">
        <v>32</v>
      </c>
      <c r="Y331" t="s">
        <v>33</v>
      </c>
      <c r="Z331" t="str">
        <f t="shared" si="70"/>
        <v>Unique</v>
      </c>
      <c r="AA331" t="str">
        <f t="shared" si="71"/>
        <v>Unique</v>
      </c>
      <c r="AB331" t="str">
        <f t="shared" si="75"/>
        <v>OK</v>
      </c>
      <c r="AC331">
        <f t="shared" si="76"/>
        <v>0.05</v>
      </c>
      <c r="AD331" t="str">
        <f t="shared" si="77"/>
        <v>OK</v>
      </c>
      <c r="AE331">
        <f t="shared" si="78"/>
        <v>15401.513999999999</v>
      </c>
      <c r="AF331">
        <f t="shared" si="79"/>
        <v>6751.0939999999991</v>
      </c>
      <c r="AG331">
        <f t="shared" si="80"/>
        <v>0.43833963336331738</v>
      </c>
      <c r="AH331" t="str">
        <f t="shared" si="72"/>
        <v>May</v>
      </c>
      <c r="AI331">
        <f t="shared" si="73"/>
        <v>2025</v>
      </c>
      <c r="AJ331" t="str">
        <f t="shared" si="81"/>
        <v>OK</v>
      </c>
      <c r="AK331" t="str">
        <f t="shared" si="82"/>
        <v>OK</v>
      </c>
      <c r="AL331" t="str">
        <f t="shared" si="83"/>
        <v>Include</v>
      </c>
      <c r="AM331" t="str">
        <f t="shared" si="74"/>
        <v>Clean</v>
      </c>
    </row>
    <row r="332" spans="1:39">
      <c r="A332" t="s">
        <v>1095</v>
      </c>
      <c r="B332" s="4">
        <v>45428</v>
      </c>
      <c r="C332" s="4">
        <v>45436</v>
      </c>
      <c r="D332" s="6">
        <v>8</v>
      </c>
      <c r="E332" t="s">
        <v>2788</v>
      </c>
      <c r="F332" t="s">
        <v>2788</v>
      </c>
      <c r="G332" t="s">
        <v>2788</v>
      </c>
      <c r="H332" t="s">
        <v>1096</v>
      </c>
      <c r="I332" t="s">
        <v>53</v>
      </c>
      <c r="J332" t="s">
        <v>95</v>
      </c>
      <c r="K332" t="s">
        <v>25</v>
      </c>
      <c r="L332" t="s">
        <v>122</v>
      </c>
      <c r="M332" t="s">
        <v>123</v>
      </c>
      <c r="N332" t="s">
        <v>74</v>
      </c>
      <c r="O332" t="s">
        <v>75</v>
      </c>
      <c r="P332" t="s">
        <v>1097</v>
      </c>
      <c r="Q332" t="s">
        <v>44</v>
      </c>
      <c r="R332">
        <v>1</v>
      </c>
      <c r="S332">
        <v>783.09</v>
      </c>
      <c r="T332">
        <v>0</v>
      </c>
      <c r="U332">
        <v>783.09</v>
      </c>
      <c r="V332">
        <v>503.89</v>
      </c>
      <c r="W332">
        <v>279.2</v>
      </c>
      <c r="X332" t="s">
        <v>155</v>
      </c>
      <c r="Y332" t="s">
        <v>68</v>
      </c>
      <c r="Z332" t="str">
        <f t="shared" si="70"/>
        <v>Unique</v>
      </c>
      <c r="AA332" t="str">
        <f t="shared" si="71"/>
        <v>Unique</v>
      </c>
      <c r="AB332" t="str">
        <f t="shared" si="75"/>
        <v>OK</v>
      </c>
      <c r="AC332">
        <f t="shared" si="76"/>
        <v>0</v>
      </c>
      <c r="AD332" t="str">
        <f t="shared" si="77"/>
        <v>OK</v>
      </c>
      <c r="AE332">
        <f t="shared" si="78"/>
        <v>783.09</v>
      </c>
      <c r="AF332">
        <f t="shared" si="79"/>
        <v>279.20000000000005</v>
      </c>
      <c r="AG332">
        <f t="shared" si="80"/>
        <v>0.3565362857398256</v>
      </c>
      <c r="AH332" t="str">
        <f t="shared" si="72"/>
        <v>May</v>
      </c>
      <c r="AI332">
        <f t="shared" si="73"/>
        <v>2024</v>
      </c>
      <c r="AJ332" t="str">
        <f t="shared" si="81"/>
        <v>OK</v>
      </c>
      <c r="AK332" t="str">
        <f t="shared" si="82"/>
        <v>OK</v>
      </c>
      <c r="AL332" t="str">
        <f t="shared" si="83"/>
        <v>Exclude</v>
      </c>
      <c r="AM332" t="str">
        <f t="shared" si="74"/>
        <v>Clean</v>
      </c>
    </row>
    <row r="333" spans="1:39">
      <c r="A333" t="s">
        <v>1098</v>
      </c>
      <c r="B333" s="4">
        <v>45630</v>
      </c>
      <c r="C333" s="4">
        <v>45632</v>
      </c>
      <c r="D333" s="6">
        <v>2</v>
      </c>
      <c r="E333" t="s">
        <v>2788</v>
      </c>
      <c r="F333" t="s">
        <v>2788</v>
      </c>
      <c r="G333" t="s">
        <v>2788</v>
      </c>
      <c r="H333" t="s">
        <v>1099</v>
      </c>
      <c r="I333" t="s">
        <v>132</v>
      </c>
      <c r="J333" t="s">
        <v>95</v>
      </c>
      <c r="K333" t="s">
        <v>38</v>
      </c>
      <c r="L333" t="s">
        <v>39</v>
      </c>
      <c r="M333" t="s">
        <v>40</v>
      </c>
      <c r="N333" t="s">
        <v>28</v>
      </c>
      <c r="O333" t="s">
        <v>153</v>
      </c>
      <c r="P333" t="s">
        <v>1100</v>
      </c>
      <c r="Q333" t="s">
        <v>31</v>
      </c>
      <c r="R333">
        <v>4</v>
      </c>
      <c r="S333">
        <v>2685.66</v>
      </c>
      <c r="T333">
        <v>0</v>
      </c>
      <c r="U333">
        <v>10742.64</v>
      </c>
      <c r="V333">
        <v>6477.37</v>
      </c>
      <c r="W333">
        <v>4265.2700000000004</v>
      </c>
      <c r="X333" t="s">
        <v>32</v>
      </c>
      <c r="Y333" t="s">
        <v>103</v>
      </c>
      <c r="Z333" t="str">
        <f t="shared" si="70"/>
        <v>Unique</v>
      </c>
      <c r="AA333" t="str">
        <f t="shared" si="71"/>
        <v>Duplicate Order ID</v>
      </c>
      <c r="AB333" t="str">
        <f t="shared" si="75"/>
        <v>Conflicting Duplicate</v>
      </c>
      <c r="AC333">
        <f t="shared" si="76"/>
        <v>0</v>
      </c>
      <c r="AD333" t="str">
        <f t="shared" si="77"/>
        <v>OK</v>
      </c>
      <c r="AE333">
        <f t="shared" si="78"/>
        <v>10742.64</v>
      </c>
      <c r="AF333">
        <f t="shared" si="79"/>
        <v>4265.2699999999995</v>
      </c>
      <c r="AG333">
        <f t="shared" si="80"/>
        <v>0.39704113700170535</v>
      </c>
      <c r="AH333" t="str">
        <f t="shared" si="72"/>
        <v>December</v>
      </c>
      <c r="AI333">
        <f t="shared" si="73"/>
        <v>2024</v>
      </c>
      <c r="AJ333" t="str">
        <f t="shared" si="81"/>
        <v>OK</v>
      </c>
      <c r="AK333" t="str">
        <f t="shared" si="82"/>
        <v>OK</v>
      </c>
      <c r="AL333" t="str">
        <f t="shared" si="83"/>
        <v>Exclude</v>
      </c>
      <c r="AM333" t="str">
        <f t="shared" si="74"/>
        <v>Invalid</v>
      </c>
    </row>
    <row r="334" spans="1:39">
      <c r="A334" t="s">
        <v>1101</v>
      </c>
      <c r="B334" s="4">
        <v>45804</v>
      </c>
      <c r="C334" s="4">
        <v>45805</v>
      </c>
      <c r="D334" s="6">
        <v>1</v>
      </c>
      <c r="E334" t="s">
        <v>2788</v>
      </c>
      <c r="F334" t="s">
        <v>2788</v>
      </c>
      <c r="G334" t="s">
        <v>2788</v>
      </c>
      <c r="H334" t="s">
        <v>1102</v>
      </c>
      <c r="I334" t="s">
        <v>128</v>
      </c>
      <c r="J334" t="s">
        <v>24</v>
      </c>
      <c r="K334" t="s">
        <v>54</v>
      </c>
      <c r="L334" t="s">
        <v>84</v>
      </c>
      <c r="M334" t="s">
        <v>85</v>
      </c>
      <c r="N334" t="s">
        <v>74</v>
      </c>
      <c r="O334" t="s">
        <v>274</v>
      </c>
      <c r="P334" t="s">
        <v>1103</v>
      </c>
      <c r="Q334" t="s">
        <v>31</v>
      </c>
      <c r="R334">
        <v>2</v>
      </c>
      <c r="S334">
        <v>3911.96</v>
      </c>
      <c r="T334">
        <v>0</v>
      </c>
      <c r="U334">
        <v>7823.92</v>
      </c>
      <c r="V334">
        <v>6034.63</v>
      </c>
      <c r="W334">
        <v>1789.29</v>
      </c>
      <c r="X334" t="s">
        <v>32</v>
      </c>
      <c r="Y334" t="s">
        <v>33</v>
      </c>
      <c r="Z334" t="str">
        <f t="shared" si="70"/>
        <v>Unique</v>
      </c>
      <c r="AA334" t="str">
        <f t="shared" si="71"/>
        <v>Unique</v>
      </c>
      <c r="AB334" t="str">
        <f t="shared" si="75"/>
        <v>OK</v>
      </c>
      <c r="AC334">
        <f t="shared" si="76"/>
        <v>0</v>
      </c>
      <c r="AD334" t="str">
        <f t="shared" si="77"/>
        <v>OK</v>
      </c>
      <c r="AE334">
        <f t="shared" si="78"/>
        <v>7823.92</v>
      </c>
      <c r="AF334">
        <f t="shared" si="79"/>
        <v>1789.29</v>
      </c>
      <c r="AG334">
        <f t="shared" si="80"/>
        <v>0.22869482305545047</v>
      </c>
      <c r="AH334" t="str">
        <f t="shared" si="72"/>
        <v>May</v>
      </c>
      <c r="AI334">
        <f t="shared" si="73"/>
        <v>2025</v>
      </c>
      <c r="AJ334" t="str">
        <f t="shared" si="81"/>
        <v>OK</v>
      </c>
      <c r="AK334" t="str">
        <f t="shared" si="82"/>
        <v>OK</v>
      </c>
      <c r="AL334" t="str">
        <f t="shared" si="83"/>
        <v>Include</v>
      </c>
      <c r="AM334" t="str">
        <f t="shared" si="74"/>
        <v>Clean</v>
      </c>
    </row>
    <row r="335" spans="1:39">
      <c r="A335" t="s">
        <v>1104</v>
      </c>
      <c r="B335" s="4">
        <v>45830</v>
      </c>
      <c r="C335" s="4">
        <v>45835</v>
      </c>
      <c r="D335" s="6">
        <v>5</v>
      </c>
      <c r="E335" t="s">
        <v>2788</v>
      </c>
      <c r="F335" t="s">
        <v>2788</v>
      </c>
      <c r="G335" t="s">
        <v>2788</v>
      </c>
      <c r="H335" t="s">
        <v>1105</v>
      </c>
      <c r="I335" t="s">
        <v>141</v>
      </c>
      <c r="J335" t="s">
        <v>95</v>
      </c>
      <c r="K335" t="s">
        <v>2783</v>
      </c>
      <c r="L335" t="s">
        <v>350</v>
      </c>
      <c r="M335" t="s">
        <v>351</v>
      </c>
      <c r="N335" t="s">
        <v>74</v>
      </c>
      <c r="O335" t="s">
        <v>171</v>
      </c>
      <c r="P335" t="s">
        <v>1106</v>
      </c>
      <c r="Q335" t="s">
        <v>50</v>
      </c>
      <c r="R335">
        <v>2</v>
      </c>
      <c r="S335">
        <v>1468.05</v>
      </c>
      <c r="T335">
        <v>0</v>
      </c>
      <c r="U335">
        <v>2936.1</v>
      </c>
      <c r="V335">
        <v>1923.1</v>
      </c>
      <c r="W335">
        <v>1013</v>
      </c>
      <c r="X335" t="s">
        <v>32</v>
      </c>
      <c r="Y335" t="s">
        <v>33</v>
      </c>
      <c r="Z335" t="str">
        <f t="shared" si="70"/>
        <v>Unique</v>
      </c>
      <c r="AA335" t="str">
        <f t="shared" si="71"/>
        <v>Unique</v>
      </c>
      <c r="AB335" t="str">
        <f t="shared" si="75"/>
        <v>OK</v>
      </c>
      <c r="AC335">
        <f t="shared" si="76"/>
        <v>0</v>
      </c>
      <c r="AD335" t="str">
        <f t="shared" si="77"/>
        <v>OK</v>
      </c>
      <c r="AE335">
        <f t="shared" si="78"/>
        <v>2936.1</v>
      </c>
      <c r="AF335">
        <f t="shared" si="79"/>
        <v>1013</v>
      </c>
      <c r="AG335">
        <f t="shared" si="80"/>
        <v>0.34501549674738602</v>
      </c>
      <c r="AH335" t="str">
        <f t="shared" si="72"/>
        <v>June</v>
      </c>
      <c r="AI335">
        <f t="shared" si="73"/>
        <v>2025</v>
      </c>
      <c r="AJ335" t="str">
        <f t="shared" si="81"/>
        <v>OK</v>
      </c>
      <c r="AK335" t="str">
        <f t="shared" si="82"/>
        <v>OK</v>
      </c>
      <c r="AL335" t="str">
        <f t="shared" si="83"/>
        <v>Include</v>
      </c>
      <c r="AM335" t="str">
        <f t="shared" si="74"/>
        <v>Clean</v>
      </c>
    </row>
    <row r="336" spans="1:39">
      <c r="A336" t="s">
        <v>1107</v>
      </c>
      <c r="B336" s="4">
        <v>45547</v>
      </c>
      <c r="C336" s="4">
        <v>45552</v>
      </c>
      <c r="D336" s="6">
        <v>5</v>
      </c>
      <c r="E336" t="s">
        <v>2788</v>
      </c>
      <c r="F336" t="s">
        <v>2788</v>
      </c>
      <c r="G336" t="s">
        <v>2788</v>
      </c>
      <c r="H336" t="s">
        <v>1108</v>
      </c>
      <c r="I336" t="s">
        <v>62</v>
      </c>
      <c r="J336" t="s">
        <v>24</v>
      </c>
      <c r="K336" t="s">
        <v>38</v>
      </c>
      <c r="L336" t="s">
        <v>228</v>
      </c>
      <c r="M336" t="s">
        <v>229</v>
      </c>
      <c r="N336" t="s">
        <v>28</v>
      </c>
      <c r="O336" t="s">
        <v>124</v>
      </c>
      <c r="P336" t="s">
        <v>1109</v>
      </c>
      <c r="Q336" t="s">
        <v>50</v>
      </c>
      <c r="R336">
        <v>9</v>
      </c>
      <c r="S336">
        <v>1921.47</v>
      </c>
      <c r="T336">
        <v>0.25</v>
      </c>
      <c r="U336">
        <v>12969.92</v>
      </c>
      <c r="V336">
        <v>9398.4599999999991</v>
      </c>
      <c r="W336">
        <v>3571.46</v>
      </c>
      <c r="X336" t="s">
        <v>32</v>
      </c>
      <c r="Y336" t="s">
        <v>33</v>
      </c>
      <c r="Z336" t="str">
        <f t="shared" si="70"/>
        <v>Unique</v>
      </c>
      <c r="AA336" t="str">
        <f t="shared" si="71"/>
        <v>Unique</v>
      </c>
      <c r="AB336" t="str">
        <f t="shared" si="75"/>
        <v>OK</v>
      </c>
      <c r="AC336">
        <f t="shared" si="76"/>
        <v>0.25</v>
      </c>
      <c r="AD336" t="str">
        <f t="shared" si="77"/>
        <v>OK</v>
      </c>
      <c r="AE336">
        <f t="shared" si="78"/>
        <v>12969.922500000001</v>
      </c>
      <c r="AF336">
        <f t="shared" si="79"/>
        <v>3571.4625000000015</v>
      </c>
      <c r="AG336">
        <f t="shared" si="80"/>
        <v>0.27536498386941027</v>
      </c>
      <c r="AH336" t="str">
        <f t="shared" si="72"/>
        <v>September</v>
      </c>
      <c r="AI336">
        <f t="shared" si="73"/>
        <v>2024</v>
      </c>
      <c r="AJ336" t="str">
        <f t="shared" si="81"/>
        <v>OK</v>
      </c>
      <c r="AK336" t="str">
        <f t="shared" si="82"/>
        <v>OK</v>
      </c>
      <c r="AL336" t="str">
        <f t="shared" si="83"/>
        <v>Include</v>
      </c>
      <c r="AM336" t="str">
        <f t="shared" si="74"/>
        <v>Clean</v>
      </c>
    </row>
    <row r="337" spans="1:39">
      <c r="A337" t="s">
        <v>1110</v>
      </c>
      <c r="B337" s="4">
        <v>45824</v>
      </c>
      <c r="C337" s="4">
        <v>45826</v>
      </c>
      <c r="D337" s="6">
        <v>2</v>
      </c>
      <c r="E337" t="s">
        <v>2788</v>
      </c>
      <c r="F337" t="s">
        <v>2788</v>
      </c>
      <c r="G337" t="s">
        <v>2788</v>
      </c>
      <c r="H337" t="s">
        <v>1111</v>
      </c>
      <c r="I337" t="s">
        <v>118</v>
      </c>
      <c r="J337" t="s">
        <v>95</v>
      </c>
      <c r="K337" t="s">
        <v>63</v>
      </c>
      <c r="L337" t="s">
        <v>72</v>
      </c>
      <c r="M337" t="s">
        <v>73</v>
      </c>
      <c r="N337" t="s">
        <v>28</v>
      </c>
      <c r="O337" t="s">
        <v>29</v>
      </c>
      <c r="P337" t="s">
        <v>1112</v>
      </c>
      <c r="Q337" t="s">
        <v>50</v>
      </c>
      <c r="R337">
        <v>3</v>
      </c>
      <c r="S337">
        <v>4289.37</v>
      </c>
      <c r="T337">
        <v>0.1</v>
      </c>
      <c r="U337">
        <v>11581.3</v>
      </c>
      <c r="V337">
        <v>6829.43</v>
      </c>
      <c r="W337">
        <v>4751.87</v>
      </c>
      <c r="X337" t="s">
        <v>32</v>
      </c>
      <c r="Y337" t="s">
        <v>33</v>
      </c>
      <c r="Z337" t="str">
        <f t="shared" si="70"/>
        <v>Unique</v>
      </c>
      <c r="AA337" t="str">
        <f t="shared" si="71"/>
        <v>Duplicate Order ID</v>
      </c>
      <c r="AB337" t="str">
        <f t="shared" si="75"/>
        <v>Conflicting Duplicate</v>
      </c>
      <c r="AC337">
        <f t="shared" si="76"/>
        <v>0.1</v>
      </c>
      <c r="AD337" t="str">
        <f t="shared" si="77"/>
        <v>OK</v>
      </c>
      <c r="AE337">
        <f t="shared" si="78"/>
        <v>11581.299000000001</v>
      </c>
      <c r="AF337">
        <f t="shared" si="79"/>
        <v>4751.8690000000006</v>
      </c>
      <c r="AG337">
        <f t="shared" si="80"/>
        <v>0.41030535521101735</v>
      </c>
      <c r="AH337" t="str">
        <f t="shared" si="72"/>
        <v>June</v>
      </c>
      <c r="AI337">
        <f t="shared" si="73"/>
        <v>2025</v>
      </c>
      <c r="AJ337" t="str">
        <f t="shared" si="81"/>
        <v>OK</v>
      </c>
      <c r="AK337" t="str">
        <f t="shared" si="82"/>
        <v>OK</v>
      </c>
      <c r="AL337" t="str">
        <f t="shared" si="83"/>
        <v>Include</v>
      </c>
      <c r="AM337" t="str">
        <f t="shared" si="74"/>
        <v>Invalid</v>
      </c>
    </row>
    <row r="338" spans="1:39">
      <c r="A338" t="s">
        <v>1113</v>
      </c>
      <c r="B338" s="4">
        <v>45368</v>
      </c>
      <c r="C338" s="4">
        <v>45372</v>
      </c>
      <c r="D338" s="6">
        <v>4</v>
      </c>
      <c r="E338" t="s">
        <v>2788</v>
      </c>
      <c r="F338" t="s">
        <v>2788</v>
      </c>
      <c r="G338" t="s">
        <v>2788</v>
      </c>
      <c r="H338" t="s">
        <v>865</v>
      </c>
      <c r="I338" t="s">
        <v>128</v>
      </c>
      <c r="J338" t="s">
        <v>24</v>
      </c>
      <c r="K338" t="s">
        <v>25</v>
      </c>
      <c r="L338" t="s">
        <v>26</v>
      </c>
      <c r="M338" t="s">
        <v>27</v>
      </c>
      <c r="N338" t="s">
        <v>74</v>
      </c>
      <c r="O338" t="s">
        <v>80</v>
      </c>
      <c r="P338" t="s">
        <v>1114</v>
      </c>
      <c r="Q338" t="s">
        <v>50</v>
      </c>
      <c r="R338">
        <v>8</v>
      </c>
      <c r="S338">
        <v>1992.57</v>
      </c>
      <c r="T338">
        <v>0</v>
      </c>
      <c r="U338">
        <v>15940.56</v>
      </c>
      <c r="V338">
        <v>12347.15</v>
      </c>
      <c r="W338">
        <v>3593.41</v>
      </c>
      <c r="X338" t="s">
        <v>32</v>
      </c>
      <c r="Y338" t="s">
        <v>33</v>
      </c>
      <c r="Z338" t="str">
        <f t="shared" si="70"/>
        <v>Unique</v>
      </c>
      <c r="AA338" t="str">
        <f t="shared" si="71"/>
        <v>Unique</v>
      </c>
      <c r="AB338" t="str">
        <f t="shared" si="75"/>
        <v>OK</v>
      </c>
      <c r="AC338">
        <f t="shared" si="76"/>
        <v>0</v>
      </c>
      <c r="AD338" t="str">
        <f t="shared" si="77"/>
        <v>OK</v>
      </c>
      <c r="AE338">
        <f t="shared" si="78"/>
        <v>15940.56</v>
      </c>
      <c r="AF338">
        <f t="shared" si="79"/>
        <v>3593.41</v>
      </c>
      <c r="AG338">
        <f t="shared" si="80"/>
        <v>0.2254255810335396</v>
      </c>
      <c r="AH338" t="str">
        <f t="shared" si="72"/>
        <v>March</v>
      </c>
      <c r="AI338">
        <f t="shared" si="73"/>
        <v>2024</v>
      </c>
      <c r="AJ338" t="str">
        <f t="shared" si="81"/>
        <v>OK</v>
      </c>
      <c r="AK338" t="str">
        <f t="shared" si="82"/>
        <v>OK</v>
      </c>
      <c r="AL338" t="str">
        <f t="shared" si="83"/>
        <v>Include</v>
      </c>
      <c r="AM338" t="str">
        <f t="shared" si="74"/>
        <v>Clean</v>
      </c>
    </row>
    <row r="339" spans="1:39">
      <c r="A339" t="s">
        <v>1115</v>
      </c>
      <c r="B339" s="4">
        <v>45516</v>
      </c>
      <c r="C339" s="4">
        <v>45522</v>
      </c>
      <c r="D339" s="6">
        <v>6</v>
      </c>
      <c r="E339" t="s">
        <v>2788</v>
      </c>
      <c r="F339" t="s">
        <v>2788</v>
      </c>
      <c r="G339" t="s">
        <v>2788</v>
      </c>
      <c r="H339" t="s">
        <v>1116</v>
      </c>
      <c r="I339" t="s">
        <v>62</v>
      </c>
      <c r="J339" t="s">
        <v>24</v>
      </c>
      <c r="K339" t="s">
        <v>38</v>
      </c>
      <c r="L339" t="s">
        <v>166</v>
      </c>
      <c r="M339" t="s">
        <v>167</v>
      </c>
      <c r="N339" t="s">
        <v>28</v>
      </c>
      <c r="O339" t="s">
        <v>91</v>
      </c>
      <c r="P339" t="s">
        <v>1117</v>
      </c>
      <c r="Q339" t="s">
        <v>44</v>
      </c>
      <c r="R339">
        <v>6</v>
      </c>
      <c r="S339">
        <v>1181.74</v>
      </c>
      <c r="T339">
        <v>0</v>
      </c>
      <c r="U339">
        <v>7090.44</v>
      </c>
      <c r="V339">
        <v>5672.27</v>
      </c>
      <c r="W339">
        <v>1262.8699999999999</v>
      </c>
      <c r="X339" t="s">
        <v>32</v>
      </c>
      <c r="Y339" t="s">
        <v>33</v>
      </c>
      <c r="Z339" t="str">
        <f t="shared" si="70"/>
        <v>Unique</v>
      </c>
      <c r="AA339" t="str">
        <f t="shared" si="71"/>
        <v>Unique</v>
      </c>
      <c r="AB339" t="str">
        <f t="shared" si="75"/>
        <v>OK</v>
      </c>
      <c r="AC339">
        <f t="shared" si="76"/>
        <v>0</v>
      </c>
      <c r="AD339" t="str">
        <f t="shared" si="77"/>
        <v>OK</v>
      </c>
      <c r="AE339">
        <f t="shared" si="78"/>
        <v>7090.4400000000005</v>
      </c>
      <c r="AF339">
        <f t="shared" si="79"/>
        <v>1418.17</v>
      </c>
      <c r="AG339">
        <f t="shared" si="80"/>
        <v>0.20001156486762456</v>
      </c>
      <c r="AH339" t="str">
        <f t="shared" si="72"/>
        <v>August</v>
      </c>
      <c r="AI339">
        <f t="shared" si="73"/>
        <v>2024</v>
      </c>
      <c r="AJ339" t="str">
        <f t="shared" si="81"/>
        <v>OK</v>
      </c>
      <c r="AK339" t="str">
        <f t="shared" si="82"/>
        <v>Profit Mismatch</v>
      </c>
      <c r="AL339" t="str">
        <f t="shared" si="83"/>
        <v>Include</v>
      </c>
      <c r="AM339" t="str">
        <f t="shared" si="74"/>
        <v>Warning</v>
      </c>
    </row>
    <row r="340" spans="1:39">
      <c r="A340" t="s">
        <v>1118</v>
      </c>
      <c r="B340" s="4">
        <v>45634</v>
      </c>
      <c r="C340" s="4">
        <v>45634</v>
      </c>
      <c r="D340" s="6">
        <v>0</v>
      </c>
      <c r="E340" t="s">
        <v>2788</v>
      </c>
      <c r="F340" t="s">
        <v>2788</v>
      </c>
      <c r="G340" t="s">
        <v>2788</v>
      </c>
      <c r="H340" t="s">
        <v>1119</v>
      </c>
      <c r="I340" t="s">
        <v>53</v>
      </c>
      <c r="J340" t="s">
        <v>37</v>
      </c>
      <c r="K340" t="s">
        <v>54</v>
      </c>
      <c r="L340" t="s">
        <v>84</v>
      </c>
      <c r="M340" t="s">
        <v>85</v>
      </c>
      <c r="N340" t="s">
        <v>74</v>
      </c>
      <c r="O340" t="s">
        <v>75</v>
      </c>
      <c r="P340" t="s">
        <v>1120</v>
      </c>
      <c r="Q340" t="s">
        <v>50</v>
      </c>
      <c r="R340">
        <v>8</v>
      </c>
      <c r="S340">
        <v>4402.3599999999997</v>
      </c>
      <c r="T340">
        <v>0.25</v>
      </c>
      <c r="U340">
        <v>26414.16</v>
      </c>
      <c r="V340">
        <v>21822.53</v>
      </c>
      <c r="W340">
        <v>4591.63</v>
      </c>
      <c r="X340" t="s">
        <v>32</v>
      </c>
      <c r="Y340" t="s">
        <v>33</v>
      </c>
      <c r="Z340" t="str">
        <f t="shared" si="70"/>
        <v>Unique</v>
      </c>
      <c r="AA340" t="str">
        <f t="shared" si="71"/>
        <v>Unique</v>
      </c>
      <c r="AB340" t="str">
        <f t="shared" si="75"/>
        <v>OK</v>
      </c>
      <c r="AC340">
        <f t="shared" si="76"/>
        <v>0.25</v>
      </c>
      <c r="AD340" t="str">
        <f t="shared" si="77"/>
        <v>OK</v>
      </c>
      <c r="AE340">
        <f t="shared" si="78"/>
        <v>26414.159999999996</v>
      </c>
      <c r="AF340">
        <f t="shared" si="79"/>
        <v>4591.6299999999974</v>
      </c>
      <c r="AG340">
        <f t="shared" si="80"/>
        <v>0.17383214154832097</v>
      </c>
      <c r="AH340" t="str">
        <f t="shared" si="72"/>
        <v>December</v>
      </c>
      <c r="AI340">
        <f t="shared" si="73"/>
        <v>2024</v>
      </c>
      <c r="AJ340" t="str">
        <f t="shared" si="81"/>
        <v>OK</v>
      </c>
      <c r="AK340" t="str">
        <f t="shared" si="82"/>
        <v>OK</v>
      </c>
      <c r="AL340" t="str">
        <f t="shared" si="83"/>
        <v>Include</v>
      </c>
      <c r="AM340" t="str">
        <f t="shared" si="74"/>
        <v>Clean</v>
      </c>
    </row>
    <row r="341" spans="1:39">
      <c r="A341" t="s">
        <v>1121</v>
      </c>
      <c r="B341" s="4">
        <v>45708</v>
      </c>
      <c r="C341" s="4">
        <v>45710</v>
      </c>
      <c r="D341" s="6">
        <v>2</v>
      </c>
      <c r="E341" t="s">
        <v>2788</v>
      </c>
      <c r="F341" t="s">
        <v>2788</v>
      </c>
      <c r="G341" t="s">
        <v>2788</v>
      </c>
      <c r="H341" t="s">
        <v>1122</v>
      </c>
      <c r="I341" t="s">
        <v>79</v>
      </c>
      <c r="J341" t="s">
        <v>90</v>
      </c>
      <c r="K341" t="s">
        <v>38</v>
      </c>
      <c r="L341" t="s">
        <v>228</v>
      </c>
      <c r="M341" t="s">
        <v>229</v>
      </c>
      <c r="N341" t="s">
        <v>41</v>
      </c>
      <c r="O341" t="s">
        <v>158</v>
      </c>
      <c r="P341" t="s">
        <v>1123</v>
      </c>
      <c r="Q341" t="s">
        <v>59</v>
      </c>
      <c r="R341">
        <v>8</v>
      </c>
      <c r="S341">
        <v>3265.76</v>
      </c>
      <c r="T341">
        <v>0.2</v>
      </c>
      <c r="U341">
        <v>20900.86</v>
      </c>
      <c r="V341">
        <v>12513.14</v>
      </c>
      <c r="W341">
        <v>8387.7199999999993</v>
      </c>
      <c r="X341" t="s">
        <v>32</v>
      </c>
      <c r="Y341" t="s">
        <v>33</v>
      </c>
      <c r="Z341" t="str">
        <f t="shared" si="70"/>
        <v>Unique</v>
      </c>
      <c r="AA341" t="str">
        <f t="shared" si="71"/>
        <v>Unique</v>
      </c>
      <c r="AB341" t="str">
        <f t="shared" si="75"/>
        <v>OK</v>
      </c>
      <c r="AC341">
        <f t="shared" si="76"/>
        <v>0.2</v>
      </c>
      <c r="AD341" t="str">
        <f t="shared" si="77"/>
        <v>OK</v>
      </c>
      <c r="AE341">
        <f t="shared" si="78"/>
        <v>20900.864000000001</v>
      </c>
      <c r="AF341">
        <f t="shared" si="79"/>
        <v>8387.724000000002</v>
      </c>
      <c r="AG341">
        <f t="shared" si="80"/>
        <v>0.40130991714026759</v>
      </c>
      <c r="AH341" t="str">
        <f t="shared" si="72"/>
        <v>February</v>
      </c>
      <c r="AI341">
        <f t="shared" si="73"/>
        <v>2025</v>
      </c>
      <c r="AJ341" t="str">
        <f t="shared" si="81"/>
        <v>OK</v>
      </c>
      <c r="AK341" t="str">
        <f t="shared" si="82"/>
        <v>OK</v>
      </c>
      <c r="AL341" t="str">
        <f t="shared" si="83"/>
        <v>Include</v>
      </c>
      <c r="AM341" t="str">
        <f t="shared" si="74"/>
        <v>Clean</v>
      </c>
    </row>
    <row r="342" spans="1:39">
      <c r="A342" t="s">
        <v>1124</v>
      </c>
      <c r="B342" s="4">
        <v>45312</v>
      </c>
      <c r="C342" s="4">
        <v>45320</v>
      </c>
      <c r="D342" s="6">
        <v>8</v>
      </c>
      <c r="E342" t="s">
        <v>2788</v>
      </c>
      <c r="F342" t="s">
        <v>2788</v>
      </c>
      <c r="G342" t="s">
        <v>2788</v>
      </c>
      <c r="H342" t="s">
        <v>1125</v>
      </c>
      <c r="I342" t="s">
        <v>79</v>
      </c>
      <c r="J342" t="s">
        <v>24</v>
      </c>
      <c r="K342" t="s">
        <v>54</v>
      </c>
      <c r="L342" t="s">
        <v>175</v>
      </c>
      <c r="M342" t="s">
        <v>176</v>
      </c>
      <c r="N342" t="s">
        <v>28</v>
      </c>
      <c r="O342" t="s">
        <v>153</v>
      </c>
      <c r="P342" t="s">
        <v>1126</v>
      </c>
      <c r="Q342" t="s">
        <v>59</v>
      </c>
      <c r="R342">
        <v>5</v>
      </c>
      <c r="S342">
        <v>4058.08</v>
      </c>
      <c r="T342">
        <v>0.1</v>
      </c>
      <c r="U342">
        <v>18261.36</v>
      </c>
      <c r="V342">
        <v>11399.94</v>
      </c>
      <c r="W342">
        <v>6861.42</v>
      </c>
      <c r="X342" t="s">
        <v>32</v>
      </c>
      <c r="Y342" t="s">
        <v>33</v>
      </c>
      <c r="Z342" t="str">
        <f t="shared" si="70"/>
        <v>Unique</v>
      </c>
      <c r="AA342" t="str">
        <f t="shared" si="71"/>
        <v>Unique</v>
      </c>
      <c r="AB342" t="str">
        <f t="shared" si="75"/>
        <v>OK</v>
      </c>
      <c r="AC342">
        <f t="shared" si="76"/>
        <v>0.1</v>
      </c>
      <c r="AD342" t="str">
        <f t="shared" si="77"/>
        <v>OK</v>
      </c>
      <c r="AE342">
        <f t="shared" si="78"/>
        <v>18261.36</v>
      </c>
      <c r="AF342">
        <f t="shared" si="79"/>
        <v>6861.42</v>
      </c>
      <c r="AG342">
        <f t="shared" si="80"/>
        <v>0.3757343374206521</v>
      </c>
      <c r="AH342" t="str">
        <f t="shared" si="72"/>
        <v>January</v>
      </c>
      <c r="AI342">
        <f t="shared" si="73"/>
        <v>2024</v>
      </c>
      <c r="AJ342" t="str">
        <f t="shared" si="81"/>
        <v>OK</v>
      </c>
      <c r="AK342" t="str">
        <f t="shared" si="82"/>
        <v>OK</v>
      </c>
      <c r="AL342" t="str">
        <f t="shared" si="83"/>
        <v>Include</v>
      </c>
      <c r="AM342" t="str">
        <f t="shared" si="74"/>
        <v>Clean</v>
      </c>
    </row>
    <row r="343" spans="1:39">
      <c r="A343" t="s">
        <v>1127</v>
      </c>
      <c r="B343" s="4">
        <v>45908</v>
      </c>
      <c r="C343" s="4">
        <v>45909</v>
      </c>
      <c r="D343" s="6">
        <v>1</v>
      </c>
      <c r="E343" t="s">
        <v>2788</v>
      </c>
      <c r="F343" t="s">
        <v>2788</v>
      </c>
      <c r="G343" t="s">
        <v>2788</v>
      </c>
      <c r="H343" t="s">
        <v>1128</v>
      </c>
      <c r="I343" t="s">
        <v>141</v>
      </c>
      <c r="J343" t="s">
        <v>95</v>
      </c>
      <c r="K343" t="s">
        <v>63</v>
      </c>
      <c r="L343" t="s">
        <v>180</v>
      </c>
      <c r="M343" t="s">
        <v>181</v>
      </c>
      <c r="N343" t="s">
        <v>41</v>
      </c>
      <c r="O343" t="s">
        <v>66</v>
      </c>
      <c r="P343" t="s">
        <v>1129</v>
      </c>
      <c r="Q343" t="s">
        <v>31</v>
      </c>
      <c r="R343">
        <v>2</v>
      </c>
      <c r="S343">
        <v>3960.33</v>
      </c>
      <c r="T343">
        <v>0.05</v>
      </c>
      <c r="U343">
        <v>7524.63</v>
      </c>
      <c r="V343">
        <v>6229.6</v>
      </c>
      <c r="W343">
        <v>1295.03</v>
      </c>
      <c r="X343" t="s">
        <v>32</v>
      </c>
      <c r="Y343" t="s">
        <v>33</v>
      </c>
      <c r="Z343" t="str">
        <f t="shared" si="70"/>
        <v>Unique</v>
      </c>
      <c r="AA343" t="str">
        <f t="shared" si="71"/>
        <v>Unique</v>
      </c>
      <c r="AB343" t="str">
        <f t="shared" si="75"/>
        <v>OK</v>
      </c>
      <c r="AC343">
        <f t="shared" si="76"/>
        <v>0.05</v>
      </c>
      <c r="AD343" t="str">
        <f t="shared" si="77"/>
        <v>OK</v>
      </c>
      <c r="AE343">
        <f t="shared" si="78"/>
        <v>7524.6269999999995</v>
      </c>
      <c r="AF343">
        <f t="shared" si="79"/>
        <v>1295.0269999999991</v>
      </c>
      <c r="AG343">
        <f t="shared" si="80"/>
        <v>0.17210514222166751</v>
      </c>
      <c r="AH343" t="str">
        <f t="shared" si="72"/>
        <v>September</v>
      </c>
      <c r="AI343">
        <f t="shared" si="73"/>
        <v>2025</v>
      </c>
      <c r="AJ343" t="str">
        <f t="shared" si="81"/>
        <v>OK</v>
      </c>
      <c r="AK343" t="str">
        <f t="shared" si="82"/>
        <v>OK</v>
      </c>
      <c r="AL343" t="str">
        <f t="shared" si="83"/>
        <v>Include</v>
      </c>
      <c r="AM343" t="str">
        <f t="shared" si="74"/>
        <v>Clean</v>
      </c>
    </row>
    <row r="344" spans="1:39">
      <c r="A344" t="s">
        <v>1130</v>
      </c>
      <c r="B344" s="4">
        <v>45862</v>
      </c>
      <c r="C344" s="4">
        <v>45870</v>
      </c>
      <c r="D344" s="6">
        <v>8</v>
      </c>
      <c r="E344" t="s">
        <v>2788</v>
      </c>
      <c r="F344" t="s">
        <v>2788</v>
      </c>
      <c r="G344" t="s">
        <v>2788</v>
      </c>
      <c r="H344" t="s">
        <v>1131</v>
      </c>
      <c r="I344" t="s">
        <v>264</v>
      </c>
      <c r="J344" t="s">
        <v>37</v>
      </c>
      <c r="K344" t="s">
        <v>38</v>
      </c>
      <c r="L344" t="s">
        <v>228</v>
      </c>
      <c r="M344" t="s">
        <v>229</v>
      </c>
      <c r="N344" t="s">
        <v>28</v>
      </c>
      <c r="O344" t="s">
        <v>153</v>
      </c>
      <c r="P344" t="s">
        <v>1132</v>
      </c>
      <c r="Q344" t="s">
        <v>50</v>
      </c>
      <c r="R344">
        <v>8</v>
      </c>
      <c r="S344">
        <v>1528.92</v>
      </c>
      <c r="T344">
        <v>0</v>
      </c>
      <c r="U344">
        <v>12231.36</v>
      </c>
      <c r="V344">
        <v>8766.9</v>
      </c>
      <c r="W344">
        <v>3464.46</v>
      </c>
      <c r="X344" t="s">
        <v>32</v>
      </c>
      <c r="Y344" t="s">
        <v>33</v>
      </c>
      <c r="Z344" t="str">
        <f t="shared" si="70"/>
        <v>Unique</v>
      </c>
      <c r="AA344" t="str">
        <f t="shared" si="71"/>
        <v>Unique</v>
      </c>
      <c r="AB344" t="str">
        <f t="shared" si="75"/>
        <v>OK</v>
      </c>
      <c r="AC344">
        <f t="shared" si="76"/>
        <v>0</v>
      </c>
      <c r="AD344" t="str">
        <f t="shared" si="77"/>
        <v>OK</v>
      </c>
      <c r="AE344">
        <f t="shared" si="78"/>
        <v>12231.36</v>
      </c>
      <c r="AF344">
        <f t="shared" si="79"/>
        <v>3464.4600000000009</v>
      </c>
      <c r="AG344">
        <f t="shared" si="80"/>
        <v>0.28324405462679547</v>
      </c>
      <c r="AH344" t="str">
        <f t="shared" si="72"/>
        <v>July</v>
      </c>
      <c r="AI344">
        <f t="shared" si="73"/>
        <v>2025</v>
      </c>
      <c r="AJ344" t="str">
        <f t="shared" si="81"/>
        <v>OK</v>
      </c>
      <c r="AK344" t="str">
        <f t="shared" si="82"/>
        <v>OK</v>
      </c>
      <c r="AL344" t="str">
        <f t="shared" si="83"/>
        <v>Include</v>
      </c>
      <c r="AM344" t="str">
        <f t="shared" si="74"/>
        <v>Clean</v>
      </c>
    </row>
    <row r="345" spans="1:39">
      <c r="A345" t="s">
        <v>1133</v>
      </c>
      <c r="B345" s="4">
        <v>45933</v>
      </c>
      <c r="C345" s="4">
        <v>45938</v>
      </c>
      <c r="D345" s="6">
        <v>5</v>
      </c>
      <c r="E345" t="s">
        <v>2788</v>
      </c>
      <c r="F345" t="s">
        <v>2788</v>
      </c>
      <c r="G345" t="s">
        <v>2788</v>
      </c>
      <c r="H345" t="s">
        <v>1134</v>
      </c>
      <c r="I345" t="s">
        <v>128</v>
      </c>
      <c r="J345" t="s">
        <v>90</v>
      </c>
      <c r="K345" t="s">
        <v>63</v>
      </c>
      <c r="L345" t="s">
        <v>72</v>
      </c>
      <c r="M345" t="s">
        <v>73</v>
      </c>
      <c r="N345" t="s">
        <v>74</v>
      </c>
      <c r="O345" t="s">
        <v>274</v>
      </c>
      <c r="P345" t="s">
        <v>1135</v>
      </c>
      <c r="Q345" t="s">
        <v>44</v>
      </c>
      <c r="R345">
        <v>9</v>
      </c>
      <c r="S345">
        <v>3837</v>
      </c>
      <c r="T345">
        <v>0.1</v>
      </c>
      <c r="U345">
        <v>31079.7</v>
      </c>
      <c r="V345">
        <v>17758.25</v>
      </c>
      <c r="W345">
        <v>13321.45</v>
      </c>
      <c r="X345" t="s">
        <v>32</v>
      </c>
      <c r="Y345" t="s">
        <v>33</v>
      </c>
      <c r="Z345" t="str">
        <f t="shared" si="70"/>
        <v>Unique</v>
      </c>
      <c r="AA345" t="str">
        <f t="shared" si="71"/>
        <v>Unique</v>
      </c>
      <c r="AB345" t="str">
        <f t="shared" si="75"/>
        <v>OK</v>
      </c>
      <c r="AC345">
        <f t="shared" si="76"/>
        <v>0.1</v>
      </c>
      <c r="AD345" t="str">
        <f t="shared" si="77"/>
        <v>OK</v>
      </c>
      <c r="AE345">
        <f t="shared" si="78"/>
        <v>31079.7</v>
      </c>
      <c r="AF345">
        <f t="shared" si="79"/>
        <v>13321.45</v>
      </c>
      <c r="AG345">
        <f t="shared" si="80"/>
        <v>0.4286222196481948</v>
      </c>
      <c r="AH345" t="str">
        <f t="shared" si="72"/>
        <v>October</v>
      </c>
      <c r="AI345">
        <f t="shared" si="73"/>
        <v>2025</v>
      </c>
      <c r="AJ345" t="str">
        <f t="shared" si="81"/>
        <v>OK</v>
      </c>
      <c r="AK345" t="str">
        <f t="shared" si="82"/>
        <v>OK</v>
      </c>
      <c r="AL345" t="str">
        <f t="shared" si="83"/>
        <v>Include</v>
      </c>
      <c r="AM345" t="str">
        <f t="shared" si="74"/>
        <v>Clean</v>
      </c>
    </row>
    <row r="346" spans="1:39">
      <c r="A346" t="s">
        <v>1136</v>
      </c>
      <c r="B346" s="4">
        <v>45362</v>
      </c>
      <c r="C346" s="4">
        <v>45362</v>
      </c>
      <c r="D346" s="6">
        <v>0</v>
      </c>
      <c r="E346" t="s">
        <v>2788</v>
      </c>
      <c r="F346" t="s">
        <v>2788</v>
      </c>
      <c r="G346" t="s">
        <v>2788</v>
      </c>
      <c r="H346" t="s">
        <v>1137</v>
      </c>
      <c r="I346" t="s">
        <v>114</v>
      </c>
      <c r="J346" t="s">
        <v>24</v>
      </c>
      <c r="K346" t="s">
        <v>25</v>
      </c>
      <c r="L346" t="s">
        <v>122</v>
      </c>
      <c r="M346" t="s">
        <v>123</v>
      </c>
      <c r="N346" t="s">
        <v>41</v>
      </c>
      <c r="O346" t="s">
        <v>158</v>
      </c>
      <c r="P346" t="s">
        <v>1138</v>
      </c>
      <c r="Q346" t="s">
        <v>44</v>
      </c>
      <c r="R346">
        <v>9</v>
      </c>
      <c r="S346">
        <v>3456.38</v>
      </c>
      <c r="T346">
        <v>0</v>
      </c>
      <c r="U346">
        <v>31107.42</v>
      </c>
      <c r="V346">
        <v>20146.66</v>
      </c>
      <c r="W346">
        <v>10960.76</v>
      </c>
      <c r="X346" t="s">
        <v>111</v>
      </c>
      <c r="Y346" t="s">
        <v>103</v>
      </c>
      <c r="Z346" t="str">
        <f t="shared" si="70"/>
        <v>Unique</v>
      </c>
      <c r="AA346" t="str">
        <f t="shared" si="71"/>
        <v>Unique</v>
      </c>
      <c r="AB346" t="str">
        <f t="shared" si="75"/>
        <v>OK</v>
      </c>
      <c r="AC346">
        <f t="shared" si="76"/>
        <v>0</v>
      </c>
      <c r="AD346" t="str">
        <f t="shared" si="77"/>
        <v>OK</v>
      </c>
      <c r="AE346">
        <f t="shared" si="78"/>
        <v>31107.420000000002</v>
      </c>
      <c r="AF346">
        <f t="shared" si="79"/>
        <v>10960.760000000002</v>
      </c>
      <c r="AG346">
        <f t="shared" si="80"/>
        <v>0.3523519468988428</v>
      </c>
      <c r="AH346" t="str">
        <f t="shared" si="72"/>
        <v>March</v>
      </c>
      <c r="AI346">
        <f t="shared" si="73"/>
        <v>2024</v>
      </c>
      <c r="AJ346" t="str">
        <f t="shared" si="81"/>
        <v>OK</v>
      </c>
      <c r="AK346" t="str">
        <f t="shared" si="82"/>
        <v>OK</v>
      </c>
      <c r="AL346" t="str">
        <f t="shared" si="83"/>
        <v>Exclude</v>
      </c>
      <c r="AM346" t="str">
        <f t="shared" si="74"/>
        <v>Clean</v>
      </c>
    </row>
    <row r="347" spans="1:39">
      <c r="A347" t="s">
        <v>1139</v>
      </c>
      <c r="B347" s="4">
        <v>45549</v>
      </c>
      <c r="C347" s="4">
        <v>45557</v>
      </c>
      <c r="D347" s="6">
        <v>8</v>
      </c>
      <c r="E347" t="s">
        <v>2788</v>
      </c>
      <c r="F347" t="s">
        <v>2788</v>
      </c>
      <c r="G347" t="s">
        <v>2788</v>
      </c>
      <c r="H347" t="s">
        <v>1140</v>
      </c>
      <c r="I347" t="s">
        <v>23</v>
      </c>
      <c r="J347" t="s">
        <v>24</v>
      </c>
      <c r="K347" t="s">
        <v>63</v>
      </c>
      <c r="L347" t="s">
        <v>72</v>
      </c>
      <c r="M347" t="s">
        <v>73</v>
      </c>
      <c r="N347" t="s">
        <v>41</v>
      </c>
      <c r="O347" t="s">
        <v>57</v>
      </c>
      <c r="P347" t="s">
        <v>1141</v>
      </c>
      <c r="Q347" t="s">
        <v>31</v>
      </c>
      <c r="R347">
        <v>2</v>
      </c>
      <c r="S347">
        <v>2765.3</v>
      </c>
      <c r="T347">
        <v>0</v>
      </c>
      <c r="U347">
        <v>5530.6</v>
      </c>
      <c r="V347">
        <v>4453.1099999999997</v>
      </c>
      <c r="W347">
        <v>1077.49</v>
      </c>
      <c r="X347" t="s">
        <v>32</v>
      </c>
      <c r="Y347" t="s">
        <v>33</v>
      </c>
      <c r="Z347" t="str">
        <f t="shared" si="70"/>
        <v>Unique</v>
      </c>
      <c r="AA347" t="str">
        <f t="shared" si="71"/>
        <v>Unique</v>
      </c>
      <c r="AB347" t="str">
        <f t="shared" si="75"/>
        <v>OK</v>
      </c>
      <c r="AC347">
        <f t="shared" si="76"/>
        <v>0</v>
      </c>
      <c r="AD347" t="str">
        <f t="shared" si="77"/>
        <v>OK</v>
      </c>
      <c r="AE347">
        <f t="shared" si="78"/>
        <v>5530.6</v>
      </c>
      <c r="AF347">
        <f t="shared" si="79"/>
        <v>1077.4900000000007</v>
      </c>
      <c r="AG347">
        <f t="shared" si="80"/>
        <v>0.19482334647235391</v>
      </c>
      <c r="AH347" t="str">
        <f t="shared" si="72"/>
        <v>September</v>
      </c>
      <c r="AI347">
        <f t="shared" si="73"/>
        <v>2024</v>
      </c>
      <c r="AJ347" t="str">
        <f t="shared" si="81"/>
        <v>OK</v>
      </c>
      <c r="AK347" t="str">
        <f t="shared" si="82"/>
        <v>OK</v>
      </c>
      <c r="AL347" t="str">
        <f t="shared" si="83"/>
        <v>Include</v>
      </c>
      <c r="AM347" t="str">
        <f t="shared" si="74"/>
        <v>Clean</v>
      </c>
    </row>
    <row r="348" spans="1:39">
      <c r="A348" t="s">
        <v>1142</v>
      </c>
      <c r="B348" s="4">
        <v>45860</v>
      </c>
      <c r="C348" s="4">
        <v>45866</v>
      </c>
      <c r="D348" s="6">
        <v>6</v>
      </c>
      <c r="E348" t="s">
        <v>2788</v>
      </c>
      <c r="F348" t="s">
        <v>2788</v>
      </c>
      <c r="G348" t="s">
        <v>2788</v>
      </c>
      <c r="H348" t="s">
        <v>1143</v>
      </c>
      <c r="I348" t="s">
        <v>118</v>
      </c>
      <c r="J348" t="s">
        <v>90</v>
      </c>
      <c r="K348" t="s">
        <v>54</v>
      </c>
      <c r="L348" t="s">
        <v>185</v>
      </c>
      <c r="M348" t="s">
        <v>186</v>
      </c>
      <c r="N348" t="s">
        <v>41</v>
      </c>
      <c r="O348" t="s">
        <v>66</v>
      </c>
      <c r="P348" t="s">
        <v>1144</v>
      </c>
      <c r="Q348" t="s">
        <v>31</v>
      </c>
      <c r="R348">
        <v>6</v>
      </c>
      <c r="S348">
        <v>1607.46</v>
      </c>
      <c r="T348">
        <v>0.2</v>
      </c>
      <c r="U348">
        <v>7715.81</v>
      </c>
      <c r="V348">
        <v>4258.42</v>
      </c>
      <c r="W348">
        <v>3457.39</v>
      </c>
      <c r="X348" t="s">
        <v>32</v>
      </c>
      <c r="Y348" t="s">
        <v>33</v>
      </c>
      <c r="Z348" t="str">
        <f t="shared" si="70"/>
        <v>Unique</v>
      </c>
      <c r="AA348" t="str">
        <f t="shared" si="71"/>
        <v>Unique</v>
      </c>
      <c r="AB348" t="str">
        <f t="shared" si="75"/>
        <v>OK</v>
      </c>
      <c r="AC348">
        <f t="shared" si="76"/>
        <v>0.2</v>
      </c>
      <c r="AD348" t="str">
        <f t="shared" si="77"/>
        <v>OK</v>
      </c>
      <c r="AE348">
        <f t="shared" si="78"/>
        <v>7715.8080000000009</v>
      </c>
      <c r="AF348">
        <f t="shared" si="79"/>
        <v>3457.3880000000008</v>
      </c>
      <c r="AG348">
        <f t="shared" si="80"/>
        <v>0.4480915025360922</v>
      </c>
      <c r="AH348" t="str">
        <f t="shared" si="72"/>
        <v>July</v>
      </c>
      <c r="AI348">
        <f t="shared" si="73"/>
        <v>2025</v>
      </c>
      <c r="AJ348" t="str">
        <f t="shared" si="81"/>
        <v>OK</v>
      </c>
      <c r="AK348" t="str">
        <f t="shared" si="82"/>
        <v>OK</v>
      </c>
      <c r="AL348" t="str">
        <f t="shared" si="83"/>
        <v>Include</v>
      </c>
      <c r="AM348" t="str">
        <f t="shared" si="74"/>
        <v>Clean</v>
      </c>
    </row>
    <row r="349" spans="1:39">
      <c r="A349" t="s">
        <v>1145</v>
      </c>
      <c r="B349" s="4">
        <v>45627</v>
      </c>
      <c r="C349" s="4">
        <v>45634</v>
      </c>
      <c r="D349" s="6">
        <v>7</v>
      </c>
      <c r="E349" t="s">
        <v>2788</v>
      </c>
      <c r="F349" t="s">
        <v>2788</v>
      </c>
      <c r="G349" t="s">
        <v>2788</v>
      </c>
      <c r="H349" t="s">
        <v>1146</v>
      </c>
      <c r="I349" t="s">
        <v>128</v>
      </c>
      <c r="J349" t="s">
        <v>37</v>
      </c>
      <c r="K349" t="s">
        <v>63</v>
      </c>
      <c r="L349" t="s">
        <v>190</v>
      </c>
      <c r="M349" t="s">
        <v>191</v>
      </c>
      <c r="N349" t="s">
        <v>41</v>
      </c>
      <c r="O349" t="s">
        <v>66</v>
      </c>
      <c r="P349" t="s">
        <v>1147</v>
      </c>
      <c r="Q349" t="s">
        <v>31</v>
      </c>
      <c r="R349">
        <v>5</v>
      </c>
      <c r="S349">
        <v>2981.49</v>
      </c>
      <c r="T349">
        <v>0.2</v>
      </c>
      <c r="U349">
        <v>11925.96</v>
      </c>
      <c r="V349">
        <v>10103.51</v>
      </c>
      <c r="W349">
        <v>1822.45</v>
      </c>
      <c r="X349" t="s">
        <v>102</v>
      </c>
      <c r="Y349" t="s">
        <v>103</v>
      </c>
      <c r="Z349" t="str">
        <f t="shared" si="70"/>
        <v>Unique</v>
      </c>
      <c r="AA349" t="str">
        <f t="shared" si="71"/>
        <v>Unique</v>
      </c>
      <c r="AB349" t="str">
        <f t="shared" si="75"/>
        <v>OK</v>
      </c>
      <c r="AC349">
        <f t="shared" si="76"/>
        <v>0.2</v>
      </c>
      <c r="AD349" t="str">
        <f t="shared" si="77"/>
        <v>OK</v>
      </c>
      <c r="AE349">
        <f t="shared" si="78"/>
        <v>11925.96</v>
      </c>
      <c r="AF349">
        <f t="shared" si="79"/>
        <v>1822.4499999999989</v>
      </c>
      <c r="AG349">
        <f t="shared" si="80"/>
        <v>0.15281369382422874</v>
      </c>
      <c r="AH349" t="str">
        <f t="shared" si="72"/>
        <v>December</v>
      </c>
      <c r="AI349">
        <f t="shared" si="73"/>
        <v>2024</v>
      </c>
      <c r="AJ349" t="str">
        <f t="shared" si="81"/>
        <v>OK</v>
      </c>
      <c r="AK349" t="str">
        <f t="shared" si="82"/>
        <v>OK</v>
      </c>
      <c r="AL349" t="str">
        <f t="shared" si="83"/>
        <v>Exclude</v>
      </c>
      <c r="AM349" t="str">
        <f t="shared" si="74"/>
        <v>Clean</v>
      </c>
    </row>
    <row r="350" spans="1:39">
      <c r="A350" t="s">
        <v>1148</v>
      </c>
      <c r="B350" s="4">
        <v>45445</v>
      </c>
      <c r="C350" s="4">
        <v>45450</v>
      </c>
      <c r="D350" s="6">
        <v>5</v>
      </c>
      <c r="E350" t="s">
        <v>2788</v>
      </c>
      <c r="F350" t="s">
        <v>2788</v>
      </c>
      <c r="G350" t="s">
        <v>2788</v>
      </c>
      <c r="H350" t="s">
        <v>1149</v>
      </c>
      <c r="I350" t="s">
        <v>128</v>
      </c>
      <c r="J350" t="s">
        <v>90</v>
      </c>
      <c r="K350" t="s">
        <v>54</v>
      </c>
      <c r="L350" t="s">
        <v>175</v>
      </c>
      <c r="M350" t="s">
        <v>176</v>
      </c>
      <c r="N350" t="s">
        <v>74</v>
      </c>
      <c r="O350" t="s">
        <v>171</v>
      </c>
      <c r="P350" t="s">
        <v>1150</v>
      </c>
      <c r="Q350" t="s">
        <v>44</v>
      </c>
      <c r="R350">
        <v>9</v>
      </c>
      <c r="S350">
        <v>2860.26</v>
      </c>
      <c r="T350">
        <v>0.25</v>
      </c>
      <c r="U350">
        <v>19306.759999999998</v>
      </c>
      <c r="V350">
        <v>14442.38</v>
      </c>
      <c r="W350">
        <v>4864.38</v>
      </c>
      <c r="X350" t="s">
        <v>32</v>
      </c>
      <c r="Y350" t="s">
        <v>33</v>
      </c>
      <c r="Z350" t="str">
        <f t="shared" si="70"/>
        <v>Unique</v>
      </c>
      <c r="AA350" t="str">
        <f t="shared" si="71"/>
        <v>Unique</v>
      </c>
      <c r="AB350" t="str">
        <f t="shared" si="75"/>
        <v>OK</v>
      </c>
      <c r="AC350">
        <f t="shared" si="76"/>
        <v>0.25</v>
      </c>
      <c r="AD350" t="str">
        <f t="shared" si="77"/>
        <v>OK</v>
      </c>
      <c r="AE350">
        <f t="shared" si="78"/>
        <v>19306.755000000005</v>
      </c>
      <c r="AF350">
        <f t="shared" si="79"/>
        <v>4864.3750000000055</v>
      </c>
      <c r="AG350">
        <f t="shared" si="80"/>
        <v>0.25195197225012717</v>
      </c>
      <c r="AH350" t="str">
        <f t="shared" si="72"/>
        <v>June</v>
      </c>
      <c r="AI350">
        <f t="shared" si="73"/>
        <v>2024</v>
      </c>
      <c r="AJ350" t="str">
        <f t="shared" si="81"/>
        <v>OK</v>
      </c>
      <c r="AK350" t="str">
        <f t="shared" si="82"/>
        <v>OK</v>
      </c>
      <c r="AL350" t="str">
        <f t="shared" si="83"/>
        <v>Include</v>
      </c>
      <c r="AM350" t="str">
        <f t="shared" si="74"/>
        <v>Clean</v>
      </c>
    </row>
    <row r="351" spans="1:39">
      <c r="A351" t="s">
        <v>1151</v>
      </c>
      <c r="B351" s="4">
        <v>45927</v>
      </c>
      <c r="C351" s="4">
        <v>45929</v>
      </c>
      <c r="D351" s="6">
        <v>2</v>
      </c>
      <c r="E351" t="s">
        <v>2788</v>
      </c>
      <c r="F351" t="s">
        <v>2788</v>
      </c>
      <c r="G351" t="s">
        <v>2788</v>
      </c>
      <c r="H351" t="s">
        <v>1152</v>
      </c>
      <c r="I351" t="s">
        <v>264</v>
      </c>
      <c r="J351" t="s">
        <v>95</v>
      </c>
      <c r="K351" t="s">
        <v>38</v>
      </c>
      <c r="L351" t="s">
        <v>228</v>
      </c>
      <c r="M351" t="s">
        <v>229</v>
      </c>
      <c r="N351" t="s">
        <v>41</v>
      </c>
      <c r="O351" t="s">
        <v>57</v>
      </c>
      <c r="P351" t="s">
        <v>1153</v>
      </c>
      <c r="Q351" t="s">
        <v>31</v>
      </c>
      <c r="R351">
        <v>9</v>
      </c>
      <c r="S351">
        <v>2867.55</v>
      </c>
      <c r="T351">
        <v>0.25</v>
      </c>
      <c r="U351">
        <v>19355.96</v>
      </c>
      <c r="V351">
        <v>15012.45</v>
      </c>
      <c r="W351">
        <v>4017.4</v>
      </c>
      <c r="X351" t="s">
        <v>32</v>
      </c>
      <c r="Y351" t="s">
        <v>33</v>
      </c>
      <c r="Z351" t="str">
        <f t="shared" si="70"/>
        <v>Unique</v>
      </c>
      <c r="AA351" t="str">
        <f t="shared" si="71"/>
        <v>Unique</v>
      </c>
      <c r="AB351" t="str">
        <f t="shared" si="75"/>
        <v>OK</v>
      </c>
      <c r="AC351">
        <f t="shared" si="76"/>
        <v>0.25</v>
      </c>
      <c r="AD351" t="str">
        <f t="shared" si="77"/>
        <v>OK</v>
      </c>
      <c r="AE351">
        <f t="shared" si="78"/>
        <v>19355.962500000001</v>
      </c>
      <c r="AF351">
        <f t="shared" si="79"/>
        <v>4343.5125000000007</v>
      </c>
      <c r="AG351">
        <f t="shared" si="80"/>
        <v>0.22440178317146461</v>
      </c>
      <c r="AH351" t="str">
        <f t="shared" si="72"/>
        <v>September</v>
      </c>
      <c r="AI351">
        <f t="shared" si="73"/>
        <v>2025</v>
      </c>
      <c r="AJ351" t="str">
        <f t="shared" si="81"/>
        <v>OK</v>
      </c>
      <c r="AK351" t="str">
        <f t="shared" si="82"/>
        <v>Profit Mismatch</v>
      </c>
      <c r="AL351" t="str">
        <f t="shared" si="83"/>
        <v>Include</v>
      </c>
      <c r="AM351" t="str">
        <f t="shared" si="74"/>
        <v>Warning</v>
      </c>
    </row>
    <row r="352" spans="1:39">
      <c r="A352" t="s">
        <v>1154</v>
      </c>
      <c r="B352" s="4">
        <v>45298</v>
      </c>
      <c r="C352" s="4">
        <v>45305</v>
      </c>
      <c r="D352" s="6">
        <v>7</v>
      </c>
      <c r="E352" t="s">
        <v>2788</v>
      </c>
      <c r="F352" t="s">
        <v>2788</v>
      </c>
      <c r="G352" t="s">
        <v>2788</v>
      </c>
      <c r="H352" t="s">
        <v>1155</v>
      </c>
      <c r="I352" t="s">
        <v>132</v>
      </c>
      <c r="J352" t="s">
        <v>37</v>
      </c>
      <c r="K352" t="s">
        <v>38</v>
      </c>
      <c r="L352" t="s">
        <v>228</v>
      </c>
      <c r="M352" t="s">
        <v>229</v>
      </c>
      <c r="N352" t="s">
        <v>41</v>
      </c>
      <c r="O352" t="s">
        <v>57</v>
      </c>
      <c r="P352" t="s">
        <v>1156</v>
      </c>
      <c r="Q352" t="s">
        <v>31</v>
      </c>
      <c r="R352">
        <v>4</v>
      </c>
      <c r="S352">
        <v>3309.54</v>
      </c>
      <c r="T352">
        <v>0.1</v>
      </c>
      <c r="U352">
        <v>11914.34</v>
      </c>
      <c r="V352">
        <v>9771.24</v>
      </c>
      <c r="W352">
        <v>2143.1</v>
      </c>
      <c r="X352" t="s">
        <v>102</v>
      </c>
      <c r="Y352" t="s">
        <v>103</v>
      </c>
      <c r="Z352" t="str">
        <f t="shared" si="70"/>
        <v>Unique</v>
      </c>
      <c r="AA352" t="str">
        <f t="shared" si="71"/>
        <v>Unique</v>
      </c>
      <c r="AB352" t="str">
        <f t="shared" si="75"/>
        <v>OK</v>
      </c>
      <c r="AC352">
        <f t="shared" si="76"/>
        <v>0.1</v>
      </c>
      <c r="AD352" t="str">
        <f t="shared" si="77"/>
        <v>OK</v>
      </c>
      <c r="AE352">
        <f t="shared" si="78"/>
        <v>11914.344000000001</v>
      </c>
      <c r="AF352">
        <f t="shared" si="79"/>
        <v>2143.1040000000012</v>
      </c>
      <c r="AG352">
        <f t="shared" si="80"/>
        <v>0.17987595456367561</v>
      </c>
      <c r="AH352" t="str">
        <f t="shared" si="72"/>
        <v>January</v>
      </c>
      <c r="AI352">
        <f t="shared" si="73"/>
        <v>2024</v>
      </c>
      <c r="AJ352" t="str">
        <f t="shared" si="81"/>
        <v>OK</v>
      </c>
      <c r="AK352" t="str">
        <f t="shared" si="82"/>
        <v>OK</v>
      </c>
      <c r="AL352" t="str">
        <f t="shared" si="83"/>
        <v>Exclude</v>
      </c>
      <c r="AM352" t="str">
        <f t="shared" si="74"/>
        <v>Clean</v>
      </c>
    </row>
    <row r="353" spans="1:39">
      <c r="A353" t="s">
        <v>1157</v>
      </c>
      <c r="B353" s="4">
        <v>45800</v>
      </c>
      <c r="C353" s="4">
        <v>45804</v>
      </c>
      <c r="D353" s="6">
        <v>4</v>
      </c>
      <c r="E353" t="s">
        <v>2788</v>
      </c>
      <c r="F353" t="s">
        <v>2788</v>
      </c>
      <c r="G353" t="s">
        <v>2788</v>
      </c>
      <c r="H353" t="s">
        <v>1158</v>
      </c>
      <c r="I353" t="s">
        <v>71</v>
      </c>
      <c r="J353" t="s">
        <v>37</v>
      </c>
      <c r="K353" t="s">
        <v>54</v>
      </c>
      <c r="L353" t="s">
        <v>55</v>
      </c>
      <c r="M353" t="s">
        <v>56</v>
      </c>
      <c r="N353" t="s">
        <v>28</v>
      </c>
      <c r="O353" t="s">
        <v>124</v>
      </c>
      <c r="P353" t="s">
        <v>1159</v>
      </c>
      <c r="Q353" t="s">
        <v>50</v>
      </c>
      <c r="R353">
        <v>6</v>
      </c>
      <c r="S353">
        <v>719.44</v>
      </c>
      <c r="T353">
        <v>0.25</v>
      </c>
      <c r="U353">
        <v>3237.48</v>
      </c>
      <c r="V353">
        <v>2118.34</v>
      </c>
      <c r="W353">
        <v>1119.1400000000001</v>
      </c>
      <c r="X353" t="s">
        <v>111</v>
      </c>
      <c r="Y353" t="s">
        <v>68</v>
      </c>
      <c r="Z353" t="str">
        <f t="shared" si="70"/>
        <v>Unique</v>
      </c>
      <c r="AA353" t="str">
        <f t="shared" si="71"/>
        <v>Unique</v>
      </c>
      <c r="AB353" t="str">
        <f t="shared" si="75"/>
        <v>OK</v>
      </c>
      <c r="AC353">
        <f t="shared" si="76"/>
        <v>0.25</v>
      </c>
      <c r="AD353" t="str">
        <f t="shared" si="77"/>
        <v>OK</v>
      </c>
      <c r="AE353">
        <f t="shared" si="78"/>
        <v>3237.4800000000005</v>
      </c>
      <c r="AF353">
        <f t="shared" si="79"/>
        <v>1119.1400000000003</v>
      </c>
      <c r="AG353">
        <f t="shared" si="80"/>
        <v>0.34568244437031276</v>
      </c>
      <c r="AH353" t="str">
        <f t="shared" si="72"/>
        <v>May</v>
      </c>
      <c r="AI353">
        <f t="shared" si="73"/>
        <v>2025</v>
      </c>
      <c r="AJ353" t="str">
        <f t="shared" si="81"/>
        <v>OK</v>
      </c>
      <c r="AK353" t="str">
        <f t="shared" si="82"/>
        <v>OK</v>
      </c>
      <c r="AL353" t="str">
        <f t="shared" si="83"/>
        <v>Exclude</v>
      </c>
      <c r="AM353" t="str">
        <f t="shared" si="74"/>
        <v>Clean</v>
      </c>
    </row>
    <row r="354" spans="1:39">
      <c r="A354" t="s">
        <v>1160</v>
      </c>
      <c r="B354" s="4">
        <v>45884</v>
      </c>
      <c r="C354" s="4">
        <v>45886</v>
      </c>
      <c r="D354" s="6">
        <v>2</v>
      </c>
      <c r="E354" t="s">
        <v>2788</v>
      </c>
      <c r="F354" t="s">
        <v>2788</v>
      </c>
      <c r="G354" t="s">
        <v>2788</v>
      </c>
      <c r="H354" t="s">
        <v>1161</v>
      </c>
      <c r="I354" t="s">
        <v>162</v>
      </c>
      <c r="J354" t="s">
        <v>37</v>
      </c>
      <c r="K354" t="s">
        <v>38</v>
      </c>
      <c r="L354" t="s">
        <v>166</v>
      </c>
      <c r="M354" t="s">
        <v>167</v>
      </c>
      <c r="N354" t="s">
        <v>74</v>
      </c>
      <c r="O354" t="s">
        <v>80</v>
      </c>
      <c r="P354" t="s">
        <v>1162</v>
      </c>
      <c r="Q354" t="s">
        <v>50</v>
      </c>
      <c r="R354">
        <v>5</v>
      </c>
      <c r="S354">
        <v>2862.6</v>
      </c>
      <c r="T354">
        <v>0.25</v>
      </c>
      <c r="U354">
        <v>10734.75</v>
      </c>
      <c r="V354">
        <v>6475.73</v>
      </c>
      <c r="W354">
        <v>4259.0200000000004</v>
      </c>
      <c r="X354" t="s">
        <v>32</v>
      </c>
      <c r="Y354" t="s">
        <v>33</v>
      </c>
      <c r="Z354" t="str">
        <f t="shared" si="70"/>
        <v>Unique</v>
      </c>
      <c r="AA354" t="str">
        <f t="shared" si="71"/>
        <v>Unique</v>
      </c>
      <c r="AB354" t="str">
        <f t="shared" si="75"/>
        <v>OK</v>
      </c>
      <c r="AC354">
        <f t="shared" si="76"/>
        <v>0.25</v>
      </c>
      <c r="AD354" t="str">
        <f t="shared" si="77"/>
        <v>OK</v>
      </c>
      <c r="AE354">
        <f t="shared" si="78"/>
        <v>10734.75</v>
      </c>
      <c r="AF354">
        <f t="shared" si="79"/>
        <v>4259.0200000000004</v>
      </c>
      <c r="AG354">
        <f t="shared" si="80"/>
        <v>0.39675073942103917</v>
      </c>
      <c r="AH354" t="str">
        <f t="shared" si="72"/>
        <v>August</v>
      </c>
      <c r="AI354">
        <f t="shared" si="73"/>
        <v>2025</v>
      </c>
      <c r="AJ354" t="str">
        <f t="shared" si="81"/>
        <v>OK</v>
      </c>
      <c r="AK354" t="str">
        <f t="shared" si="82"/>
        <v>OK</v>
      </c>
      <c r="AL354" t="str">
        <f t="shared" si="83"/>
        <v>Include</v>
      </c>
      <c r="AM354" t="str">
        <f t="shared" si="74"/>
        <v>Clean</v>
      </c>
    </row>
    <row r="355" spans="1:39">
      <c r="A355" t="s">
        <v>1163</v>
      </c>
      <c r="B355" s="4">
        <v>45709</v>
      </c>
      <c r="C355" s="4">
        <v>45715</v>
      </c>
      <c r="D355" s="6">
        <v>6</v>
      </c>
      <c r="E355" t="s">
        <v>2788</v>
      </c>
      <c r="F355" t="s">
        <v>2788</v>
      </c>
      <c r="G355" t="s">
        <v>2788</v>
      </c>
      <c r="H355" t="s">
        <v>1164</v>
      </c>
      <c r="I355" t="s">
        <v>62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48</v>
      </c>
      <c r="P355" t="s">
        <v>1165</v>
      </c>
      <c r="Q355" t="s">
        <v>44</v>
      </c>
      <c r="R355">
        <v>9</v>
      </c>
      <c r="S355">
        <v>1431.67</v>
      </c>
      <c r="T355">
        <v>0.2</v>
      </c>
      <c r="U355">
        <v>10308.02</v>
      </c>
      <c r="V355">
        <v>5822.31</v>
      </c>
      <c r="W355">
        <v>4485.71</v>
      </c>
      <c r="X355" t="s">
        <v>32</v>
      </c>
      <c r="Y355" t="s">
        <v>33</v>
      </c>
      <c r="Z355" t="str">
        <f t="shared" si="70"/>
        <v>Unique</v>
      </c>
      <c r="AA355" t="str">
        <f t="shared" si="71"/>
        <v>Unique</v>
      </c>
      <c r="AB355" t="str">
        <f t="shared" si="75"/>
        <v>OK</v>
      </c>
      <c r="AC355">
        <f t="shared" si="76"/>
        <v>0.2</v>
      </c>
      <c r="AD355" t="str">
        <f t="shared" si="77"/>
        <v>OK</v>
      </c>
      <c r="AE355">
        <f t="shared" si="78"/>
        <v>10308.024000000001</v>
      </c>
      <c r="AF355">
        <f t="shared" si="79"/>
        <v>4485.7140000000009</v>
      </c>
      <c r="AG355">
        <f t="shared" si="80"/>
        <v>0.4351672056642476</v>
      </c>
      <c r="AH355" t="str">
        <f t="shared" si="72"/>
        <v>February</v>
      </c>
      <c r="AI355">
        <f t="shared" si="73"/>
        <v>2025</v>
      </c>
      <c r="AJ355" t="str">
        <f t="shared" si="81"/>
        <v>OK</v>
      </c>
      <c r="AK355" t="str">
        <f t="shared" si="82"/>
        <v>OK</v>
      </c>
      <c r="AL355" t="str">
        <f t="shared" si="83"/>
        <v>Include</v>
      </c>
      <c r="AM355" t="str">
        <f t="shared" si="74"/>
        <v>Clean</v>
      </c>
    </row>
    <row r="356" spans="1:39">
      <c r="A356" t="s">
        <v>1166</v>
      </c>
      <c r="B356" s="4">
        <v>45653</v>
      </c>
      <c r="C356" s="4">
        <v>45657</v>
      </c>
      <c r="D356" s="6">
        <v>4</v>
      </c>
      <c r="E356" t="s">
        <v>2788</v>
      </c>
      <c r="F356" t="s">
        <v>2788</v>
      </c>
      <c r="G356" t="s">
        <v>2788</v>
      </c>
      <c r="H356" t="s">
        <v>1167</v>
      </c>
      <c r="I356" t="s">
        <v>264</v>
      </c>
      <c r="J356" t="s">
        <v>90</v>
      </c>
      <c r="K356" t="s">
        <v>25</v>
      </c>
      <c r="L356" t="s">
        <v>122</v>
      </c>
      <c r="M356" t="s">
        <v>123</v>
      </c>
      <c r="N356" t="s">
        <v>41</v>
      </c>
      <c r="O356" t="s">
        <v>57</v>
      </c>
      <c r="P356" t="s">
        <v>1168</v>
      </c>
      <c r="Q356" t="s">
        <v>59</v>
      </c>
      <c r="R356">
        <v>6</v>
      </c>
      <c r="S356">
        <v>3346.78</v>
      </c>
      <c r="T356">
        <v>-0.06</v>
      </c>
      <c r="U356">
        <v>20080.68</v>
      </c>
      <c r="V356">
        <v>12908.84</v>
      </c>
      <c r="W356">
        <v>7171.84</v>
      </c>
      <c r="X356" t="s">
        <v>111</v>
      </c>
      <c r="Y356" t="s">
        <v>68</v>
      </c>
      <c r="Z356" t="str">
        <f t="shared" si="70"/>
        <v>Unique</v>
      </c>
      <c r="AA356" t="str">
        <f t="shared" si="71"/>
        <v>Unique</v>
      </c>
      <c r="AB356" t="str">
        <f t="shared" si="75"/>
        <v>OK</v>
      </c>
      <c r="AC356">
        <f t="shared" si="76"/>
        <v>-0.06</v>
      </c>
      <c r="AD356" t="str">
        <f t="shared" si="77"/>
        <v>Invalid Negative Discount</v>
      </c>
      <c r="AE356">
        <f t="shared" si="78"/>
        <v>21285.520800000002</v>
      </c>
      <c r="AF356">
        <f t="shared" si="79"/>
        <v>8376.6808000000019</v>
      </c>
      <c r="AG356">
        <f t="shared" si="80"/>
        <v>0.39353891683965753</v>
      </c>
      <c r="AH356" t="str">
        <f t="shared" si="72"/>
        <v>December</v>
      </c>
      <c r="AI356">
        <f t="shared" si="73"/>
        <v>2024</v>
      </c>
      <c r="AJ356" t="str">
        <f t="shared" si="81"/>
        <v>Sales Mismatch</v>
      </c>
      <c r="AK356" t="str">
        <f t="shared" si="82"/>
        <v>Profit Mismatch</v>
      </c>
      <c r="AL356" t="str">
        <f t="shared" si="83"/>
        <v>Exclude</v>
      </c>
      <c r="AM356" t="str">
        <f t="shared" si="74"/>
        <v>Invalid</v>
      </c>
    </row>
    <row r="357" spans="1:39">
      <c r="A357" t="s">
        <v>1169</v>
      </c>
      <c r="B357" s="4">
        <v>45424</v>
      </c>
      <c r="C357" s="4">
        <v>45421</v>
      </c>
      <c r="D357" s="6">
        <v>-3</v>
      </c>
      <c r="E357" t="s">
        <v>2788</v>
      </c>
      <c r="F357" t="s">
        <v>2788</v>
      </c>
      <c r="G357" t="s">
        <v>2790</v>
      </c>
      <c r="H357" t="s">
        <v>1170</v>
      </c>
      <c r="I357" t="s">
        <v>114</v>
      </c>
      <c r="J357" t="s">
        <v>90</v>
      </c>
      <c r="K357" t="s">
        <v>63</v>
      </c>
      <c r="L357" t="s">
        <v>26</v>
      </c>
      <c r="M357" t="s">
        <v>109</v>
      </c>
      <c r="N357" t="s">
        <v>41</v>
      </c>
      <c r="O357" t="s">
        <v>42</v>
      </c>
      <c r="P357" t="s">
        <v>1171</v>
      </c>
      <c r="Q357" t="s">
        <v>59</v>
      </c>
      <c r="R357">
        <v>5</v>
      </c>
      <c r="S357">
        <v>3203.48</v>
      </c>
      <c r="T357">
        <v>0</v>
      </c>
      <c r="U357">
        <v>16017.4</v>
      </c>
      <c r="V357">
        <v>9557.7999999999993</v>
      </c>
      <c r="W357">
        <v>6459.6</v>
      </c>
      <c r="X357" t="s">
        <v>111</v>
      </c>
      <c r="Y357" t="s">
        <v>68</v>
      </c>
      <c r="Z357" t="str">
        <f t="shared" si="70"/>
        <v>Unique</v>
      </c>
      <c r="AA357" t="str">
        <f t="shared" si="71"/>
        <v>Unique</v>
      </c>
      <c r="AB357" t="str">
        <f t="shared" si="75"/>
        <v>OK</v>
      </c>
      <c r="AC357">
        <f t="shared" si="76"/>
        <v>0</v>
      </c>
      <c r="AD357" t="str">
        <f t="shared" si="77"/>
        <v>OK</v>
      </c>
      <c r="AE357">
        <f t="shared" si="78"/>
        <v>16017.4</v>
      </c>
      <c r="AF357">
        <f t="shared" si="79"/>
        <v>6459.6</v>
      </c>
      <c r="AG357">
        <f t="shared" si="80"/>
        <v>0.40328642601171227</v>
      </c>
      <c r="AH357" t="str">
        <f t="shared" si="72"/>
        <v>May</v>
      </c>
      <c r="AI357">
        <f t="shared" si="73"/>
        <v>2024</v>
      </c>
      <c r="AJ357" t="str">
        <f t="shared" si="81"/>
        <v>OK</v>
      </c>
      <c r="AK357" t="str">
        <f t="shared" si="82"/>
        <v>OK</v>
      </c>
      <c r="AL357" t="str">
        <f t="shared" si="83"/>
        <v>Exclude</v>
      </c>
      <c r="AM357" t="str">
        <f t="shared" si="74"/>
        <v>Warning</v>
      </c>
    </row>
    <row r="358" spans="1:39">
      <c r="A358" t="s">
        <v>1172</v>
      </c>
      <c r="B358" s="4">
        <v>45835</v>
      </c>
      <c r="C358" s="4">
        <v>45837</v>
      </c>
      <c r="D358" s="6">
        <v>2</v>
      </c>
      <c r="E358" t="s">
        <v>2788</v>
      </c>
      <c r="F358" t="s">
        <v>2788</v>
      </c>
      <c r="G358" t="s">
        <v>2788</v>
      </c>
      <c r="H358" t="s">
        <v>1173</v>
      </c>
      <c r="I358" t="s">
        <v>141</v>
      </c>
      <c r="J358" t="s">
        <v>95</v>
      </c>
      <c r="K358" t="s">
        <v>54</v>
      </c>
      <c r="L358" t="s">
        <v>55</v>
      </c>
      <c r="M358" t="s">
        <v>56</v>
      </c>
      <c r="N358" t="s">
        <v>41</v>
      </c>
      <c r="O358" t="s">
        <v>66</v>
      </c>
      <c r="P358" t="s">
        <v>1174</v>
      </c>
      <c r="Q358" t="s">
        <v>50</v>
      </c>
      <c r="R358">
        <v>5</v>
      </c>
      <c r="S358">
        <v>621.70000000000005</v>
      </c>
      <c r="T358">
        <v>0.2</v>
      </c>
      <c r="U358">
        <v>2486.8000000000002</v>
      </c>
      <c r="V358">
        <v>2131.73</v>
      </c>
      <c r="W358">
        <v>355.07</v>
      </c>
      <c r="X358" t="s">
        <v>111</v>
      </c>
      <c r="Y358" t="s">
        <v>103</v>
      </c>
      <c r="Z358" t="str">
        <f t="shared" si="70"/>
        <v>Unique</v>
      </c>
      <c r="AA358" t="str">
        <f t="shared" si="71"/>
        <v>Unique</v>
      </c>
      <c r="AB358" t="str">
        <f t="shared" si="75"/>
        <v>OK</v>
      </c>
      <c r="AC358">
        <f t="shared" si="76"/>
        <v>0.2</v>
      </c>
      <c r="AD358" t="str">
        <f t="shared" si="77"/>
        <v>OK</v>
      </c>
      <c r="AE358">
        <f t="shared" si="78"/>
        <v>2486.8000000000002</v>
      </c>
      <c r="AF358">
        <f t="shared" si="79"/>
        <v>355.07000000000016</v>
      </c>
      <c r="AG358">
        <f t="shared" si="80"/>
        <v>0.1427818883705968</v>
      </c>
      <c r="AH358" t="str">
        <f t="shared" si="72"/>
        <v>June</v>
      </c>
      <c r="AI358">
        <f t="shared" si="73"/>
        <v>2025</v>
      </c>
      <c r="AJ358" t="str">
        <f t="shared" si="81"/>
        <v>OK</v>
      </c>
      <c r="AK358" t="str">
        <f t="shared" si="82"/>
        <v>OK</v>
      </c>
      <c r="AL358" t="str">
        <f t="shared" si="83"/>
        <v>Exclude</v>
      </c>
      <c r="AM358" t="str">
        <f t="shared" si="74"/>
        <v>Clean</v>
      </c>
    </row>
    <row r="359" spans="1:39">
      <c r="A359" t="s">
        <v>1175</v>
      </c>
      <c r="B359" s="4">
        <v>45678</v>
      </c>
      <c r="C359" s="4">
        <v>45686</v>
      </c>
      <c r="D359" s="6">
        <v>8</v>
      </c>
      <c r="E359" t="s">
        <v>2788</v>
      </c>
      <c r="F359" t="s">
        <v>2788</v>
      </c>
      <c r="G359" t="s">
        <v>2788</v>
      </c>
      <c r="H359" t="s">
        <v>1176</v>
      </c>
      <c r="I359" t="s">
        <v>36</v>
      </c>
      <c r="J359" t="s">
        <v>95</v>
      </c>
      <c r="K359" t="s">
        <v>54</v>
      </c>
      <c r="L359" t="s">
        <v>84</v>
      </c>
      <c r="M359" t="s">
        <v>85</v>
      </c>
      <c r="N359" t="s">
        <v>74</v>
      </c>
      <c r="O359" t="s">
        <v>274</v>
      </c>
      <c r="P359" t="s">
        <v>1177</v>
      </c>
      <c r="Q359" t="s">
        <v>31</v>
      </c>
      <c r="R359">
        <v>8</v>
      </c>
      <c r="S359">
        <v>546.13</v>
      </c>
      <c r="T359">
        <v>0</v>
      </c>
      <c r="U359">
        <v>4369.04</v>
      </c>
      <c r="V359">
        <v>3716.88</v>
      </c>
      <c r="W359">
        <v>652.16</v>
      </c>
      <c r="X359" t="s">
        <v>32</v>
      </c>
      <c r="Y359" t="s">
        <v>68</v>
      </c>
      <c r="Z359" t="str">
        <f t="shared" si="70"/>
        <v>Unique</v>
      </c>
      <c r="AA359" t="str">
        <f t="shared" si="71"/>
        <v>Unique</v>
      </c>
      <c r="AB359" t="str">
        <f t="shared" si="75"/>
        <v>OK</v>
      </c>
      <c r="AC359">
        <f t="shared" si="76"/>
        <v>0</v>
      </c>
      <c r="AD359" t="str">
        <f t="shared" si="77"/>
        <v>OK</v>
      </c>
      <c r="AE359">
        <f t="shared" si="78"/>
        <v>4369.04</v>
      </c>
      <c r="AF359">
        <f t="shared" si="79"/>
        <v>652.15999999999985</v>
      </c>
      <c r="AG359">
        <f t="shared" si="80"/>
        <v>0.14926848918755603</v>
      </c>
      <c r="AH359" t="str">
        <f t="shared" si="72"/>
        <v>January</v>
      </c>
      <c r="AI359">
        <f t="shared" si="73"/>
        <v>2025</v>
      </c>
      <c r="AJ359" t="str">
        <f t="shared" si="81"/>
        <v>OK</v>
      </c>
      <c r="AK359" t="str">
        <f t="shared" si="82"/>
        <v>OK</v>
      </c>
      <c r="AL359" t="str">
        <f t="shared" si="83"/>
        <v>Exclude</v>
      </c>
      <c r="AM359" t="str">
        <f t="shared" si="74"/>
        <v>Clean</v>
      </c>
    </row>
    <row r="360" spans="1:39">
      <c r="A360" t="s">
        <v>1178</v>
      </c>
      <c r="B360" s="4">
        <v>45878</v>
      </c>
      <c r="C360" s="4">
        <v>45876</v>
      </c>
      <c r="D360" s="6">
        <v>-2</v>
      </c>
      <c r="E360" t="s">
        <v>2788</v>
      </c>
      <c r="F360" t="s">
        <v>2788</v>
      </c>
      <c r="G360" t="s">
        <v>2790</v>
      </c>
      <c r="H360" t="s">
        <v>1179</v>
      </c>
      <c r="I360" t="s">
        <v>71</v>
      </c>
      <c r="J360" t="s">
        <v>95</v>
      </c>
      <c r="K360" t="s">
        <v>63</v>
      </c>
      <c r="L360" t="s">
        <v>180</v>
      </c>
      <c r="M360" t="s">
        <v>181</v>
      </c>
      <c r="N360" t="s">
        <v>41</v>
      </c>
      <c r="O360" t="s">
        <v>158</v>
      </c>
      <c r="P360" t="s">
        <v>1180</v>
      </c>
      <c r="Q360" t="s">
        <v>31</v>
      </c>
      <c r="R360">
        <v>5</v>
      </c>
      <c r="S360">
        <v>1253.92</v>
      </c>
      <c r="T360">
        <v>0.05</v>
      </c>
      <c r="U360">
        <v>5956.12</v>
      </c>
      <c r="V360">
        <v>4379.18</v>
      </c>
      <c r="W360">
        <v>1576.94</v>
      </c>
      <c r="X360" t="s">
        <v>111</v>
      </c>
      <c r="Y360" t="s">
        <v>103</v>
      </c>
      <c r="Z360" t="str">
        <f t="shared" si="70"/>
        <v>Unique</v>
      </c>
      <c r="AA360" t="str">
        <f t="shared" si="71"/>
        <v>Unique</v>
      </c>
      <c r="AB360" t="str">
        <f t="shared" si="75"/>
        <v>OK</v>
      </c>
      <c r="AC360">
        <f t="shared" si="76"/>
        <v>0.05</v>
      </c>
      <c r="AD360" t="str">
        <f t="shared" si="77"/>
        <v>OK</v>
      </c>
      <c r="AE360">
        <f t="shared" si="78"/>
        <v>5956.12</v>
      </c>
      <c r="AF360">
        <f t="shared" si="79"/>
        <v>1576.9399999999996</v>
      </c>
      <c r="AG360">
        <f t="shared" si="80"/>
        <v>0.26475960860425907</v>
      </c>
      <c r="AH360" t="str">
        <f t="shared" si="72"/>
        <v>August</v>
      </c>
      <c r="AI360">
        <f t="shared" si="73"/>
        <v>2025</v>
      </c>
      <c r="AJ360" t="str">
        <f t="shared" si="81"/>
        <v>OK</v>
      </c>
      <c r="AK360" t="str">
        <f t="shared" si="82"/>
        <v>OK</v>
      </c>
      <c r="AL360" t="str">
        <f t="shared" si="83"/>
        <v>Exclude</v>
      </c>
      <c r="AM360" t="str">
        <f t="shared" si="74"/>
        <v>Warning</v>
      </c>
    </row>
    <row r="361" spans="1:39">
      <c r="A361" t="s">
        <v>1181</v>
      </c>
      <c r="B361" s="4">
        <v>45525</v>
      </c>
      <c r="C361" s="4">
        <v>45526</v>
      </c>
      <c r="D361" s="6">
        <v>1</v>
      </c>
      <c r="E361" t="s">
        <v>2788</v>
      </c>
      <c r="F361" t="s">
        <v>2788</v>
      </c>
      <c r="G361" t="s">
        <v>2788</v>
      </c>
      <c r="H361" t="s">
        <v>1182</v>
      </c>
      <c r="I361" t="s">
        <v>47</v>
      </c>
      <c r="J361" t="s">
        <v>24</v>
      </c>
      <c r="K361" t="s">
        <v>54</v>
      </c>
      <c r="L361" t="s">
        <v>247</v>
      </c>
      <c r="M361" t="s">
        <v>248</v>
      </c>
      <c r="N361" t="s">
        <v>74</v>
      </c>
      <c r="O361" t="s">
        <v>171</v>
      </c>
      <c r="P361" t="s">
        <v>1183</v>
      </c>
      <c r="Q361" t="s">
        <v>44</v>
      </c>
      <c r="R361">
        <v>9</v>
      </c>
      <c r="S361">
        <v>616.96</v>
      </c>
      <c r="T361">
        <v>0.1</v>
      </c>
      <c r="U361">
        <v>4997.38</v>
      </c>
      <c r="V361">
        <v>2971.39</v>
      </c>
      <c r="W361">
        <v>2025.99</v>
      </c>
      <c r="X361" t="s">
        <v>32</v>
      </c>
      <c r="Y361" t="s">
        <v>33</v>
      </c>
      <c r="Z361" t="str">
        <f t="shared" si="70"/>
        <v>Unique</v>
      </c>
      <c r="AA361" t="str">
        <f t="shared" si="71"/>
        <v>Unique</v>
      </c>
      <c r="AB361" t="str">
        <f t="shared" si="75"/>
        <v>OK</v>
      </c>
      <c r="AC361">
        <f t="shared" si="76"/>
        <v>0.1</v>
      </c>
      <c r="AD361" t="str">
        <f t="shared" si="77"/>
        <v>OK</v>
      </c>
      <c r="AE361">
        <f t="shared" si="78"/>
        <v>4997.3760000000002</v>
      </c>
      <c r="AF361">
        <f t="shared" si="79"/>
        <v>2025.9860000000003</v>
      </c>
      <c r="AG361">
        <f t="shared" si="80"/>
        <v>0.40540995914656014</v>
      </c>
      <c r="AH361" t="str">
        <f t="shared" si="72"/>
        <v>August</v>
      </c>
      <c r="AI361">
        <f t="shared" si="73"/>
        <v>2024</v>
      </c>
      <c r="AJ361" t="str">
        <f t="shared" si="81"/>
        <v>OK</v>
      </c>
      <c r="AK361" t="str">
        <f t="shared" si="82"/>
        <v>OK</v>
      </c>
      <c r="AL361" t="str">
        <f t="shared" si="83"/>
        <v>Include</v>
      </c>
      <c r="AM361" t="str">
        <f t="shared" si="74"/>
        <v>Clean</v>
      </c>
    </row>
    <row r="362" spans="1:39">
      <c r="A362" t="s">
        <v>1184</v>
      </c>
      <c r="B362" s="4">
        <v>45460</v>
      </c>
      <c r="C362" s="4">
        <v>45463</v>
      </c>
      <c r="D362" s="6">
        <v>3</v>
      </c>
      <c r="E362" t="s">
        <v>2788</v>
      </c>
      <c r="F362" t="s">
        <v>2788</v>
      </c>
      <c r="G362" t="s">
        <v>2788</v>
      </c>
      <c r="H362" t="s">
        <v>1185</v>
      </c>
      <c r="I362" t="s">
        <v>132</v>
      </c>
      <c r="J362" t="s">
        <v>37</v>
      </c>
      <c r="K362" t="s">
        <v>63</v>
      </c>
      <c r="L362" t="s">
        <v>180</v>
      </c>
      <c r="M362" t="s">
        <v>181</v>
      </c>
      <c r="N362" t="s">
        <v>41</v>
      </c>
      <c r="O362" t="s">
        <v>57</v>
      </c>
      <c r="P362" t="s">
        <v>1186</v>
      </c>
      <c r="Q362" t="s">
        <v>59</v>
      </c>
      <c r="R362">
        <v>7</v>
      </c>
      <c r="S362">
        <v>3155.25</v>
      </c>
      <c r="T362">
        <v>0.2</v>
      </c>
      <c r="U362">
        <v>17669.400000000001</v>
      </c>
      <c r="V362">
        <v>13718.77</v>
      </c>
      <c r="W362">
        <v>3950.63</v>
      </c>
      <c r="X362" t="s">
        <v>102</v>
      </c>
      <c r="Y362" t="s">
        <v>68</v>
      </c>
      <c r="Z362" t="str">
        <f t="shared" si="70"/>
        <v>Unique</v>
      </c>
      <c r="AA362" t="str">
        <f t="shared" si="71"/>
        <v>Unique</v>
      </c>
      <c r="AB362" t="str">
        <f t="shared" si="75"/>
        <v>OK</v>
      </c>
      <c r="AC362">
        <f t="shared" si="76"/>
        <v>0.2</v>
      </c>
      <c r="AD362" t="str">
        <f t="shared" si="77"/>
        <v>OK</v>
      </c>
      <c r="AE362">
        <f t="shared" si="78"/>
        <v>17669.400000000001</v>
      </c>
      <c r="AF362">
        <f t="shared" si="79"/>
        <v>3950.630000000001</v>
      </c>
      <c r="AG362">
        <f t="shared" si="80"/>
        <v>0.2235859734908939</v>
      </c>
      <c r="AH362" t="str">
        <f t="shared" si="72"/>
        <v>June</v>
      </c>
      <c r="AI362">
        <f t="shared" si="73"/>
        <v>2024</v>
      </c>
      <c r="AJ362" t="str">
        <f t="shared" si="81"/>
        <v>OK</v>
      </c>
      <c r="AK362" t="str">
        <f t="shared" si="82"/>
        <v>OK</v>
      </c>
      <c r="AL362" t="str">
        <f t="shared" si="83"/>
        <v>Exclude</v>
      </c>
      <c r="AM362" t="str">
        <f t="shared" si="74"/>
        <v>Clean</v>
      </c>
    </row>
    <row r="363" spans="1:39">
      <c r="A363" t="s">
        <v>1187</v>
      </c>
      <c r="B363" s="4">
        <v>45748</v>
      </c>
      <c r="C363" s="4">
        <v>45749</v>
      </c>
      <c r="D363" s="6">
        <v>1</v>
      </c>
      <c r="E363" t="s">
        <v>2788</v>
      </c>
      <c r="F363" t="s">
        <v>2788</v>
      </c>
      <c r="G363" t="s">
        <v>2788</v>
      </c>
      <c r="H363" t="s">
        <v>1188</v>
      </c>
      <c r="I363" t="s">
        <v>141</v>
      </c>
      <c r="J363" t="s">
        <v>90</v>
      </c>
      <c r="K363" t="s">
        <v>38</v>
      </c>
      <c r="L363" t="s">
        <v>39</v>
      </c>
      <c r="M363" t="s">
        <v>40</v>
      </c>
      <c r="N363" t="s">
        <v>41</v>
      </c>
      <c r="O363" t="s">
        <v>66</v>
      </c>
      <c r="P363" t="s">
        <v>1189</v>
      </c>
      <c r="Q363" t="s">
        <v>31</v>
      </c>
      <c r="R363">
        <v>9</v>
      </c>
      <c r="S363">
        <v>4165.58</v>
      </c>
      <c r="T363">
        <v>0.05</v>
      </c>
      <c r="U363">
        <v>35615.71</v>
      </c>
      <c r="V363">
        <v>20389.71</v>
      </c>
      <c r="W363">
        <v>15226</v>
      </c>
      <c r="X363" t="s">
        <v>111</v>
      </c>
      <c r="Y363" t="s">
        <v>103</v>
      </c>
      <c r="Z363" t="str">
        <f t="shared" si="70"/>
        <v>Unique</v>
      </c>
      <c r="AA363" t="str">
        <f t="shared" si="71"/>
        <v>Unique</v>
      </c>
      <c r="AB363" t="str">
        <f t="shared" si="75"/>
        <v>OK</v>
      </c>
      <c r="AC363">
        <f t="shared" si="76"/>
        <v>0.05</v>
      </c>
      <c r="AD363" t="str">
        <f t="shared" si="77"/>
        <v>OK</v>
      </c>
      <c r="AE363">
        <f t="shared" si="78"/>
        <v>35615.709000000003</v>
      </c>
      <c r="AF363">
        <f t="shared" si="79"/>
        <v>15225.999000000003</v>
      </c>
      <c r="AG363">
        <f t="shared" si="80"/>
        <v>0.42750795723314122</v>
      </c>
      <c r="AH363" t="str">
        <f t="shared" si="72"/>
        <v>April</v>
      </c>
      <c r="AI363">
        <f t="shared" si="73"/>
        <v>2025</v>
      </c>
      <c r="AJ363" t="str">
        <f t="shared" si="81"/>
        <v>OK</v>
      </c>
      <c r="AK363" t="str">
        <f t="shared" si="82"/>
        <v>OK</v>
      </c>
      <c r="AL363" t="str">
        <f t="shared" si="83"/>
        <v>Exclude</v>
      </c>
      <c r="AM363" t="str">
        <f t="shared" si="74"/>
        <v>Clean</v>
      </c>
    </row>
    <row r="364" spans="1:39">
      <c r="A364" t="s">
        <v>1190</v>
      </c>
      <c r="B364" s="4">
        <v>45527</v>
      </c>
      <c r="C364" s="4">
        <v>45529</v>
      </c>
      <c r="D364" s="6">
        <v>2</v>
      </c>
      <c r="E364" t="s">
        <v>2788</v>
      </c>
      <c r="F364" t="s">
        <v>2788</v>
      </c>
      <c r="G364" t="s">
        <v>2788</v>
      </c>
      <c r="H364" t="s">
        <v>1191</v>
      </c>
      <c r="I364" t="s">
        <v>71</v>
      </c>
      <c r="J364" t="s">
        <v>24</v>
      </c>
      <c r="K364" t="s">
        <v>63</v>
      </c>
      <c r="L364" t="s">
        <v>190</v>
      </c>
      <c r="M364" t="s">
        <v>191</v>
      </c>
      <c r="N364" t="s">
        <v>74</v>
      </c>
      <c r="O364" t="s">
        <v>274</v>
      </c>
      <c r="P364" t="s">
        <v>1192</v>
      </c>
      <c r="Q364" t="s">
        <v>44</v>
      </c>
      <c r="R364">
        <v>4</v>
      </c>
      <c r="S364">
        <v>491.16</v>
      </c>
      <c r="T364">
        <v>0.05</v>
      </c>
      <c r="U364">
        <v>1866.41</v>
      </c>
      <c r="V364">
        <v>1576.49</v>
      </c>
      <c r="W364">
        <v>289.92</v>
      </c>
      <c r="X364" t="s">
        <v>32</v>
      </c>
      <c r="Y364" t="s">
        <v>33</v>
      </c>
      <c r="Z364" t="str">
        <f t="shared" si="70"/>
        <v>Unique</v>
      </c>
      <c r="AA364" t="str">
        <f t="shared" si="71"/>
        <v>Unique</v>
      </c>
      <c r="AB364" t="str">
        <f t="shared" si="75"/>
        <v>OK</v>
      </c>
      <c r="AC364">
        <f t="shared" si="76"/>
        <v>0.05</v>
      </c>
      <c r="AD364" t="str">
        <f t="shared" si="77"/>
        <v>OK</v>
      </c>
      <c r="AE364">
        <f t="shared" si="78"/>
        <v>1866.4079999999999</v>
      </c>
      <c r="AF364">
        <f t="shared" si="79"/>
        <v>289.91799999999989</v>
      </c>
      <c r="AG364">
        <f t="shared" si="80"/>
        <v>0.15533473924243782</v>
      </c>
      <c r="AH364" t="str">
        <f t="shared" si="72"/>
        <v>August</v>
      </c>
      <c r="AI364">
        <f t="shared" si="73"/>
        <v>2024</v>
      </c>
      <c r="AJ364" t="str">
        <f t="shared" si="81"/>
        <v>OK</v>
      </c>
      <c r="AK364" t="str">
        <f t="shared" si="82"/>
        <v>OK</v>
      </c>
      <c r="AL364" t="str">
        <f t="shared" si="83"/>
        <v>Include</v>
      </c>
      <c r="AM364" t="str">
        <f t="shared" si="74"/>
        <v>Clean</v>
      </c>
    </row>
    <row r="365" spans="1:39">
      <c r="A365" t="s">
        <v>1193</v>
      </c>
      <c r="B365" s="4">
        <v>45845</v>
      </c>
      <c r="C365" s="4">
        <v>45850</v>
      </c>
      <c r="D365" s="6">
        <v>5</v>
      </c>
      <c r="E365" t="s">
        <v>2788</v>
      </c>
      <c r="F365" t="s">
        <v>2788</v>
      </c>
      <c r="G365" t="s">
        <v>2788</v>
      </c>
      <c r="H365" t="s">
        <v>1194</v>
      </c>
      <c r="I365" t="s">
        <v>162</v>
      </c>
      <c r="J365" t="s">
        <v>90</v>
      </c>
      <c r="K365" t="s">
        <v>38</v>
      </c>
      <c r="L365" t="s">
        <v>99</v>
      </c>
      <c r="M365" t="s">
        <v>100</v>
      </c>
      <c r="N365" t="s">
        <v>41</v>
      </c>
      <c r="O365" t="s">
        <v>42</v>
      </c>
      <c r="P365" t="s">
        <v>1195</v>
      </c>
      <c r="Q365" t="s">
        <v>31</v>
      </c>
      <c r="R365">
        <v>5</v>
      </c>
      <c r="S365">
        <v>1831.37</v>
      </c>
      <c r="T365">
        <v>0.25</v>
      </c>
      <c r="U365">
        <v>6867.64</v>
      </c>
      <c r="V365">
        <v>5205.3599999999997</v>
      </c>
      <c r="W365">
        <v>1662.28</v>
      </c>
      <c r="X365" t="s">
        <v>32</v>
      </c>
      <c r="Y365" t="s">
        <v>33</v>
      </c>
      <c r="Z365" t="str">
        <f t="shared" si="70"/>
        <v>Unique</v>
      </c>
      <c r="AA365" t="str">
        <f t="shared" si="71"/>
        <v>Unique</v>
      </c>
      <c r="AB365" t="str">
        <f t="shared" si="75"/>
        <v>OK</v>
      </c>
      <c r="AC365">
        <f t="shared" si="76"/>
        <v>0.25</v>
      </c>
      <c r="AD365" t="str">
        <f t="shared" si="77"/>
        <v>OK</v>
      </c>
      <c r="AE365">
        <f t="shared" si="78"/>
        <v>6867.6374999999989</v>
      </c>
      <c r="AF365">
        <f t="shared" si="79"/>
        <v>1662.2774999999992</v>
      </c>
      <c r="AG365">
        <f t="shared" si="80"/>
        <v>0.24204502640100028</v>
      </c>
      <c r="AH365" t="str">
        <f t="shared" si="72"/>
        <v>July</v>
      </c>
      <c r="AI365">
        <f t="shared" si="73"/>
        <v>2025</v>
      </c>
      <c r="AJ365" t="str">
        <f t="shared" si="81"/>
        <v>OK</v>
      </c>
      <c r="AK365" t="str">
        <f t="shared" si="82"/>
        <v>OK</v>
      </c>
      <c r="AL365" t="str">
        <f t="shared" si="83"/>
        <v>Include</v>
      </c>
      <c r="AM365" t="str">
        <f t="shared" si="74"/>
        <v>Clean</v>
      </c>
    </row>
    <row r="366" spans="1:39">
      <c r="A366" t="s">
        <v>1196</v>
      </c>
      <c r="B366" s="4">
        <v>45737</v>
      </c>
      <c r="C366" s="4">
        <v>45740</v>
      </c>
      <c r="D366" s="6">
        <v>3</v>
      </c>
      <c r="E366" t="s">
        <v>2788</v>
      </c>
      <c r="F366" t="s">
        <v>2788</v>
      </c>
      <c r="G366" t="s">
        <v>2788</v>
      </c>
      <c r="H366" t="s">
        <v>1197</v>
      </c>
      <c r="I366" t="s">
        <v>128</v>
      </c>
      <c r="J366" t="s">
        <v>37</v>
      </c>
      <c r="K366" t="s">
        <v>54</v>
      </c>
      <c r="L366" t="s">
        <v>84</v>
      </c>
      <c r="M366" t="s">
        <v>85</v>
      </c>
      <c r="N366" t="s">
        <v>41</v>
      </c>
      <c r="O366" t="s">
        <v>66</v>
      </c>
      <c r="P366" t="s">
        <v>1198</v>
      </c>
      <c r="Q366" t="s">
        <v>31</v>
      </c>
      <c r="R366">
        <v>5</v>
      </c>
      <c r="S366">
        <v>1239.1500000000001</v>
      </c>
      <c r="T366">
        <v>0</v>
      </c>
      <c r="U366">
        <v>6195.75</v>
      </c>
      <c r="V366">
        <v>3967.02</v>
      </c>
      <c r="W366">
        <v>2228.73</v>
      </c>
      <c r="X366" t="s">
        <v>32</v>
      </c>
      <c r="Y366" t="s">
        <v>33</v>
      </c>
      <c r="Z366" t="str">
        <f t="shared" si="70"/>
        <v>Unique</v>
      </c>
      <c r="AA366" t="str">
        <f t="shared" si="71"/>
        <v>Unique</v>
      </c>
      <c r="AB366" t="str">
        <f t="shared" si="75"/>
        <v>OK</v>
      </c>
      <c r="AC366">
        <f t="shared" si="76"/>
        <v>0</v>
      </c>
      <c r="AD366" t="str">
        <f t="shared" si="77"/>
        <v>OK</v>
      </c>
      <c r="AE366">
        <f t="shared" si="78"/>
        <v>6195.75</v>
      </c>
      <c r="AF366">
        <f t="shared" si="79"/>
        <v>2228.73</v>
      </c>
      <c r="AG366">
        <f t="shared" si="80"/>
        <v>0.35971916232901585</v>
      </c>
      <c r="AH366" t="str">
        <f t="shared" si="72"/>
        <v>March</v>
      </c>
      <c r="AI366">
        <f t="shared" si="73"/>
        <v>2025</v>
      </c>
      <c r="AJ366" t="str">
        <f t="shared" si="81"/>
        <v>OK</v>
      </c>
      <c r="AK366" t="str">
        <f t="shared" si="82"/>
        <v>OK</v>
      </c>
      <c r="AL366" t="str">
        <f t="shared" si="83"/>
        <v>Include</v>
      </c>
      <c r="AM366" t="str">
        <f t="shared" si="74"/>
        <v>Clean</v>
      </c>
    </row>
    <row r="367" spans="1:39">
      <c r="A367" t="s">
        <v>1199</v>
      </c>
      <c r="B367" s="4">
        <v>45458</v>
      </c>
      <c r="C367" s="4">
        <v>45464</v>
      </c>
      <c r="D367" s="6">
        <v>6</v>
      </c>
      <c r="E367" t="s">
        <v>2788</v>
      </c>
      <c r="F367" t="s">
        <v>2788</v>
      </c>
      <c r="G367" t="s">
        <v>2788</v>
      </c>
      <c r="H367" t="s">
        <v>1200</v>
      </c>
      <c r="I367" t="s">
        <v>89</v>
      </c>
      <c r="J367" t="s">
        <v>90</v>
      </c>
      <c r="K367" t="s">
        <v>63</v>
      </c>
      <c r="L367" t="s">
        <v>190</v>
      </c>
      <c r="M367" t="s">
        <v>191</v>
      </c>
      <c r="N367" t="s">
        <v>74</v>
      </c>
      <c r="O367" t="s">
        <v>75</v>
      </c>
      <c r="P367" t="s">
        <v>1201</v>
      </c>
      <c r="Q367" t="s">
        <v>50</v>
      </c>
      <c r="R367">
        <v>8</v>
      </c>
      <c r="S367">
        <v>1706.4</v>
      </c>
      <c r="U367">
        <v>12968.64</v>
      </c>
      <c r="V367">
        <v>10119.61</v>
      </c>
      <c r="W367">
        <v>2849.03</v>
      </c>
      <c r="X367" t="s">
        <v>32</v>
      </c>
      <c r="Y367" t="s">
        <v>33</v>
      </c>
      <c r="Z367" t="str">
        <f t="shared" si="70"/>
        <v>Unique</v>
      </c>
      <c r="AA367" t="str">
        <f t="shared" si="71"/>
        <v>Unique</v>
      </c>
      <c r="AB367" t="str">
        <f t="shared" si="75"/>
        <v>OK</v>
      </c>
      <c r="AC367">
        <f t="shared" si="76"/>
        <v>0</v>
      </c>
      <c r="AD367" t="str">
        <f t="shared" si="77"/>
        <v>OK</v>
      </c>
      <c r="AE367">
        <f t="shared" si="78"/>
        <v>13651.2</v>
      </c>
      <c r="AF367">
        <f t="shared" si="79"/>
        <v>3531.59</v>
      </c>
      <c r="AG367">
        <f t="shared" si="80"/>
        <v>0.2587017991092358</v>
      </c>
      <c r="AH367" t="str">
        <f t="shared" si="72"/>
        <v>June</v>
      </c>
      <c r="AI367">
        <f t="shared" si="73"/>
        <v>2024</v>
      </c>
      <c r="AJ367" t="str">
        <f t="shared" si="81"/>
        <v>Sales Mismatch</v>
      </c>
      <c r="AK367" t="str">
        <f t="shared" si="82"/>
        <v>Profit Mismatch</v>
      </c>
      <c r="AL367" t="str">
        <f t="shared" si="83"/>
        <v>Include</v>
      </c>
      <c r="AM367" t="str">
        <f t="shared" si="74"/>
        <v>Warning</v>
      </c>
    </row>
    <row r="368" spans="1:39">
      <c r="A368" t="s">
        <v>1202</v>
      </c>
      <c r="B368" s="4">
        <v>45673</v>
      </c>
      <c r="C368" s="4">
        <v>45679</v>
      </c>
      <c r="D368" s="6">
        <v>6</v>
      </c>
      <c r="E368" t="s">
        <v>2788</v>
      </c>
      <c r="F368" t="s">
        <v>2788</v>
      </c>
      <c r="G368" t="s">
        <v>2788</v>
      </c>
      <c r="H368" t="s">
        <v>1203</v>
      </c>
      <c r="I368" t="s">
        <v>132</v>
      </c>
      <c r="J368" t="s">
        <v>90</v>
      </c>
      <c r="K368" t="s">
        <v>25</v>
      </c>
      <c r="L368" t="s">
        <v>26</v>
      </c>
      <c r="M368" t="s">
        <v>27</v>
      </c>
      <c r="N368" t="s">
        <v>41</v>
      </c>
      <c r="O368" t="s">
        <v>42</v>
      </c>
      <c r="P368" t="s">
        <v>1204</v>
      </c>
      <c r="Q368" t="s">
        <v>44</v>
      </c>
      <c r="R368">
        <v>2</v>
      </c>
      <c r="S368">
        <v>4418.28</v>
      </c>
      <c r="T368">
        <v>0</v>
      </c>
      <c r="U368">
        <v>8836.56</v>
      </c>
      <c r="V368">
        <v>5867.75</v>
      </c>
      <c r="W368">
        <v>2968.81</v>
      </c>
      <c r="X368" t="s">
        <v>32</v>
      </c>
      <c r="Y368" t="s">
        <v>33</v>
      </c>
      <c r="Z368" t="str">
        <f t="shared" si="70"/>
        <v>Unique</v>
      </c>
      <c r="AA368" t="str">
        <f t="shared" si="71"/>
        <v>Unique</v>
      </c>
      <c r="AB368" t="str">
        <f t="shared" si="75"/>
        <v>OK</v>
      </c>
      <c r="AC368">
        <f t="shared" si="76"/>
        <v>0</v>
      </c>
      <c r="AD368" t="str">
        <f t="shared" si="77"/>
        <v>OK</v>
      </c>
      <c r="AE368">
        <f t="shared" si="78"/>
        <v>8836.56</v>
      </c>
      <c r="AF368">
        <f t="shared" si="79"/>
        <v>2968.8099999999995</v>
      </c>
      <c r="AG368">
        <f t="shared" si="80"/>
        <v>0.33596897435201023</v>
      </c>
      <c r="AH368" t="str">
        <f t="shared" si="72"/>
        <v>January</v>
      </c>
      <c r="AI368">
        <f t="shared" si="73"/>
        <v>2025</v>
      </c>
      <c r="AJ368" t="str">
        <f t="shared" si="81"/>
        <v>OK</v>
      </c>
      <c r="AK368" t="str">
        <f t="shared" si="82"/>
        <v>OK</v>
      </c>
      <c r="AL368" t="str">
        <f t="shared" si="83"/>
        <v>Include</v>
      </c>
      <c r="AM368" t="str">
        <f t="shared" si="74"/>
        <v>Clean</v>
      </c>
    </row>
    <row r="369" spans="1:39">
      <c r="A369" t="s">
        <v>1205</v>
      </c>
      <c r="B369" s="4">
        <v>45366</v>
      </c>
      <c r="C369" s="4">
        <v>45367</v>
      </c>
      <c r="D369" s="6">
        <v>1</v>
      </c>
      <c r="E369" t="s">
        <v>2788</v>
      </c>
      <c r="F369" t="s">
        <v>2788</v>
      </c>
      <c r="G369" t="s">
        <v>2788</v>
      </c>
      <c r="H369" t="s">
        <v>1206</v>
      </c>
      <c r="I369" t="s">
        <v>141</v>
      </c>
      <c r="J369" t="s">
        <v>24</v>
      </c>
      <c r="K369" t="s">
        <v>25</v>
      </c>
      <c r="L369" t="s">
        <v>350</v>
      </c>
      <c r="M369" t="s">
        <v>351</v>
      </c>
      <c r="N369" t="s">
        <v>28</v>
      </c>
      <c r="O369" t="s">
        <v>48</v>
      </c>
      <c r="P369" t="s">
        <v>1207</v>
      </c>
      <c r="Q369" t="s">
        <v>59</v>
      </c>
      <c r="R369">
        <v>6</v>
      </c>
      <c r="S369">
        <v>3815.09</v>
      </c>
      <c r="T369">
        <v>0.15</v>
      </c>
      <c r="U369">
        <v>19456.96</v>
      </c>
      <c r="V369">
        <v>14520.06</v>
      </c>
      <c r="W369">
        <v>4936.8999999999996</v>
      </c>
      <c r="X369" t="s">
        <v>155</v>
      </c>
      <c r="Y369" t="s">
        <v>68</v>
      </c>
      <c r="Z369" t="str">
        <f t="shared" si="70"/>
        <v>Unique</v>
      </c>
      <c r="AA369" t="str">
        <f t="shared" si="71"/>
        <v>Unique</v>
      </c>
      <c r="AB369" t="str">
        <f t="shared" si="75"/>
        <v>OK</v>
      </c>
      <c r="AC369">
        <f t="shared" si="76"/>
        <v>0.15</v>
      </c>
      <c r="AD369" t="str">
        <f t="shared" si="77"/>
        <v>OK</v>
      </c>
      <c r="AE369">
        <f t="shared" si="78"/>
        <v>19456.958999999999</v>
      </c>
      <c r="AF369">
        <f t="shared" si="79"/>
        <v>4936.8989999999994</v>
      </c>
      <c r="AG369">
        <f t="shared" si="80"/>
        <v>0.25373435797443988</v>
      </c>
      <c r="AH369" t="str">
        <f t="shared" si="72"/>
        <v>March</v>
      </c>
      <c r="AI369">
        <f t="shared" si="73"/>
        <v>2024</v>
      </c>
      <c r="AJ369" t="str">
        <f t="shared" si="81"/>
        <v>OK</v>
      </c>
      <c r="AK369" t="str">
        <f t="shared" si="82"/>
        <v>OK</v>
      </c>
      <c r="AL369" t="str">
        <f t="shared" si="83"/>
        <v>Exclude</v>
      </c>
      <c r="AM369" t="str">
        <f t="shared" si="74"/>
        <v>Clean</v>
      </c>
    </row>
    <row r="370" spans="1:39">
      <c r="A370" t="s">
        <v>1208</v>
      </c>
      <c r="B370" s="4">
        <v>45844</v>
      </c>
      <c r="C370" s="4">
        <v>45844</v>
      </c>
      <c r="D370" s="6">
        <v>0</v>
      </c>
      <c r="E370" t="s">
        <v>2788</v>
      </c>
      <c r="F370" t="s">
        <v>2788</v>
      </c>
      <c r="G370" t="s">
        <v>2788</v>
      </c>
      <c r="H370" t="s">
        <v>1209</v>
      </c>
      <c r="I370" t="s">
        <v>128</v>
      </c>
      <c r="J370" t="s">
        <v>95</v>
      </c>
      <c r="K370" t="s">
        <v>25</v>
      </c>
      <c r="L370" t="s">
        <v>26</v>
      </c>
      <c r="M370" t="s">
        <v>27</v>
      </c>
      <c r="N370" t="s">
        <v>74</v>
      </c>
      <c r="O370" t="s">
        <v>75</v>
      </c>
      <c r="P370" t="s">
        <v>1210</v>
      </c>
      <c r="Q370" t="s">
        <v>44</v>
      </c>
      <c r="R370">
        <v>9</v>
      </c>
      <c r="S370">
        <v>243.19</v>
      </c>
      <c r="T370">
        <v>0.05</v>
      </c>
      <c r="U370">
        <v>2079.27</v>
      </c>
      <c r="V370">
        <v>1512.17</v>
      </c>
      <c r="W370">
        <v>567.1</v>
      </c>
      <c r="X370" t="s">
        <v>102</v>
      </c>
      <c r="Y370" t="s">
        <v>103</v>
      </c>
      <c r="Z370" t="str">
        <f t="shared" si="70"/>
        <v>Unique</v>
      </c>
      <c r="AA370" t="str">
        <f t="shared" si="71"/>
        <v>Unique</v>
      </c>
      <c r="AB370" t="str">
        <f t="shared" si="75"/>
        <v>OK</v>
      </c>
      <c r="AC370">
        <f t="shared" si="76"/>
        <v>0.05</v>
      </c>
      <c r="AD370" t="str">
        <f t="shared" si="77"/>
        <v>OK</v>
      </c>
      <c r="AE370">
        <f t="shared" si="78"/>
        <v>2079.2745</v>
      </c>
      <c r="AF370">
        <f t="shared" si="79"/>
        <v>567.10449999999992</v>
      </c>
      <c r="AG370">
        <f t="shared" si="80"/>
        <v>0.27274152595051782</v>
      </c>
      <c r="AH370" t="str">
        <f t="shared" si="72"/>
        <v>July</v>
      </c>
      <c r="AI370">
        <f t="shared" si="73"/>
        <v>2025</v>
      </c>
      <c r="AJ370" t="str">
        <f t="shared" si="81"/>
        <v>OK</v>
      </c>
      <c r="AK370" t="str">
        <f t="shared" si="82"/>
        <v>OK</v>
      </c>
      <c r="AL370" t="str">
        <f t="shared" si="83"/>
        <v>Exclude</v>
      </c>
      <c r="AM370" t="str">
        <f t="shared" si="74"/>
        <v>Clean</v>
      </c>
    </row>
    <row r="371" spans="1:39">
      <c r="A371" t="s">
        <v>1211</v>
      </c>
      <c r="B371" s="4">
        <v>45680</v>
      </c>
      <c r="C371" s="4">
        <v>45687</v>
      </c>
      <c r="D371" s="6">
        <v>7</v>
      </c>
      <c r="E371" t="s">
        <v>2788</v>
      </c>
      <c r="F371" t="s">
        <v>2788</v>
      </c>
      <c r="G371" t="s">
        <v>2788</v>
      </c>
      <c r="H371" t="s">
        <v>1212</v>
      </c>
      <c r="I371" t="s">
        <v>114</v>
      </c>
      <c r="J371" t="s">
        <v>24</v>
      </c>
      <c r="K371" t="s">
        <v>25</v>
      </c>
      <c r="L371" t="s">
        <v>350</v>
      </c>
      <c r="M371" t="s">
        <v>351</v>
      </c>
      <c r="N371" t="s">
        <v>28</v>
      </c>
      <c r="O371" t="s">
        <v>91</v>
      </c>
      <c r="P371" t="s">
        <v>1213</v>
      </c>
      <c r="Q371" t="s">
        <v>59</v>
      </c>
      <c r="R371">
        <v>9</v>
      </c>
      <c r="S371">
        <v>1169.3699999999999</v>
      </c>
      <c r="T371">
        <v>0.15</v>
      </c>
      <c r="U371">
        <v>8945.68</v>
      </c>
      <c r="V371">
        <v>6740.35</v>
      </c>
      <c r="W371">
        <v>2205.33</v>
      </c>
      <c r="X371" t="s">
        <v>32</v>
      </c>
      <c r="Y371" t="s">
        <v>33</v>
      </c>
      <c r="Z371" t="str">
        <f t="shared" si="70"/>
        <v>Unique</v>
      </c>
      <c r="AA371" t="str">
        <f t="shared" si="71"/>
        <v>Unique</v>
      </c>
      <c r="AB371" t="str">
        <f t="shared" si="75"/>
        <v>OK</v>
      </c>
      <c r="AC371">
        <f t="shared" si="76"/>
        <v>0.15</v>
      </c>
      <c r="AD371" t="str">
        <f t="shared" si="77"/>
        <v>OK</v>
      </c>
      <c r="AE371">
        <f t="shared" si="78"/>
        <v>8945.6804999999986</v>
      </c>
      <c r="AF371">
        <f t="shared" si="79"/>
        <v>2205.3304999999982</v>
      </c>
      <c r="AG371">
        <f t="shared" si="80"/>
        <v>0.24652462157574245</v>
      </c>
      <c r="AH371" t="str">
        <f t="shared" si="72"/>
        <v>January</v>
      </c>
      <c r="AI371">
        <f t="shared" si="73"/>
        <v>2025</v>
      </c>
      <c r="AJ371" t="str">
        <f t="shared" si="81"/>
        <v>OK</v>
      </c>
      <c r="AK371" t="str">
        <f t="shared" si="82"/>
        <v>OK</v>
      </c>
      <c r="AL371" t="str">
        <f t="shared" si="83"/>
        <v>Include</v>
      </c>
      <c r="AM371" t="str">
        <f t="shared" si="74"/>
        <v>Clean</v>
      </c>
    </row>
    <row r="372" spans="1:39">
      <c r="A372" t="s">
        <v>1214</v>
      </c>
      <c r="B372" s="4">
        <v>45519</v>
      </c>
      <c r="C372" s="4">
        <v>45525</v>
      </c>
      <c r="D372" s="6">
        <v>6</v>
      </c>
      <c r="E372" t="s">
        <v>2788</v>
      </c>
      <c r="F372" t="s">
        <v>2788</v>
      </c>
      <c r="G372" t="s">
        <v>2788</v>
      </c>
      <c r="H372" t="s">
        <v>1215</v>
      </c>
      <c r="I372" t="s">
        <v>62</v>
      </c>
      <c r="J372" t="s">
        <v>37</v>
      </c>
      <c r="K372" t="s">
        <v>63</v>
      </c>
      <c r="L372" t="s">
        <v>26</v>
      </c>
      <c r="M372" t="s">
        <v>109</v>
      </c>
      <c r="N372" t="s">
        <v>74</v>
      </c>
      <c r="O372" t="s">
        <v>80</v>
      </c>
      <c r="P372" t="s">
        <v>1216</v>
      </c>
      <c r="Q372" t="s">
        <v>50</v>
      </c>
      <c r="R372">
        <v>7</v>
      </c>
      <c r="S372">
        <v>2333.81</v>
      </c>
      <c r="T372">
        <v>0.2</v>
      </c>
      <c r="U372">
        <v>13069.34</v>
      </c>
      <c r="V372">
        <v>8768.59</v>
      </c>
      <c r="W372">
        <v>4300.75</v>
      </c>
      <c r="X372" t="s">
        <v>32</v>
      </c>
      <c r="Y372" t="s">
        <v>33</v>
      </c>
      <c r="Z372" t="str">
        <f t="shared" si="70"/>
        <v>Unique</v>
      </c>
      <c r="AA372" t="str">
        <f t="shared" si="71"/>
        <v>Unique</v>
      </c>
      <c r="AB372" t="str">
        <f t="shared" si="75"/>
        <v>OK</v>
      </c>
      <c r="AC372">
        <f t="shared" si="76"/>
        <v>0.2</v>
      </c>
      <c r="AD372" t="str">
        <f t="shared" si="77"/>
        <v>OK</v>
      </c>
      <c r="AE372">
        <f t="shared" si="78"/>
        <v>13069.336000000001</v>
      </c>
      <c r="AF372">
        <f t="shared" si="79"/>
        <v>4300.746000000001</v>
      </c>
      <c r="AG372">
        <f t="shared" si="80"/>
        <v>0.32907149988339124</v>
      </c>
      <c r="AH372" t="str">
        <f t="shared" si="72"/>
        <v>August</v>
      </c>
      <c r="AI372">
        <f t="shared" si="73"/>
        <v>2024</v>
      </c>
      <c r="AJ372" t="str">
        <f t="shared" si="81"/>
        <v>OK</v>
      </c>
      <c r="AK372" t="str">
        <f t="shared" si="82"/>
        <v>OK</v>
      </c>
      <c r="AL372" t="str">
        <f t="shared" si="83"/>
        <v>Include</v>
      </c>
      <c r="AM372" t="str">
        <f t="shared" si="74"/>
        <v>Clean</v>
      </c>
    </row>
    <row r="373" spans="1:39">
      <c r="A373" t="s">
        <v>1217</v>
      </c>
      <c r="B373" s="4">
        <v>45313</v>
      </c>
      <c r="C373" s="4">
        <v>45315</v>
      </c>
      <c r="D373" s="6">
        <v>2</v>
      </c>
      <c r="E373" t="s">
        <v>2788</v>
      </c>
      <c r="F373" t="s">
        <v>2788</v>
      </c>
      <c r="G373" t="s">
        <v>2788</v>
      </c>
      <c r="H373" t="s">
        <v>1218</v>
      </c>
      <c r="I373" t="s">
        <v>162</v>
      </c>
      <c r="J373" t="s">
        <v>95</v>
      </c>
      <c r="K373" t="s">
        <v>63</v>
      </c>
      <c r="L373" t="s">
        <v>64</v>
      </c>
      <c r="M373" t="s">
        <v>65</v>
      </c>
      <c r="N373" t="s">
        <v>28</v>
      </c>
      <c r="O373" t="s">
        <v>48</v>
      </c>
      <c r="P373" t="s">
        <v>1219</v>
      </c>
      <c r="Q373" t="s">
        <v>59</v>
      </c>
      <c r="R373">
        <v>6</v>
      </c>
      <c r="S373">
        <v>1026.06</v>
      </c>
      <c r="U373">
        <v>4617.2700000000004</v>
      </c>
      <c r="V373">
        <v>2981.94</v>
      </c>
      <c r="W373">
        <v>1635.33</v>
      </c>
      <c r="X373" t="s">
        <v>102</v>
      </c>
      <c r="Y373" t="s">
        <v>68</v>
      </c>
      <c r="Z373" t="str">
        <f t="shared" si="70"/>
        <v>Unique</v>
      </c>
      <c r="AA373" t="str">
        <f t="shared" si="71"/>
        <v>Unique</v>
      </c>
      <c r="AB373" t="str">
        <f t="shared" si="75"/>
        <v>OK</v>
      </c>
      <c r="AC373">
        <f t="shared" si="76"/>
        <v>0</v>
      </c>
      <c r="AD373" t="str">
        <f t="shared" si="77"/>
        <v>OK</v>
      </c>
      <c r="AE373">
        <f t="shared" si="78"/>
        <v>6156.36</v>
      </c>
      <c r="AF373">
        <f t="shared" si="79"/>
        <v>3174.4199999999996</v>
      </c>
      <c r="AG373">
        <f t="shared" si="80"/>
        <v>0.51563261407714944</v>
      </c>
      <c r="AH373" t="str">
        <f t="shared" si="72"/>
        <v>January</v>
      </c>
      <c r="AI373">
        <f t="shared" si="73"/>
        <v>2024</v>
      </c>
      <c r="AJ373" t="str">
        <f t="shared" si="81"/>
        <v>Sales Mismatch</v>
      </c>
      <c r="AK373" t="str">
        <f t="shared" si="82"/>
        <v>Profit Mismatch</v>
      </c>
      <c r="AL373" t="str">
        <f t="shared" si="83"/>
        <v>Exclude</v>
      </c>
      <c r="AM373" t="str">
        <f t="shared" si="74"/>
        <v>Warning</v>
      </c>
    </row>
    <row r="374" spans="1:39">
      <c r="A374" t="s">
        <v>1220</v>
      </c>
      <c r="B374" s="4">
        <v>45885</v>
      </c>
      <c r="C374" s="4">
        <v>45887</v>
      </c>
      <c r="D374" s="6">
        <v>2</v>
      </c>
      <c r="E374" t="s">
        <v>2788</v>
      </c>
      <c r="F374" t="s">
        <v>2788</v>
      </c>
      <c r="G374" t="s">
        <v>2788</v>
      </c>
      <c r="H374" t="s">
        <v>641</v>
      </c>
      <c r="I374" t="s">
        <v>264</v>
      </c>
      <c r="J374" t="s">
        <v>24</v>
      </c>
      <c r="K374" t="s">
        <v>38</v>
      </c>
      <c r="L374" t="s">
        <v>228</v>
      </c>
      <c r="M374" t="s">
        <v>229</v>
      </c>
      <c r="N374" t="s">
        <v>41</v>
      </c>
      <c r="O374" t="s">
        <v>66</v>
      </c>
      <c r="P374" t="s">
        <v>1221</v>
      </c>
      <c r="Q374" t="s">
        <v>44</v>
      </c>
      <c r="R374">
        <v>5</v>
      </c>
      <c r="S374">
        <v>1530.36</v>
      </c>
      <c r="T374">
        <v>0</v>
      </c>
      <c r="U374">
        <v>7651.8</v>
      </c>
      <c r="V374">
        <v>5171.78</v>
      </c>
      <c r="W374">
        <v>2480.02</v>
      </c>
      <c r="X374" t="s">
        <v>32</v>
      </c>
      <c r="Y374" t="s">
        <v>33</v>
      </c>
      <c r="Z374" t="str">
        <f t="shared" si="70"/>
        <v>Unique</v>
      </c>
      <c r="AA374" t="str">
        <f t="shared" si="71"/>
        <v>Unique</v>
      </c>
      <c r="AB374" t="str">
        <f t="shared" si="75"/>
        <v>OK</v>
      </c>
      <c r="AC374">
        <f t="shared" si="76"/>
        <v>0</v>
      </c>
      <c r="AD374" t="str">
        <f t="shared" si="77"/>
        <v>OK</v>
      </c>
      <c r="AE374">
        <f t="shared" si="78"/>
        <v>7651.7999999999993</v>
      </c>
      <c r="AF374">
        <f t="shared" si="79"/>
        <v>2480.0199999999995</v>
      </c>
      <c r="AG374">
        <f t="shared" si="80"/>
        <v>0.32410935988917638</v>
      </c>
      <c r="AH374" t="str">
        <f t="shared" si="72"/>
        <v>August</v>
      </c>
      <c r="AI374">
        <f t="shared" si="73"/>
        <v>2025</v>
      </c>
      <c r="AJ374" t="str">
        <f t="shared" si="81"/>
        <v>OK</v>
      </c>
      <c r="AK374" t="str">
        <f t="shared" si="82"/>
        <v>OK</v>
      </c>
      <c r="AL374" t="str">
        <f t="shared" si="83"/>
        <v>Include</v>
      </c>
      <c r="AM374" t="str">
        <f t="shared" si="74"/>
        <v>Clean</v>
      </c>
    </row>
    <row r="375" spans="1:39">
      <c r="A375" t="s">
        <v>1222</v>
      </c>
      <c r="B375" s="4">
        <v>45760</v>
      </c>
      <c r="C375" s="4">
        <v>45760</v>
      </c>
      <c r="D375" s="6">
        <v>0</v>
      </c>
      <c r="E375" t="s">
        <v>2788</v>
      </c>
      <c r="F375" t="s">
        <v>2788</v>
      </c>
      <c r="G375" t="s">
        <v>2788</v>
      </c>
      <c r="H375" t="s">
        <v>1223</v>
      </c>
      <c r="I375" t="s">
        <v>132</v>
      </c>
      <c r="J375" t="s">
        <v>37</v>
      </c>
      <c r="K375" t="s">
        <v>25</v>
      </c>
      <c r="L375" t="s">
        <v>136</v>
      </c>
      <c r="M375" t="s">
        <v>137</v>
      </c>
      <c r="N375" t="s">
        <v>28</v>
      </c>
      <c r="O375" t="s">
        <v>124</v>
      </c>
      <c r="P375" t="s">
        <v>1224</v>
      </c>
      <c r="Q375" t="s">
        <v>31</v>
      </c>
      <c r="R375">
        <v>9</v>
      </c>
      <c r="S375">
        <v>1118.68</v>
      </c>
      <c r="T375">
        <v>0</v>
      </c>
      <c r="U375">
        <v>10068.120000000001</v>
      </c>
      <c r="V375">
        <v>8595.3700000000008</v>
      </c>
      <c r="W375">
        <v>1472.75</v>
      </c>
      <c r="X375" t="s">
        <v>32</v>
      </c>
      <c r="Y375" t="s">
        <v>33</v>
      </c>
      <c r="Z375" t="str">
        <f t="shared" si="70"/>
        <v>Unique</v>
      </c>
      <c r="AA375" t="str">
        <f t="shared" si="71"/>
        <v>Duplicate Order ID</v>
      </c>
      <c r="AB375" t="str">
        <f t="shared" si="75"/>
        <v>Conflicting Duplicate</v>
      </c>
      <c r="AC375">
        <f t="shared" si="76"/>
        <v>0</v>
      </c>
      <c r="AD375" t="str">
        <f t="shared" si="77"/>
        <v>OK</v>
      </c>
      <c r="AE375">
        <f t="shared" si="78"/>
        <v>10068.120000000001</v>
      </c>
      <c r="AF375">
        <f t="shared" si="79"/>
        <v>1472.75</v>
      </c>
      <c r="AG375">
        <f t="shared" si="80"/>
        <v>0.14627855051389932</v>
      </c>
      <c r="AH375" t="str">
        <f t="shared" si="72"/>
        <v>April</v>
      </c>
      <c r="AI375">
        <f t="shared" si="73"/>
        <v>2025</v>
      </c>
      <c r="AJ375" t="str">
        <f t="shared" si="81"/>
        <v>OK</v>
      </c>
      <c r="AK375" t="str">
        <f t="shared" si="82"/>
        <v>OK</v>
      </c>
      <c r="AL375" t="str">
        <f t="shared" si="83"/>
        <v>Include</v>
      </c>
      <c r="AM375" t="str">
        <f t="shared" si="74"/>
        <v>Invalid</v>
      </c>
    </row>
    <row r="376" spans="1:39">
      <c r="A376" t="s">
        <v>1225</v>
      </c>
      <c r="B376" s="4">
        <v>45715</v>
      </c>
      <c r="C376" s="4">
        <v>45716</v>
      </c>
      <c r="D376" s="6">
        <v>1</v>
      </c>
      <c r="E376" t="s">
        <v>2788</v>
      </c>
      <c r="F376" t="s">
        <v>2788</v>
      </c>
      <c r="G376" t="s">
        <v>2788</v>
      </c>
      <c r="H376" t="s">
        <v>1226</v>
      </c>
      <c r="I376" t="s">
        <v>89</v>
      </c>
      <c r="J376" t="s">
        <v>37</v>
      </c>
      <c r="K376" t="s">
        <v>25</v>
      </c>
      <c r="L376" t="s">
        <v>136</v>
      </c>
      <c r="M376" t="s">
        <v>137</v>
      </c>
      <c r="N376" t="s">
        <v>28</v>
      </c>
      <c r="O376" t="s">
        <v>91</v>
      </c>
      <c r="P376" t="s">
        <v>1227</v>
      </c>
      <c r="Q376" t="s">
        <v>59</v>
      </c>
      <c r="R376">
        <v>6</v>
      </c>
      <c r="S376">
        <v>2393.25</v>
      </c>
      <c r="T376">
        <v>0</v>
      </c>
      <c r="U376">
        <v>14359.5</v>
      </c>
      <c r="V376">
        <v>8117.71</v>
      </c>
      <c r="W376">
        <v>6241.79</v>
      </c>
      <c r="X376" t="s">
        <v>32</v>
      </c>
      <c r="Y376" t="s">
        <v>33</v>
      </c>
      <c r="Z376" t="str">
        <f t="shared" si="70"/>
        <v>Unique</v>
      </c>
      <c r="AA376" t="str">
        <f t="shared" si="71"/>
        <v>Unique</v>
      </c>
      <c r="AB376" t="str">
        <f t="shared" si="75"/>
        <v>OK</v>
      </c>
      <c r="AC376">
        <f t="shared" si="76"/>
        <v>0</v>
      </c>
      <c r="AD376" t="str">
        <f t="shared" si="77"/>
        <v>OK</v>
      </c>
      <c r="AE376">
        <f t="shared" si="78"/>
        <v>14359.5</v>
      </c>
      <c r="AF376">
        <f t="shared" si="79"/>
        <v>6241.79</v>
      </c>
      <c r="AG376">
        <f t="shared" si="80"/>
        <v>0.43468017688638183</v>
      </c>
      <c r="AH376" t="str">
        <f t="shared" si="72"/>
        <v>February</v>
      </c>
      <c r="AI376">
        <f t="shared" si="73"/>
        <v>2025</v>
      </c>
      <c r="AJ376" t="str">
        <f t="shared" si="81"/>
        <v>OK</v>
      </c>
      <c r="AK376" t="str">
        <f t="shared" si="82"/>
        <v>OK</v>
      </c>
      <c r="AL376" t="str">
        <f t="shared" si="83"/>
        <v>Include</v>
      </c>
      <c r="AM376" t="str">
        <f t="shared" si="74"/>
        <v>Clean</v>
      </c>
    </row>
    <row r="377" spans="1:39">
      <c r="A377" t="s">
        <v>1228</v>
      </c>
      <c r="B377" s="4">
        <v>45657</v>
      </c>
      <c r="C377" s="4">
        <v>45661</v>
      </c>
      <c r="D377" s="6">
        <v>4</v>
      </c>
      <c r="E377" t="s">
        <v>2788</v>
      </c>
      <c r="F377" t="s">
        <v>2788</v>
      </c>
      <c r="G377" t="s">
        <v>2788</v>
      </c>
      <c r="H377" t="s">
        <v>1229</v>
      </c>
      <c r="I377" t="s">
        <v>71</v>
      </c>
      <c r="J377" t="s">
        <v>24</v>
      </c>
      <c r="K377" t="s">
        <v>25</v>
      </c>
      <c r="L377" t="s">
        <v>350</v>
      </c>
      <c r="M377" t="s">
        <v>351</v>
      </c>
      <c r="N377" t="s">
        <v>41</v>
      </c>
      <c r="O377" t="s">
        <v>66</v>
      </c>
      <c r="P377" t="s">
        <v>1230</v>
      </c>
      <c r="Q377" t="s">
        <v>44</v>
      </c>
      <c r="R377">
        <v>3</v>
      </c>
      <c r="S377">
        <v>1166.6099999999999</v>
      </c>
      <c r="T377">
        <v>0.25</v>
      </c>
      <c r="U377">
        <v>2624.87</v>
      </c>
      <c r="V377">
        <v>2253.88</v>
      </c>
      <c r="W377">
        <v>370.99</v>
      </c>
      <c r="X377" t="s">
        <v>32</v>
      </c>
      <c r="Y377" t="s">
        <v>33</v>
      </c>
      <c r="Z377" t="str">
        <f t="shared" si="70"/>
        <v>Unique</v>
      </c>
      <c r="AA377" t="str">
        <f t="shared" si="71"/>
        <v>Unique</v>
      </c>
      <c r="AB377" t="str">
        <f t="shared" si="75"/>
        <v>OK</v>
      </c>
      <c r="AC377">
        <f t="shared" si="76"/>
        <v>0.25</v>
      </c>
      <c r="AD377" t="str">
        <f t="shared" si="77"/>
        <v>OK</v>
      </c>
      <c r="AE377">
        <f t="shared" si="78"/>
        <v>2624.8724999999999</v>
      </c>
      <c r="AF377">
        <f t="shared" si="79"/>
        <v>370.99249999999984</v>
      </c>
      <c r="AG377">
        <f t="shared" si="80"/>
        <v>0.14133734114704613</v>
      </c>
      <c r="AH377" t="str">
        <f t="shared" si="72"/>
        <v>December</v>
      </c>
      <c r="AI377">
        <f t="shared" si="73"/>
        <v>2024</v>
      </c>
      <c r="AJ377" t="str">
        <f t="shared" si="81"/>
        <v>OK</v>
      </c>
      <c r="AK377" t="str">
        <f t="shared" si="82"/>
        <v>OK</v>
      </c>
      <c r="AL377" t="str">
        <f t="shared" si="83"/>
        <v>Include</v>
      </c>
      <c r="AM377" t="str">
        <f t="shared" si="74"/>
        <v>Clean</v>
      </c>
    </row>
    <row r="378" spans="1:39">
      <c r="A378" t="s">
        <v>1231</v>
      </c>
      <c r="B378" s="4">
        <v>45655</v>
      </c>
      <c r="C378" s="4">
        <v>45657</v>
      </c>
      <c r="D378" s="6">
        <v>2</v>
      </c>
      <c r="E378" t="s">
        <v>2788</v>
      </c>
      <c r="F378" t="s">
        <v>2788</v>
      </c>
      <c r="G378" t="s">
        <v>2788</v>
      </c>
      <c r="H378" t="s">
        <v>1232</v>
      </c>
      <c r="I378" t="s">
        <v>47</v>
      </c>
      <c r="J378" t="s">
        <v>37</v>
      </c>
      <c r="K378" t="s">
        <v>38</v>
      </c>
      <c r="L378" t="s">
        <v>145</v>
      </c>
      <c r="M378" t="s">
        <v>146</v>
      </c>
      <c r="N378" t="s">
        <v>41</v>
      </c>
      <c r="O378" t="s">
        <v>66</v>
      </c>
      <c r="P378" t="s">
        <v>1233</v>
      </c>
      <c r="Q378" t="s">
        <v>50</v>
      </c>
      <c r="R378">
        <v>6</v>
      </c>
      <c r="S378">
        <v>1844.78</v>
      </c>
      <c r="T378">
        <v>0.2</v>
      </c>
      <c r="U378">
        <v>8854.94</v>
      </c>
      <c r="V378">
        <v>7433.95</v>
      </c>
      <c r="W378">
        <v>1420.99</v>
      </c>
      <c r="X378" t="s">
        <v>32</v>
      </c>
      <c r="Y378" t="s">
        <v>33</v>
      </c>
      <c r="Z378" t="str">
        <f t="shared" si="70"/>
        <v>Unique</v>
      </c>
      <c r="AA378" t="str">
        <f t="shared" si="71"/>
        <v>Unique</v>
      </c>
      <c r="AB378" t="str">
        <f t="shared" si="75"/>
        <v>OK</v>
      </c>
      <c r="AC378">
        <f t="shared" si="76"/>
        <v>0.2</v>
      </c>
      <c r="AD378" t="str">
        <f t="shared" si="77"/>
        <v>OK</v>
      </c>
      <c r="AE378">
        <f t="shared" si="78"/>
        <v>8854.9440000000013</v>
      </c>
      <c r="AF378">
        <f t="shared" si="79"/>
        <v>1420.9940000000015</v>
      </c>
      <c r="AG378">
        <f t="shared" si="80"/>
        <v>0.1604746455765278</v>
      </c>
      <c r="AH378" t="str">
        <f t="shared" si="72"/>
        <v>December</v>
      </c>
      <c r="AI378">
        <f t="shared" si="73"/>
        <v>2024</v>
      </c>
      <c r="AJ378" t="str">
        <f t="shared" si="81"/>
        <v>OK</v>
      </c>
      <c r="AK378" t="str">
        <f t="shared" si="82"/>
        <v>OK</v>
      </c>
      <c r="AL378" t="str">
        <f t="shared" si="83"/>
        <v>Include</v>
      </c>
      <c r="AM378" t="str">
        <f t="shared" si="74"/>
        <v>Clean</v>
      </c>
    </row>
    <row r="379" spans="1:39">
      <c r="A379" t="s">
        <v>1234</v>
      </c>
      <c r="B379" s="4">
        <v>45801</v>
      </c>
      <c r="C379" s="4">
        <v>45807</v>
      </c>
      <c r="D379" s="6">
        <v>6</v>
      </c>
      <c r="E379" t="s">
        <v>2788</v>
      </c>
      <c r="F379" t="s">
        <v>2788</v>
      </c>
      <c r="G379" t="s">
        <v>2788</v>
      </c>
      <c r="H379" t="s">
        <v>1235</v>
      </c>
      <c r="I379" t="s">
        <v>264</v>
      </c>
      <c r="J379" t="s">
        <v>37</v>
      </c>
      <c r="K379" t="s">
        <v>38</v>
      </c>
      <c r="L379" t="s">
        <v>39</v>
      </c>
      <c r="M379" t="s">
        <v>40</v>
      </c>
      <c r="N379" t="s">
        <v>28</v>
      </c>
      <c r="O379" t="s">
        <v>124</v>
      </c>
      <c r="P379" t="s">
        <v>1236</v>
      </c>
      <c r="Q379" t="s">
        <v>44</v>
      </c>
      <c r="R379">
        <v>1</v>
      </c>
      <c r="S379">
        <v>2564.7399999999998</v>
      </c>
      <c r="T379">
        <v>0</v>
      </c>
      <c r="U379">
        <v>2564.7399999999998</v>
      </c>
      <c r="V379">
        <v>1754.58</v>
      </c>
      <c r="W379">
        <v>810.16</v>
      </c>
      <c r="X379" t="s">
        <v>32</v>
      </c>
      <c r="Y379" t="s">
        <v>33</v>
      </c>
      <c r="Z379" t="str">
        <f t="shared" si="70"/>
        <v>Exact Duplicate</v>
      </c>
      <c r="AA379" t="str">
        <f t="shared" si="71"/>
        <v>Duplicate Order ID</v>
      </c>
      <c r="AB379" t="str">
        <f t="shared" si="75"/>
        <v>OK</v>
      </c>
      <c r="AC379">
        <f t="shared" si="76"/>
        <v>0</v>
      </c>
      <c r="AD379" t="str">
        <f t="shared" si="77"/>
        <v>OK</v>
      </c>
      <c r="AE379">
        <f t="shared" si="78"/>
        <v>2564.7399999999998</v>
      </c>
      <c r="AF379">
        <f t="shared" si="79"/>
        <v>810.15999999999985</v>
      </c>
      <c r="AG379">
        <f t="shared" si="80"/>
        <v>0.31588387126960232</v>
      </c>
      <c r="AH379" t="str">
        <f t="shared" si="72"/>
        <v>May</v>
      </c>
      <c r="AI379">
        <f t="shared" si="73"/>
        <v>2025</v>
      </c>
      <c r="AJ379" t="str">
        <f t="shared" si="81"/>
        <v>OK</v>
      </c>
      <c r="AK379" t="str">
        <f t="shared" si="82"/>
        <v>OK</v>
      </c>
      <c r="AL379" t="str">
        <f t="shared" si="83"/>
        <v>Include</v>
      </c>
      <c r="AM379" t="str">
        <f t="shared" si="74"/>
        <v>Clean</v>
      </c>
    </row>
    <row r="380" spans="1:39">
      <c r="A380" t="s">
        <v>1237</v>
      </c>
      <c r="B380" s="4">
        <v>45799</v>
      </c>
      <c r="C380" s="4">
        <v>45799</v>
      </c>
      <c r="D380" s="6">
        <v>0</v>
      </c>
      <c r="E380" t="s">
        <v>2788</v>
      </c>
      <c r="F380" t="s">
        <v>2788</v>
      </c>
      <c r="G380" t="s">
        <v>2788</v>
      </c>
      <c r="H380" t="s">
        <v>1238</v>
      </c>
      <c r="I380" t="s">
        <v>36</v>
      </c>
      <c r="J380" t="s">
        <v>24</v>
      </c>
      <c r="K380" t="s">
        <v>63</v>
      </c>
      <c r="L380" t="s">
        <v>190</v>
      </c>
      <c r="M380" t="s">
        <v>191</v>
      </c>
      <c r="N380" t="s">
        <v>74</v>
      </c>
      <c r="O380" t="s">
        <v>75</v>
      </c>
      <c r="P380" t="s">
        <v>1239</v>
      </c>
      <c r="Q380" t="s">
        <v>59</v>
      </c>
      <c r="R380">
        <v>2</v>
      </c>
      <c r="S380">
        <v>3910.61</v>
      </c>
      <c r="T380">
        <v>0</v>
      </c>
      <c r="U380">
        <v>7821.22</v>
      </c>
      <c r="V380">
        <v>4994.46</v>
      </c>
      <c r="W380">
        <v>2826.76</v>
      </c>
      <c r="X380" t="s">
        <v>32</v>
      </c>
      <c r="Y380" t="s">
        <v>33</v>
      </c>
      <c r="Z380" t="str">
        <f t="shared" si="70"/>
        <v>Unique</v>
      </c>
      <c r="AA380" t="str">
        <f t="shared" si="71"/>
        <v>Unique</v>
      </c>
      <c r="AB380" t="str">
        <f t="shared" si="75"/>
        <v>OK</v>
      </c>
      <c r="AC380">
        <f t="shared" si="76"/>
        <v>0</v>
      </c>
      <c r="AD380" t="str">
        <f t="shared" si="77"/>
        <v>OK</v>
      </c>
      <c r="AE380">
        <f t="shared" si="78"/>
        <v>7821.22</v>
      </c>
      <c r="AF380">
        <f t="shared" si="79"/>
        <v>2826.76</v>
      </c>
      <c r="AG380">
        <f t="shared" si="80"/>
        <v>0.36142187535959863</v>
      </c>
      <c r="AH380" t="str">
        <f t="shared" si="72"/>
        <v>May</v>
      </c>
      <c r="AI380">
        <f t="shared" si="73"/>
        <v>2025</v>
      </c>
      <c r="AJ380" t="str">
        <f t="shared" si="81"/>
        <v>OK</v>
      </c>
      <c r="AK380" t="str">
        <f t="shared" si="82"/>
        <v>OK</v>
      </c>
      <c r="AL380" t="str">
        <f t="shared" si="83"/>
        <v>Include</v>
      </c>
      <c r="AM380" t="str">
        <f t="shared" si="74"/>
        <v>Clean</v>
      </c>
    </row>
    <row r="381" spans="1:39">
      <c r="A381" t="s">
        <v>1240</v>
      </c>
      <c r="B381" s="4">
        <v>45554</v>
      </c>
      <c r="C381" s="4">
        <v>45558</v>
      </c>
      <c r="D381" s="6">
        <v>4</v>
      </c>
      <c r="E381" t="s">
        <v>2788</v>
      </c>
      <c r="F381" t="s">
        <v>2788</v>
      </c>
      <c r="G381" t="s">
        <v>2788</v>
      </c>
      <c r="H381" t="s">
        <v>1241</v>
      </c>
      <c r="I381" t="s">
        <v>36</v>
      </c>
      <c r="J381" t="s">
        <v>37</v>
      </c>
      <c r="K381" t="s">
        <v>54</v>
      </c>
      <c r="L381" t="s">
        <v>185</v>
      </c>
      <c r="M381" t="s">
        <v>186</v>
      </c>
      <c r="N381" t="s">
        <v>28</v>
      </c>
      <c r="O381" t="s">
        <v>29</v>
      </c>
      <c r="P381" t="s">
        <v>1242</v>
      </c>
      <c r="Q381" t="s">
        <v>59</v>
      </c>
      <c r="R381">
        <v>7</v>
      </c>
      <c r="S381">
        <v>1136.68</v>
      </c>
      <c r="U381">
        <v>7956.76</v>
      </c>
      <c r="V381">
        <v>4799.54</v>
      </c>
      <c r="W381">
        <v>3157.22</v>
      </c>
      <c r="X381" t="s">
        <v>32</v>
      </c>
      <c r="Y381" t="s">
        <v>33</v>
      </c>
      <c r="Z381" t="str">
        <f t="shared" si="70"/>
        <v>Unique</v>
      </c>
      <c r="AA381" t="str">
        <f t="shared" si="71"/>
        <v>Unique</v>
      </c>
      <c r="AB381" t="str">
        <f t="shared" si="75"/>
        <v>OK</v>
      </c>
      <c r="AC381">
        <f t="shared" si="76"/>
        <v>0</v>
      </c>
      <c r="AD381" t="str">
        <f t="shared" si="77"/>
        <v>OK</v>
      </c>
      <c r="AE381">
        <f t="shared" si="78"/>
        <v>7956.76</v>
      </c>
      <c r="AF381">
        <f t="shared" si="79"/>
        <v>3157.2200000000003</v>
      </c>
      <c r="AG381">
        <f t="shared" si="80"/>
        <v>0.39679718880549369</v>
      </c>
      <c r="AH381" t="str">
        <f t="shared" si="72"/>
        <v>September</v>
      </c>
      <c r="AI381">
        <f t="shared" si="73"/>
        <v>2024</v>
      </c>
      <c r="AJ381" t="str">
        <f t="shared" si="81"/>
        <v>OK</v>
      </c>
      <c r="AK381" t="str">
        <f t="shared" si="82"/>
        <v>OK</v>
      </c>
      <c r="AL381" t="str">
        <f t="shared" si="83"/>
        <v>Include</v>
      </c>
      <c r="AM381" t="str">
        <f t="shared" si="74"/>
        <v>Clean</v>
      </c>
    </row>
    <row r="382" spans="1:39">
      <c r="A382" t="s">
        <v>1243</v>
      </c>
      <c r="B382" s="4">
        <v>45389</v>
      </c>
      <c r="C382" s="4">
        <v>45396</v>
      </c>
      <c r="D382" s="6">
        <v>7</v>
      </c>
      <c r="E382" t="s">
        <v>2788</v>
      </c>
      <c r="F382" t="s">
        <v>2788</v>
      </c>
      <c r="G382" t="s">
        <v>2788</v>
      </c>
      <c r="H382" t="s">
        <v>1244</v>
      </c>
      <c r="I382" t="s">
        <v>71</v>
      </c>
      <c r="J382" t="s">
        <v>24</v>
      </c>
      <c r="K382" t="s">
        <v>63</v>
      </c>
      <c r="L382" t="s">
        <v>64</v>
      </c>
      <c r="M382" t="s">
        <v>65</v>
      </c>
      <c r="N382" t="s">
        <v>41</v>
      </c>
      <c r="O382" t="s">
        <v>158</v>
      </c>
      <c r="P382" t="s">
        <v>1245</v>
      </c>
      <c r="Q382" t="s">
        <v>44</v>
      </c>
      <c r="R382">
        <v>5</v>
      </c>
      <c r="S382">
        <v>2235.85</v>
      </c>
      <c r="T382">
        <v>0.25</v>
      </c>
      <c r="U382">
        <v>8384.44</v>
      </c>
      <c r="V382">
        <v>4765.96</v>
      </c>
      <c r="W382">
        <v>3618.48</v>
      </c>
      <c r="X382" t="s">
        <v>32</v>
      </c>
      <c r="Y382" t="s">
        <v>103</v>
      </c>
      <c r="Z382" t="str">
        <f t="shared" si="70"/>
        <v>Unique</v>
      </c>
      <c r="AA382" t="str">
        <f t="shared" si="71"/>
        <v>Unique</v>
      </c>
      <c r="AB382" t="str">
        <f t="shared" si="75"/>
        <v>OK</v>
      </c>
      <c r="AC382">
        <f t="shared" si="76"/>
        <v>0.25</v>
      </c>
      <c r="AD382" t="str">
        <f t="shared" si="77"/>
        <v>OK</v>
      </c>
      <c r="AE382">
        <f t="shared" si="78"/>
        <v>8384.4375</v>
      </c>
      <c r="AF382">
        <f t="shared" si="79"/>
        <v>3618.4775</v>
      </c>
      <c r="AG382">
        <f t="shared" si="80"/>
        <v>0.43157069272685256</v>
      </c>
      <c r="AH382" t="str">
        <f t="shared" si="72"/>
        <v>April</v>
      </c>
      <c r="AI382">
        <f t="shared" si="73"/>
        <v>2024</v>
      </c>
      <c r="AJ382" t="str">
        <f t="shared" si="81"/>
        <v>OK</v>
      </c>
      <c r="AK382" t="str">
        <f t="shared" si="82"/>
        <v>OK</v>
      </c>
      <c r="AL382" t="str">
        <f t="shared" si="83"/>
        <v>Exclude</v>
      </c>
      <c r="AM382" t="str">
        <f t="shared" si="74"/>
        <v>Clean</v>
      </c>
    </row>
    <row r="383" spans="1:39">
      <c r="A383" t="s">
        <v>1246</v>
      </c>
      <c r="B383" s="4">
        <v>45919</v>
      </c>
      <c r="C383" s="4">
        <v>45923</v>
      </c>
      <c r="D383" s="6">
        <v>4</v>
      </c>
      <c r="E383" t="s">
        <v>2788</v>
      </c>
      <c r="F383" t="s">
        <v>2788</v>
      </c>
      <c r="G383" t="s">
        <v>2788</v>
      </c>
      <c r="H383" t="s">
        <v>1247</v>
      </c>
      <c r="I383" t="s">
        <v>53</v>
      </c>
      <c r="J383" t="s">
        <v>95</v>
      </c>
      <c r="K383" t="s">
        <v>25</v>
      </c>
      <c r="L383" t="s">
        <v>350</v>
      </c>
      <c r="M383" t="s">
        <v>351</v>
      </c>
      <c r="N383" t="s">
        <v>28</v>
      </c>
      <c r="O383" t="s">
        <v>153</v>
      </c>
      <c r="P383" t="s">
        <v>1248</v>
      </c>
      <c r="Q383" t="s">
        <v>59</v>
      </c>
      <c r="R383">
        <v>4</v>
      </c>
      <c r="S383">
        <v>4387.1499999999996</v>
      </c>
      <c r="T383">
        <v>0.05</v>
      </c>
      <c r="U383">
        <v>16671.169999999998</v>
      </c>
      <c r="V383">
        <v>10833.19</v>
      </c>
      <c r="W383">
        <v>5837.98</v>
      </c>
      <c r="X383" t="s">
        <v>155</v>
      </c>
      <c r="Y383" t="s">
        <v>68</v>
      </c>
      <c r="Z383" t="str">
        <f t="shared" si="70"/>
        <v>Unique</v>
      </c>
      <c r="AA383" t="str">
        <f t="shared" si="71"/>
        <v>Unique</v>
      </c>
      <c r="AB383" t="str">
        <f t="shared" si="75"/>
        <v>OK</v>
      </c>
      <c r="AC383">
        <f t="shared" si="76"/>
        <v>0.05</v>
      </c>
      <c r="AD383" t="str">
        <f t="shared" si="77"/>
        <v>OK</v>
      </c>
      <c r="AE383">
        <f t="shared" si="78"/>
        <v>16671.169999999998</v>
      </c>
      <c r="AF383">
        <f t="shared" si="79"/>
        <v>5837.9799999999977</v>
      </c>
      <c r="AG383">
        <f t="shared" si="80"/>
        <v>0.35018418023450054</v>
      </c>
      <c r="AH383" t="str">
        <f t="shared" si="72"/>
        <v>September</v>
      </c>
      <c r="AI383">
        <f t="shared" si="73"/>
        <v>2025</v>
      </c>
      <c r="AJ383" t="str">
        <f t="shared" si="81"/>
        <v>OK</v>
      </c>
      <c r="AK383" t="str">
        <f t="shared" si="82"/>
        <v>OK</v>
      </c>
      <c r="AL383" t="str">
        <f t="shared" si="83"/>
        <v>Exclude</v>
      </c>
      <c r="AM383" t="str">
        <f t="shared" si="74"/>
        <v>Clean</v>
      </c>
    </row>
    <row r="384" spans="1:39">
      <c r="A384" t="s">
        <v>1249</v>
      </c>
      <c r="B384" s="4">
        <v>45720</v>
      </c>
      <c r="C384" s="4">
        <v>45724</v>
      </c>
      <c r="D384" s="6">
        <v>4</v>
      </c>
      <c r="E384" t="s">
        <v>2788</v>
      </c>
      <c r="F384" t="s">
        <v>2788</v>
      </c>
      <c r="G384" t="s">
        <v>2788</v>
      </c>
      <c r="H384" t="s">
        <v>157</v>
      </c>
      <c r="I384" t="s">
        <v>53</v>
      </c>
      <c r="J384" t="s">
        <v>37</v>
      </c>
      <c r="K384" t="s">
        <v>38</v>
      </c>
      <c r="L384" t="s">
        <v>145</v>
      </c>
      <c r="M384" t="s">
        <v>146</v>
      </c>
      <c r="N384" t="s">
        <v>74</v>
      </c>
      <c r="O384" t="s">
        <v>171</v>
      </c>
      <c r="P384" t="s">
        <v>1250</v>
      </c>
      <c r="Q384" t="s">
        <v>50</v>
      </c>
      <c r="R384">
        <v>3</v>
      </c>
      <c r="S384">
        <v>4361.8500000000004</v>
      </c>
      <c r="T384">
        <v>0.2</v>
      </c>
      <c r="U384">
        <v>10468.44</v>
      </c>
      <c r="V384">
        <v>8399.8700000000008</v>
      </c>
      <c r="W384">
        <v>2068.5700000000002</v>
      </c>
      <c r="X384" t="s">
        <v>32</v>
      </c>
      <c r="Y384" t="s">
        <v>33</v>
      </c>
      <c r="Z384" t="str">
        <f t="shared" si="70"/>
        <v>Unique</v>
      </c>
      <c r="AA384" t="str">
        <f t="shared" si="71"/>
        <v>Unique</v>
      </c>
      <c r="AB384" t="str">
        <f t="shared" si="75"/>
        <v>OK</v>
      </c>
      <c r="AC384">
        <f t="shared" si="76"/>
        <v>0.2</v>
      </c>
      <c r="AD384" t="str">
        <f t="shared" si="77"/>
        <v>OK</v>
      </c>
      <c r="AE384">
        <f t="shared" si="78"/>
        <v>10468.440000000002</v>
      </c>
      <c r="AF384">
        <f t="shared" si="79"/>
        <v>2068.5700000000015</v>
      </c>
      <c r="AG384">
        <f t="shared" si="80"/>
        <v>0.19760059760575607</v>
      </c>
      <c r="AH384" t="str">
        <f t="shared" si="72"/>
        <v>March</v>
      </c>
      <c r="AI384">
        <f t="shared" si="73"/>
        <v>2025</v>
      </c>
      <c r="AJ384" t="str">
        <f t="shared" si="81"/>
        <v>OK</v>
      </c>
      <c r="AK384" t="str">
        <f t="shared" si="82"/>
        <v>OK</v>
      </c>
      <c r="AL384" t="str">
        <f t="shared" si="83"/>
        <v>Include</v>
      </c>
      <c r="AM384" t="str">
        <f t="shared" si="74"/>
        <v>Clean</v>
      </c>
    </row>
    <row r="385" spans="1:39">
      <c r="A385" t="s">
        <v>1251</v>
      </c>
      <c r="B385" s="4">
        <v>45836</v>
      </c>
      <c r="C385" s="4">
        <v>45843</v>
      </c>
      <c r="D385" s="6">
        <v>7</v>
      </c>
      <c r="E385" t="s">
        <v>2788</v>
      </c>
      <c r="F385" t="s">
        <v>2788</v>
      </c>
      <c r="G385" t="s">
        <v>2788</v>
      </c>
      <c r="H385" t="s">
        <v>1252</v>
      </c>
      <c r="I385" t="s">
        <v>71</v>
      </c>
      <c r="J385" t="s">
        <v>90</v>
      </c>
      <c r="K385" t="s">
        <v>38</v>
      </c>
      <c r="L385" t="s">
        <v>99</v>
      </c>
      <c r="M385" t="s">
        <v>100</v>
      </c>
      <c r="N385" t="s">
        <v>28</v>
      </c>
      <c r="O385" t="s">
        <v>48</v>
      </c>
      <c r="P385" t="s">
        <v>1253</v>
      </c>
      <c r="Q385" t="s">
        <v>50</v>
      </c>
      <c r="R385">
        <v>2</v>
      </c>
      <c r="S385">
        <v>2242.75</v>
      </c>
      <c r="T385">
        <v>0</v>
      </c>
      <c r="U385">
        <v>4485.5</v>
      </c>
      <c r="V385">
        <v>3131.86</v>
      </c>
      <c r="W385">
        <v>1353.64</v>
      </c>
      <c r="X385" t="s">
        <v>32</v>
      </c>
      <c r="Y385" t="s">
        <v>68</v>
      </c>
      <c r="Z385" t="str">
        <f t="shared" si="70"/>
        <v>Unique</v>
      </c>
      <c r="AA385" t="str">
        <f t="shared" si="71"/>
        <v>Unique</v>
      </c>
      <c r="AB385" t="str">
        <f t="shared" si="75"/>
        <v>OK</v>
      </c>
      <c r="AC385">
        <f t="shared" si="76"/>
        <v>0</v>
      </c>
      <c r="AD385" t="str">
        <f t="shared" si="77"/>
        <v>OK</v>
      </c>
      <c r="AE385">
        <f t="shared" si="78"/>
        <v>4485.5</v>
      </c>
      <c r="AF385">
        <f t="shared" si="79"/>
        <v>1353.6399999999999</v>
      </c>
      <c r="AG385">
        <f t="shared" si="80"/>
        <v>0.30178129528480657</v>
      </c>
      <c r="AH385" t="str">
        <f t="shared" si="72"/>
        <v>June</v>
      </c>
      <c r="AI385">
        <f t="shared" si="73"/>
        <v>2025</v>
      </c>
      <c r="AJ385" t="str">
        <f t="shared" si="81"/>
        <v>OK</v>
      </c>
      <c r="AK385" t="str">
        <f t="shared" si="82"/>
        <v>OK</v>
      </c>
      <c r="AL385" t="str">
        <f t="shared" si="83"/>
        <v>Exclude</v>
      </c>
      <c r="AM385" t="str">
        <f t="shared" si="74"/>
        <v>Clean</v>
      </c>
    </row>
    <row r="386" spans="1:39">
      <c r="A386" t="s">
        <v>1254</v>
      </c>
      <c r="B386" s="4">
        <v>45366</v>
      </c>
      <c r="C386" s="4">
        <v>45371</v>
      </c>
      <c r="D386" s="6">
        <v>5</v>
      </c>
      <c r="E386" t="s">
        <v>2788</v>
      </c>
      <c r="F386" t="s">
        <v>2788</v>
      </c>
      <c r="G386" t="s">
        <v>2788</v>
      </c>
      <c r="H386" t="s">
        <v>1255</v>
      </c>
      <c r="I386" t="s">
        <v>141</v>
      </c>
      <c r="J386" t="s">
        <v>24</v>
      </c>
      <c r="K386" t="s">
        <v>38</v>
      </c>
      <c r="L386" t="s">
        <v>228</v>
      </c>
      <c r="M386" t="s">
        <v>229</v>
      </c>
      <c r="N386" t="s">
        <v>74</v>
      </c>
      <c r="O386" t="s">
        <v>80</v>
      </c>
      <c r="P386" t="s">
        <v>1256</v>
      </c>
      <c r="Q386" t="s">
        <v>59</v>
      </c>
      <c r="R386">
        <v>2</v>
      </c>
      <c r="S386">
        <v>1881.4</v>
      </c>
      <c r="T386">
        <v>0.25</v>
      </c>
      <c r="U386">
        <v>2822.1</v>
      </c>
      <c r="V386">
        <v>1624.57</v>
      </c>
      <c r="W386">
        <v>1197.53</v>
      </c>
      <c r="X386" t="s">
        <v>32</v>
      </c>
      <c r="Y386" t="s">
        <v>103</v>
      </c>
      <c r="Z386" t="str">
        <f t="shared" ref="Z386:Z449" si="84">IF(COUNTIFS($A:$A,A386,$B:$B,B386,$C:$C,C386,$H:$H,H386,$U:$U,U386,$W:$W,W386)&gt;1,"Exact Duplicate","Unique")</f>
        <v>Unique</v>
      </c>
      <c r="AA386" t="str">
        <f t="shared" ref="AA386:AA449" si="85">IF(COUNTIF($A:$A,A386)&gt;1,"Duplicate Order ID","Unique")</f>
        <v>Unique</v>
      </c>
      <c r="AB386" t="str">
        <f t="shared" si="75"/>
        <v>OK</v>
      </c>
      <c r="AC386">
        <f t="shared" si="76"/>
        <v>0.25</v>
      </c>
      <c r="AD386" t="str">
        <f t="shared" si="77"/>
        <v>OK</v>
      </c>
      <c r="AE386">
        <f t="shared" si="78"/>
        <v>2822.1000000000004</v>
      </c>
      <c r="AF386">
        <f t="shared" si="79"/>
        <v>1197.5300000000004</v>
      </c>
      <c r="AG386">
        <f t="shared" si="80"/>
        <v>0.42434003047376079</v>
      </c>
      <c r="AH386" t="str">
        <f t="shared" ref="AH386:AH449" si="86">IFERROR(TEXT(B386,"mmmm"),"")</f>
        <v>March</v>
      </c>
      <c r="AI386">
        <f t="shared" ref="AI386:AI449" si="87">IFERROR(YEAR(B386),"")</f>
        <v>2024</v>
      </c>
      <c r="AJ386" t="str">
        <f t="shared" si="81"/>
        <v>OK</v>
      </c>
      <c r="AK386" t="str">
        <f t="shared" si="82"/>
        <v>OK</v>
      </c>
      <c r="AL386" t="str">
        <f t="shared" si="83"/>
        <v>Exclude</v>
      </c>
      <c r="AM386" t="str">
        <f t="shared" ref="AM386:AM449" si="88">IF(OR(E386&lt;&gt;"OK",F386&lt;&gt;"OK",AD386&lt;&gt;"OK",AB386="Conflicting Duplicate"),"Invalid",IF(OR(G386&lt;&gt;"OK",AJ386&lt;&gt;"OK",AK386&lt;&gt;"OK"),"Warning","Clean"))</f>
        <v>Clean</v>
      </c>
    </row>
    <row r="387" spans="1:39">
      <c r="A387" t="s">
        <v>1257</v>
      </c>
      <c r="B387" s="4">
        <v>45832</v>
      </c>
      <c r="C387" s="4">
        <v>45838</v>
      </c>
      <c r="D387" s="6">
        <v>6</v>
      </c>
      <c r="E387" t="s">
        <v>2788</v>
      </c>
      <c r="F387" t="s">
        <v>2788</v>
      </c>
      <c r="G387" t="s">
        <v>2788</v>
      </c>
      <c r="H387" t="s">
        <v>1258</v>
      </c>
      <c r="I387" t="s">
        <v>53</v>
      </c>
      <c r="J387" t="s">
        <v>24</v>
      </c>
      <c r="K387" t="s">
        <v>25</v>
      </c>
      <c r="L387" t="s">
        <v>236</v>
      </c>
      <c r="M387" t="s">
        <v>237</v>
      </c>
      <c r="N387" t="s">
        <v>28</v>
      </c>
      <c r="O387" t="s">
        <v>91</v>
      </c>
      <c r="P387" t="s">
        <v>1259</v>
      </c>
      <c r="Q387" t="s">
        <v>59</v>
      </c>
      <c r="R387">
        <v>6</v>
      </c>
      <c r="S387">
        <v>365.76</v>
      </c>
      <c r="T387">
        <v>0.1</v>
      </c>
      <c r="U387">
        <v>1975.1</v>
      </c>
      <c r="V387">
        <v>1115.3499999999999</v>
      </c>
      <c r="W387">
        <v>859.75</v>
      </c>
      <c r="X387" t="s">
        <v>32</v>
      </c>
      <c r="Y387" t="s">
        <v>33</v>
      </c>
      <c r="Z387" t="str">
        <f t="shared" si="84"/>
        <v>Unique</v>
      </c>
      <c r="AA387" t="str">
        <f t="shared" si="85"/>
        <v>Unique</v>
      </c>
      <c r="AB387" t="str">
        <f t="shared" ref="AB387:AB450" si="89">IF(AND(AA387="Duplicate Order ID",Z387&lt;&gt;"Exact Duplicate"),"Conflicting Duplicate","OK")</f>
        <v>OK</v>
      </c>
      <c r="AC387">
        <f t="shared" ref="AC387:AC450" si="90">IF(OR(T387="",ISBLANK(T387)),0,T387)</f>
        <v>0.1</v>
      </c>
      <c r="AD387" t="str">
        <f t="shared" ref="AD387:AD450" si="91">IF(AC387&lt;0,"Invalid Negative Discount",IF(AC387&gt;1,"Invalid High Discount","OK"))</f>
        <v>OK</v>
      </c>
      <c r="AE387">
        <f t="shared" ref="AE387:AE450" si="92">R387*S387*(1-AC387)</f>
        <v>1975.104</v>
      </c>
      <c r="AF387">
        <f t="shared" ref="AF387:AF450" si="93">AE387-V387</f>
        <v>859.75400000000013</v>
      </c>
      <c r="AG387">
        <f t="shared" ref="AG387:AG450" si="94">IF(AE387=0,0,AF387/AE387)</f>
        <v>0.4352955591199249</v>
      </c>
      <c r="AH387" t="str">
        <f t="shared" si="86"/>
        <v>June</v>
      </c>
      <c r="AI387">
        <f t="shared" si="87"/>
        <v>2025</v>
      </c>
      <c r="AJ387" t="str">
        <f t="shared" ref="AJ387:AJ450" si="95">IF(ABS(U387-AE387)&gt;1,"Sales Mismatch","OK")</f>
        <v>OK</v>
      </c>
      <c r="AK387" t="str">
        <f t="shared" ref="AK387:AK450" si="96">IF(ABS(W387-AF387)&gt;1,"Profit Mismatch","OK")</f>
        <v>OK</v>
      </c>
      <c r="AL387" t="str">
        <f t="shared" ref="AL387:AL450" si="97">IF(AND(X387="Paid",Y387="Completed"),"Include","Exclude")</f>
        <v>Include</v>
      </c>
      <c r="AM387" t="str">
        <f t="shared" si="88"/>
        <v>Clean</v>
      </c>
    </row>
    <row r="388" spans="1:39">
      <c r="A388" t="s">
        <v>1260</v>
      </c>
      <c r="B388" s="4">
        <v>45700</v>
      </c>
      <c r="C388" s="4">
        <v>45702</v>
      </c>
      <c r="D388" s="6">
        <v>2</v>
      </c>
      <c r="E388" t="s">
        <v>2788</v>
      </c>
      <c r="F388" t="s">
        <v>2788</v>
      </c>
      <c r="G388" t="s">
        <v>2788</v>
      </c>
      <c r="H388" t="s">
        <v>1261</v>
      </c>
      <c r="I388" t="s">
        <v>132</v>
      </c>
      <c r="J388" t="s">
        <v>24</v>
      </c>
      <c r="K388" t="s">
        <v>63</v>
      </c>
      <c r="L388" t="s">
        <v>64</v>
      </c>
      <c r="M388" t="s">
        <v>65</v>
      </c>
      <c r="N388" t="s">
        <v>41</v>
      </c>
      <c r="O388" t="s">
        <v>57</v>
      </c>
      <c r="P388" t="s">
        <v>1262</v>
      </c>
      <c r="Q388" t="s">
        <v>31</v>
      </c>
      <c r="R388">
        <v>8</v>
      </c>
      <c r="S388">
        <v>2786.66</v>
      </c>
      <c r="T388">
        <v>0.1</v>
      </c>
      <c r="U388">
        <v>20063.95</v>
      </c>
      <c r="V388">
        <v>14363.38</v>
      </c>
      <c r="W388">
        <v>5700.57</v>
      </c>
      <c r="X388" t="s">
        <v>32</v>
      </c>
      <c r="Y388" t="s">
        <v>33</v>
      </c>
      <c r="Z388" t="str">
        <f t="shared" si="84"/>
        <v>Unique</v>
      </c>
      <c r="AA388" t="str">
        <f t="shared" si="85"/>
        <v>Unique</v>
      </c>
      <c r="AB388" t="str">
        <f t="shared" si="89"/>
        <v>OK</v>
      </c>
      <c r="AC388">
        <f t="shared" si="90"/>
        <v>0.1</v>
      </c>
      <c r="AD388" t="str">
        <f t="shared" si="91"/>
        <v>OK</v>
      </c>
      <c r="AE388">
        <f t="shared" si="92"/>
        <v>20063.952000000001</v>
      </c>
      <c r="AF388">
        <f t="shared" si="93"/>
        <v>5700.5720000000019</v>
      </c>
      <c r="AG388">
        <f t="shared" si="94"/>
        <v>0.2841200975759911</v>
      </c>
      <c r="AH388" t="str">
        <f t="shared" si="86"/>
        <v>February</v>
      </c>
      <c r="AI388">
        <f t="shared" si="87"/>
        <v>2025</v>
      </c>
      <c r="AJ388" t="str">
        <f t="shared" si="95"/>
        <v>OK</v>
      </c>
      <c r="AK388" t="str">
        <f t="shared" si="96"/>
        <v>OK</v>
      </c>
      <c r="AL388" t="str">
        <f t="shared" si="97"/>
        <v>Include</v>
      </c>
      <c r="AM388" t="str">
        <f t="shared" si="88"/>
        <v>Clean</v>
      </c>
    </row>
    <row r="389" spans="1:39">
      <c r="A389" t="s">
        <v>1263</v>
      </c>
      <c r="B389" s="4">
        <v>45879</v>
      </c>
      <c r="C389" s="4">
        <v>45882</v>
      </c>
      <c r="D389" s="6">
        <v>3</v>
      </c>
      <c r="E389" t="s">
        <v>2788</v>
      </c>
      <c r="F389" t="s">
        <v>2788</v>
      </c>
      <c r="G389" t="s">
        <v>2788</v>
      </c>
      <c r="H389" t="s">
        <v>1264</v>
      </c>
      <c r="I389" t="s">
        <v>114</v>
      </c>
      <c r="J389" t="s">
        <v>37</v>
      </c>
      <c r="K389" t="s">
        <v>63</v>
      </c>
      <c r="L389" t="s">
        <v>72</v>
      </c>
      <c r="M389" t="s">
        <v>73</v>
      </c>
      <c r="N389" t="s">
        <v>41</v>
      </c>
      <c r="O389" t="s">
        <v>66</v>
      </c>
      <c r="P389" t="s">
        <v>1265</v>
      </c>
      <c r="Q389" t="s">
        <v>59</v>
      </c>
      <c r="R389">
        <v>5</v>
      </c>
      <c r="S389">
        <v>352.86</v>
      </c>
      <c r="T389">
        <v>0</v>
      </c>
      <c r="U389">
        <v>1764.3</v>
      </c>
      <c r="V389">
        <v>1332.49</v>
      </c>
      <c r="W389">
        <v>431.81</v>
      </c>
      <c r="X389" t="s">
        <v>111</v>
      </c>
      <c r="Y389" t="s">
        <v>68</v>
      </c>
      <c r="Z389" t="str">
        <f t="shared" si="84"/>
        <v>Unique</v>
      </c>
      <c r="AA389" t="str">
        <f t="shared" si="85"/>
        <v>Unique</v>
      </c>
      <c r="AB389" t="str">
        <f t="shared" si="89"/>
        <v>OK</v>
      </c>
      <c r="AC389">
        <f t="shared" si="90"/>
        <v>0</v>
      </c>
      <c r="AD389" t="str">
        <f t="shared" si="91"/>
        <v>OK</v>
      </c>
      <c r="AE389">
        <f t="shared" si="92"/>
        <v>1764.3000000000002</v>
      </c>
      <c r="AF389">
        <f t="shared" si="93"/>
        <v>431.81000000000017</v>
      </c>
      <c r="AG389">
        <f t="shared" si="94"/>
        <v>0.24474862551720236</v>
      </c>
      <c r="AH389" t="str">
        <f t="shared" si="86"/>
        <v>August</v>
      </c>
      <c r="AI389">
        <f t="shared" si="87"/>
        <v>2025</v>
      </c>
      <c r="AJ389" t="str">
        <f t="shared" si="95"/>
        <v>OK</v>
      </c>
      <c r="AK389" t="str">
        <f t="shared" si="96"/>
        <v>OK</v>
      </c>
      <c r="AL389" t="str">
        <f t="shared" si="97"/>
        <v>Exclude</v>
      </c>
      <c r="AM389" t="str">
        <f t="shared" si="88"/>
        <v>Clean</v>
      </c>
    </row>
    <row r="390" spans="1:39">
      <c r="A390" t="s">
        <v>1266</v>
      </c>
      <c r="B390" s="4">
        <v>45425</v>
      </c>
      <c r="C390" s="4">
        <v>45430</v>
      </c>
      <c r="D390" s="6">
        <v>5</v>
      </c>
      <c r="E390" t="s">
        <v>2788</v>
      </c>
      <c r="F390" t="s">
        <v>2788</v>
      </c>
      <c r="G390" t="s">
        <v>2788</v>
      </c>
      <c r="H390" t="s">
        <v>1267</v>
      </c>
      <c r="I390" t="s">
        <v>47</v>
      </c>
      <c r="J390" t="s">
        <v>37</v>
      </c>
      <c r="K390" t="s">
        <v>63</v>
      </c>
      <c r="L390" t="s">
        <v>180</v>
      </c>
      <c r="M390" t="s">
        <v>181</v>
      </c>
      <c r="N390" t="s">
        <v>41</v>
      </c>
      <c r="O390" t="s">
        <v>66</v>
      </c>
      <c r="P390" t="s">
        <v>1268</v>
      </c>
      <c r="Q390" t="s">
        <v>59</v>
      </c>
      <c r="R390">
        <v>3</v>
      </c>
      <c r="S390">
        <v>3128.59</v>
      </c>
      <c r="T390">
        <v>0</v>
      </c>
      <c r="U390">
        <v>9385.77</v>
      </c>
      <c r="V390">
        <v>6872.44</v>
      </c>
      <c r="W390">
        <v>2783.66</v>
      </c>
      <c r="X390" t="s">
        <v>32</v>
      </c>
      <c r="Y390" t="s">
        <v>33</v>
      </c>
      <c r="Z390" t="str">
        <f t="shared" si="84"/>
        <v>Unique</v>
      </c>
      <c r="AA390" t="str">
        <f t="shared" si="85"/>
        <v>Unique</v>
      </c>
      <c r="AB390" t="str">
        <f t="shared" si="89"/>
        <v>OK</v>
      </c>
      <c r="AC390">
        <f t="shared" si="90"/>
        <v>0</v>
      </c>
      <c r="AD390" t="str">
        <f t="shared" si="91"/>
        <v>OK</v>
      </c>
      <c r="AE390">
        <f t="shared" si="92"/>
        <v>9385.77</v>
      </c>
      <c r="AF390">
        <f t="shared" si="93"/>
        <v>2513.3300000000008</v>
      </c>
      <c r="AG390">
        <f t="shared" si="94"/>
        <v>0.26778090662779941</v>
      </c>
      <c r="AH390" t="str">
        <f t="shared" si="86"/>
        <v>May</v>
      </c>
      <c r="AI390">
        <f t="shared" si="87"/>
        <v>2024</v>
      </c>
      <c r="AJ390" t="str">
        <f t="shared" si="95"/>
        <v>OK</v>
      </c>
      <c r="AK390" t="str">
        <f t="shared" si="96"/>
        <v>Profit Mismatch</v>
      </c>
      <c r="AL390" t="str">
        <f t="shared" si="97"/>
        <v>Include</v>
      </c>
      <c r="AM390" t="str">
        <f t="shared" si="88"/>
        <v>Warning</v>
      </c>
    </row>
    <row r="391" spans="1:39">
      <c r="A391" t="s">
        <v>1269</v>
      </c>
      <c r="B391" s="4">
        <v>45387</v>
      </c>
      <c r="C391" s="4">
        <v>45395</v>
      </c>
      <c r="D391" s="6">
        <v>8</v>
      </c>
      <c r="E391" t="s">
        <v>2788</v>
      </c>
      <c r="F391" t="s">
        <v>2788</v>
      </c>
      <c r="G391" t="s">
        <v>2788</v>
      </c>
      <c r="H391" t="s">
        <v>1270</v>
      </c>
      <c r="I391" t="s">
        <v>162</v>
      </c>
      <c r="J391" t="s">
        <v>90</v>
      </c>
      <c r="K391" t="s">
        <v>63</v>
      </c>
      <c r="L391" t="s">
        <v>180</v>
      </c>
      <c r="M391" t="s">
        <v>181</v>
      </c>
      <c r="N391" t="s">
        <v>74</v>
      </c>
      <c r="O391" t="s">
        <v>274</v>
      </c>
      <c r="P391" t="s">
        <v>1271</v>
      </c>
      <c r="Q391" t="s">
        <v>31</v>
      </c>
      <c r="R391">
        <v>5</v>
      </c>
      <c r="S391">
        <v>1937.54</v>
      </c>
      <c r="T391">
        <v>0.2</v>
      </c>
      <c r="U391">
        <v>7750.16</v>
      </c>
      <c r="V391">
        <v>5434.3</v>
      </c>
      <c r="W391">
        <v>2315.86</v>
      </c>
      <c r="X391" t="s">
        <v>111</v>
      </c>
      <c r="Y391" t="s">
        <v>68</v>
      </c>
      <c r="Z391" t="str">
        <f t="shared" si="84"/>
        <v>Unique</v>
      </c>
      <c r="AA391" t="str">
        <f t="shared" si="85"/>
        <v>Unique</v>
      </c>
      <c r="AB391" t="str">
        <f t="shared" si="89"/>
        <v>OK</v>
      </c>
      <c r="AC391">
        <f t="shared" si="90"/>
        <v>0.2</v>
      </c>
      <c r="AD391" t="str">
        <f t="shared" si="91"/>
        <v>OK</v>
      </c>
      <c r="AE391">
        <f t="shared" si="92"/>
        <v>7750.1600000000008</v>
      </c>
      <c r="AF391">
        <f t="shared" si="93"/>
        <v>2315.8600000000006</v>
      </c>
      <c r="AG391">
        <f t="shared" si="94"/>
        <v>0.29881447608823564</v>
      </c>
      <c r="AH391" t="str">
        <f t="shared" si="86"/>
        <v>April</v>
      </c>
      <c r="AI391">
        <f t="shared" si="87"/>
        <v>2024</v>
      </c>
      <c r="AJ391" t="str">
        <f t="shared" si="95"/>
        <v>OK</v>
      </c>
      <c r="AK391" t="str">
        <f t="shared" si="96"/>
        <v>OK</v>
      </c>
      <c r="AL391" t="str">
        <f t="shared" si="97"/>
        <v>Exclude</v>
      </c>
      <c r="AM391" t="str">
        <f t="shared" si="88"/>
        <v>Clean</v>
      </c>
    </row>
    <row r="392" spans="1:39">
      <c r="A392" t="s">
        <v>1272</v>
      </c>
      <c r="B392" s="4">
        <v>45602</v>
      </c>
      <c r="C392" s="4">
        <v>45607</v>
      </c>
      <c r="D392" s="6">
        <v>5</v>
      </c>
      <c r="E392" t="s">
        <v>2788</v>
      </c>
      <c r="F392" t="s">
        <v>2788</v>
      </c>
      <c r="G392" t="s">
        <v>2788</v>
      </c>
      <c r="H392" t="s">
        <v>1273</v>
      </c>
      <c r="I392" t="s">
        <v>47</v>
      </c>
      <c r="J392" t="s">
        <v>24</v>
      </c>
      <c r="K392" t="s">
        <v>63</v>
      </c>
      <c r="L392" t="s">
        <v>180</v>
      </c>
      <c r="M392" t="s">
        <v>181</v>
      </c>
      <c r="N392" t="s">
        <v>41</v>
      </c>
      <c r="O392" t="s">
        <v>57</v>
      </c>
      <c r="P392" t="s">
        <v>1274</v>
      </c>
      <c r="Q392" t="s">
        <v>59</v>
      </c>
      <c r="R392">
        <v>4</v>
      </c>
      <c r="S392">
        <v>1917.26</v>
      </c>
      <c r="T392">
        <v>0.2</v>
      </c>
      <c r="U392">
        <v>6135.23</v>
      </c>
      <c r="V392">
        <v>3439.79</v>
      </c>
      <c r="W392">
        <v>2695.44</v>
      </c>
      <c r="X392" t="s">
        <v>32</v>
      </c>
      <c r="Y392" t="s">
        <v>33</v>
      </c>
      <c r="Z392" t="str">
        <f t="shared" si="84"/>
        <v>Unique</v>
      </c>
      <c r="AA392" t="str">
        <f t="shared" si="85"/>
        <v>Unique</v>
      </c>
      <c r="AB392" t="str">
        <f t="shared" si="89"/>
        <v>OK</v>
      </c>
      <c r="AC392">
        <f t="shared" si="90"/>
        <v>0.2</v>
      </c>
      <c r="AD392" t="str">
        <f t="shared" si="91"/>
        <v>OK</v>
      </c>
      <c r="AE392">
        <f t="shared" si="92"/>
        <v>6135.232</v>
      </c>
      <c r="AF392">
        <f t="shared" si="93"/>
        <v>2695.442</v>
      </c>
      <c r="AG392">
        <f t="shared" si="94"/>
        <v>0.43933823529411764</v>
      </c>
      <c r="AH392" t="str">
        <f t="shared" si="86"/>
        <v>November</v>
      </c>
      <c r="AI392">
        <f t="shared" si="87"/>
        <v>2024</v>
      </c>
      <c r="AJ392" t="str">
        <f t="shared" si="95"/>
        <v>OK</v>
      </c>
      <c r="AK392" t="str">
        <f t="shared" si="96"/>
        <v>OK</v>
      </c>
      <c r="AL392" t="str">
        <f t="shared" si="97"/>
        <v>Include</v>
      </c>
      <c r="AM392" t="str">
        <f t="shared" si="88"/>
        <v>Clean</v>
      </c>
    </row>
    <row r="393" spans="1:39">
      <c r="A393" t="s">
        <v>1275</v>
      </c>
      <c r="B393" s="4">
        <v>45702</v>
      </c>
      <c r="C393" s="4">
        <v>45702</v>
      </c>
      <c r="D393" s="6">
        <v>0</v>
      </c>
      <c r="E393" t="s">
        <v>2788</v>
      </c>
      <c r="F393" t="s">
        <v>2788</v>
      </c>
      <c r="G393" t="s">
        <v>2788</v>
      </c>
      <c r="H393" t="s">
        <v>1276</v>
      </c>
      <c r="I393" t="s">
        <v>162</v>
      </c>
      <c r="J393" t="s">
        <v>24</v>
      </c>
      <c r="K393" t="s">
        <v>54</v>
      </c>
      <c r="L393" t="s">
        <v>175</v>
      </c>
      <c r="M393" t="s">
        <v>176</v>
      </c>
      <c r="N393" t="s">
        <v>28</v>
      </c>
      <c r="O393" t="s">
        <v>124</v>
      </c>
      <c r="P393" t="s">
        <v>1277</v>
      </c>
      <c r="Q393" t="s">
        <v>50</v>
      </c>
      <c r="R393">
        <v>1</v>
      </c>
      <c r="S393">
        <v>714.43</v>
      </c>
      <c r="T393">
        <v>0</v>
      </c>
      <c r="U393">
        <v>714.43</v>
      </c>
      <c r="V393">
        <v>565.44000000000005</v>
      </c>
      <c r="W393">
        <v>148.99</v>
      </c>
      <c r="X393" t="s">
        <v>32</v>
      </c>
      <c r="Y393" t="s">
        <v>33</v>
      </c>
      <c r="Z393" t="str">
        <f t="shared" si="84"/>
        <v>Unique</v>
      </c>
      <c r="AA393" t="str">
        <f t="shared" si="85"/>
        <v>Unique</v>
      </c>
      <c r="AB393" t="str">
        <f t="shared" si="89"/>
        <v>OK</v>
      </c>
      <c r="AC393">
        <f t="shared" si="90"/>
        <v>0</v>
      </c>
      <c r="AD393" t="str">
        <f t="shared" si="91"/>
        <v>OK</v>
      </c>
      <c r="AE393">
        <f t="shared" si="92"/>
        <v>714.43</v>
      </c>
      <c r="AF393">
        <f t="shared" si="93"/>
        <v>148.9899999999999</v>
      </c>
      <c r="AG393">
        <f t="shared" si="94"/>
        <v>0.20854387413742412</v>
      </c>
      <c r="AH393" t="str">
        <f t="shared" si="86"/>
        <v>February</v>
      </c>
      <c r="AI393">
        <f t="shared" si="87"/>
        <v>2025</v>
      </c>
      <c r="AJ393" t="str">
        <f t="shared" si="95"/>
        <v>OK</v>
      </c>
      <c r="AK393" t="str">
        <f t="shared" si="96"/>
        <v>OK</v>
      </c>
      <c r="AL393" t="str">
        <f t="shared" si="97"/>
        <v>Include</v>
      </c>
      <c r="AM393" t="str">
        <f t="shared" si="88"/>
        <v>Clean</v>
      </c>
    </row>
    <row r="394" spans="1:39">
      <c r="A394" t="s">
        <v>1278</v>
      </c>
      <c r="B394" s="4">
        <v>45341</v>
      </c>
      <c r="C394" s="4">
        <v>45344</v>
      </c>
      <c r="D394" s="6">
        <v>3</v>
      </c>
      <c r="E394" t="s">
        <v>2788</v>
      </c>
      <c r="F394" t="s">
        <v>2788</v>
      </c>
      <c r="G394" t="s">
        <v>2788</v>
      </c>
      <c r="H394" t="s">
        <v>1279</v>
      </c>
      <c r="I394" t="s">
        <v>89</v>
      </c>
      <c r="J394" t="s">
        <v>37</v>
      </c>
      <c r="K394" t="s">
        <v>54</v>
      </c>
      <c r="L394" t="s">
        <v>185</v>
      </c>
      <c r="M394" t="s">
        <v>186</v>
      </c>
      <c r="N394" t="s">
        <v>41</v>
      </c>
      <c r="O394" t="s">
        <v>57</v>
      </c>
      <c r="P394" t="s">
        <v>1280</v>
      </c>
      <c r="Q394" t="s">
        <v>44</v>
      </c>
      <c r="R394">
        <v>9</v>
      </c>
      <c r="S394">
        <v>4053.01</v>
      </c>
      <c r="T394">
        <v>0</v>
      </c>
      <c r="U394">
        <v>36477.089999999997</v>
      </c>
      <c r="V394">
        <v>24525.48</v>
      </c>
      <c r="W394">
        <v>11951.61</v>
      </c>
      <c r="X394" t="s">
        <v>32</v>
      </c>
      <c r="Y394" t="s">
        <v>33</v>
      </c>
      <c r="Z394" t="str">
        <f t="shared" si="84"/>
        <v>Unique</v>
      </c>
      <c r="AA394" t="str">
        <f t="shared" si="85"/>
        <v>Unique</v>
      </c>
      <c r="AB394" t="str">
        <f t="shared" si="89"/>
        <v>OK</v>
      </c>
      <c r="AC394">
        <f t="shared" si="90"/>
        <v>0</v>
      </c>
      <c r="AD394" t="str">
        <f t="shared" si="91"/>
        <v>OK</v>
      </c>
      <c r="AE394">
        <f t="shared" si="92"/>
        <v>36477.090000000004</v>
      </c>
      <c r="AF394">
        <f t="shared" si="93"/>
        <v>11951.610000000004</v>
      </c>
      <c r="AG394">
        <f t="shared" si="94"/>
        <v>0.32764702447481425</v>
      </c>
      <c r="AH394" t="str">
        <f t="shared" si="86"/>
        <v>February</v>
      </c>
      <c r="AI394">
        <f t="shared" si="87"/>
        <v>2024</v>
      </c>
      <c r="AJ394" t="str">
        <f t="shared" si="95"/>
        <v>OK</v>
      </c>
      <c r="AK394" t="str">
        <f t="shared" si="96"/>
        <v>OK</v>
      </c>
      <c r="AL394" t="str">
        <f t="shared" si="97"/>
        <v>Include</v>
      </c>
      <c r="AM394" t="str">
        <f t="shared" si="88"/>
        <v>Clean</v>
      </c>
    </row>
    <row r="395" spans="1:39">
      <c r="A395" t="s">
        <v>1281</v>
      </c>
      <c r="B395" s="4">
        <v>45527</v>
      </c>
      <c r="C395" s="4">
        <v>45533</v>
      </c>
      <c r="D395" s="6">
        <v>6</v>
      </c>
      <c r="E395" t="s">
        <v>2788</v>
      </c>
      <c r="F395" t="s">
        <v>2788</v>
      </c>
      <c r="G395" t="s">
        <v>2788</v>
      </c>
      <c r="H395" t="s">
        <v>1282</v>
      </c>
      <c r="I395" t="s">
        <v>36</v>
      </c>
      <c r="J395" t="s">
        <v>90</v>
      </c>
      <c r="K395" t="s">
        <v>25</v>
      </c>
      <c r="L395" t="s">
        <v>136</v>
      </c>
      <c r="M395" t="s">
        <v>137</v>
      </c>
      <c r="N395" t="s">
        <v>28</v>
      </c>
      <c r="O395" t="s">
        <v>91</v>
      </c>
      <c r="P395" t="s">
        <v>1283</v>
      </c>
      <c r="Q395" t="s">
        <v>44</v>
      </c>
      <c r="R395">
        <v>2</v>
      </c>
      <c r="S395">
        <v>1936.91</v>
      </c>
      <c r="T395">
        <v>0.05</v>
      </c>
      <c r="U395">
        <v>3680.13</v>
      </c>
      <c r="V395">
        <v>2967.46</v>
      </c>
      <c r="W395">
        <v>712.67</v>
      </c>
      <c r="X395" t="s">
        <v>32</v>
      </c>
      <c r="Y395" t="s">
        <v>33</v>
      </c>
      <c r="Z395" t="str">
        <f t="shared" si="84"/>
        <v>Unique</v>
      </c>
      <c r="AA395" t="str">
        <f t="shared" si="85"/>
        <v>Unique</v>
      </c>
      <c r="AB395" t="str">
        <f t="shared" si="89"/>
        <v>OK</v>
      </c>
      <c r="AC395">
        <f t="shared" si="90"/>
        <v>0.05</v>
      </c>
      <c r="AD395" t="str">
        <f t="shared" si="91"/>
        <v>OK</v>
      </c>
      <c r="AE395">
        <f t="shared" si="92"/>
        <v>3680.1289999999999</v>
      </c>
      <c r="AF395">
        <f t="shared" si="93"/>
        <v>712.66899999999987</v>
      </c>
      <c r="AG395">
        <f t="shared" si="94"/>
        <v>0.19365326595888346</v>
      </c>
      <c r="AH395" t="str">
        <f t="shared" si="86"/>
        <v>August</v>
      </c>
      <c r="AI395">
        <f t="shared" si="87"/>
        <v>2024</v>
      </c>
      <c r="AJ395" t="str">
        <f t="shared" si="95"/>
        <v>OK</v>
      </c>
      <c r="AK395" t="str">
        <f t="shared" si="96"/>
        <v>OK</v>
      </c>
      <c r="AL395" t="str">
        <f t="shared" si="97"/>
        <v>Include</v>
      </c>
      <c r="AM395" t="str">
        <f t="shared" si="88"/>
        <v>Clean</v>
      </c>
    </row>
    <row r="396" spans="1:39">
      <c r="A396" t="s">
        <v>1284</v>
      </c>
      <c r="B396" s="4">
        <v>45385</v>
      </c>
      <c r="C396" s="4">
        <v>45386</v>
      </c>
      <c r="D396" s="6">
        <v>1</v>
      </c>
      <c r="E396" t="s">
        <v>2788</v>
      </c>
      <c r="F396" t="s">
        <v>2788</v>
      </c>
      <c r="G396" t="s">
        <v>2788</v>
      </c>
      <c r="H396" t="s">
        <v>1285</v>
      </c>
      <c r="I396" t="s">
        <v>264</v>
      </c>
      <c r="J396" t="s">
        <v>24</v>
      </c>
      <c r="K396" t="s">
        <v>63</v>
      </c>
      <c r="L396" t="s">
        <v>64</v>
      </c>
      <c r="M396" t="s">
        <v>65</v>
      </c>
      <c r="N396" t="s">
        <v>41</v>
      </c>
      <c r="O396" t="s">
        <v>57</v>
      </c>
      <c r="P396" t="s">
        <v>1286</v>
      </c>
      <c r="Q396" t="s">
        <v>50</v>
      </c>
      <c r="R396">
        <v>7</v>
      </c>
      <c r="S396">
        <v>3945.21</v>
      </c>
      <c r="T396">
        <v>0</v>
      </c>
      <c r="U396">
        <v>27616.47</v>
      </c>
      <c r="V396">
        <v>21225.26</v>
      </c>
      <c r="W396">
        <v>6391.21</v>
      </c>
      <c r="X396" t="s">
        <v>32</v>
      </c>
      <c r="Y396" t="s">
        <v>33</v>
      </c>
      <c r="Z396" t="str">
        <f t="shared" si="84"/>
        <v>Unique</v>
      </c>
      <c r="AA396" t="str">
        <f t="shared" si="85"/>
        <v>Unique</v>
      </c>
      <c r="AB396" t="str">
        <f t="shared" si="89"/>
        <v>OK</v>
      </c>
      <c r="AC396">
        <f t="shared" si="90"/>
        <v>0</v>
      </c>
      <c r="AD396" t="str">
        <f t="shared" si="91"/>
        <v>OK</v>
      </c>
      <c r="AE396">
        <f t="shared" si="92"/>
        <v>27616.47</v>
      </c>
      <c r="AF396">
        <f t="shared" si="93"/>
        <v>6391.2100000000028</v>
      </c>
      <c r="AG396">
        <f t="shared" si="94"/>
        <v>0.23142747787823725</v>
      </c>
      <c r="AH396" t="str">
        <f t="shared" si="86"/>
        <v>April</v>
      </c>
      <c r="AI396">
        <f t="shared" si="87"/>
        <v>2024</v>
      </c>
      <c r="AJ396" t="str">
        <f t="shared" si="95"/>
        <v>OK</v>
      </c>
      <c r="AK396" t="str">
        <f t="shared" si="96"/>
        <v>OK</v>
      </c>
      <c r="AL396" t="str">
        <f t="shared" si="97"/>
        <v>Include</v>
      </c>
      <c r="AM396" t="str">
        <f t="shared" si="88"/>
        <v>Clean</v>
      </c>
    </row>
    <row r="397" spans="1:39">
      <c r="A397" t="s">
        <v>1287</v>
      </c>
      <c r="B397" s="4">
        <v>45449</v>
      </c>
      <c r="C397" s="4">
        <v>45450</v>
      </c>
      <c r="D397" s="6">
        <v>1</v>
      </c>
      <c r="E397" t="s">
        <v>2788</v>
      </c>
      <c r="F397" t="s">
        <v>2788</v>
      </c>
      <c r="G397" t="s">
        <v>2788</v>
      </c>
      <c r="H397" t="s">
        <v>1288</v>
      </c>
      <c r="I397" t="s">
        <v>118</v>
      </c>
      <c r="J397" t="s">
        <v>95</v>
      </c>
      <c r="K397" t="s">
        <v>54</v>
      </c>
      <c r="L397" t="s">
        <v>247</v>
      </c>
      <c r="M397" t="s">
        <v>248</v>
      </c>
      <c r="N397" t="s">
        <v>41</v>
      </c>
      <c r="O397" t="s">
        <v>42</v>
      </c>
      <c r="P397" t="s">
        <v>1289</v>
      </c>
      <c r="Q397" t="s">
        <v>44</v>
      </c>
      <c r="R397">
        <v>7</v>
      </c>
      <c r="S397">
        <v>861.91</v>
      </c>
      <c r="T397">
        <v>0.05</v>
      </c>
      <c r="U397">
        <v>5731.7</v>
      </c>
      <c r="V397">
        <v>4115.5600000000004</v>
      </c>
      <c r="W397">
        <v>1616.14</v>
      </c>
      <c r="X397" t="s">
        <v>32</v>
      </c>
      <c r="Y397" t="s">
        <v>33</v>
      </c>
      <c r="Z397" t="str">
        <f t="shared" si="84"/>
        <v>Unique</v>
      </c>
      <c r="AA397" t="str">
        <f t="shared" si="85"/>
        <v>Unique</v>
      </c>
      <c r="AB397" t="str">
        <f t="shared" si="89"/>
        <v>OK</v>
      </c>
      <c r="AC397">
        <f t="shared" si="90"/>
        <v>0.05</v>
      </c>
      <c r="AD397" t="str">
        <f t="shared" si="91"/>
        <v>OK</v>
      </c>
      <c r="AE397">
        <f t="shared" si="92"/>
        <v>5731.7014999999992</v>
      </c>
      <c r="AF397">
        <f t="shared" si="93"/>
        <v>1616.1414999999988</v>
      </c>
      <c r="AG397">
        <f t="shared" si="94"/>
        <v>0.28196539893084088</v>
      </c>
      <c r="AH397" t="str">
        <f t="shared" si="86"/>
        <v>June</v>
      </c>
      <c r="AI397">
        <f t="shared" si="87"/>
        <v>2024</v>
      </c>
      <c r="AJ397" t="str">
        <f t="shared" si="95"/>
        <v>OK</v>
      </c>
      <c r="AK397" t="str">
        <f t="shared" si="96"/>
        <v>OK</v>
      </c>
      <c r="AL397" t="str">
        <f t="shared" si="97"/>
        <v>Include</v>
      </c>
      <c r="AM397" t="str">
        <f t="shared" si="88"/>
        <v>Clean</v>
      </c>
    </row>
    <row r="398" spans="1:39">
      <c r="A398" t="s">
        <v>1290</v>
      </c>
      <c r="B398" s="4">
        <v>45761</v>
      </c>
      <c r="C398" s="4">
        <v>45769</v>
      </c>
      <c r="D398" s="6">
        <v>8</v>
      </c>
      <c r="E398" t="s">
        <v>2788</v>
      </c>
      <c r="F398" t="s">
        <v>2788</v>
      </c>
      <c r="G398" t="s">
        <v>2788</v>
      </c>
      <c r="H398" t="s">
        <v>1291</v>
      </c>
      <c r="I398" t="s">
        <v>89</v>
      </c>
      <c r="J398" t="s">
        <v>37</v>
      </c>
      <c r="K398" t="s">
        <v>54</v>
      </c>
      <c r="L398" t="s">
        <v>175</v>
      </c>
      <c r="M398" t="s">
        <v>176</v>
      </c>
      <c r="N398" t="s">
        <v>74</v>
      </c>
      <c r="O398" t="s">
        <v>274</v>
      </c>
      <c r="P398" t="s">
        <v>1292</v>
      </c>
      <c r="Q398" t="s">
        <v>59</v>
      </c>
      <c r="R398">
        <v>2</v>
      </c>
      <c r="S398">
        <v>638.73</v>
      </c>
      <c r="T398">
        <v>0.05</v>
      </c>
      <c r="U398">
        <v>1213.5899999999999</v>
      </c>
      <c r="V398">
        <v>956.22</v>
      </c>
      <c r="W398">
        <v>257.37</v>
      </c>
      <c r="X398" t="s">
        <v>32</v>
      </c>
      <c r="Y398" t="s">
        <v>33</v>
      </c>
      <c r="Z398" t="str">
        <f t="shared" si="84"/>
        <v>Unique</v>
      </c>
      <c r="AA398" t="str">
        <f t="shared" si="85"/>
        <v>Unique</v>
      </c>
      <c r="AB398" t="str">
        <f t="shared" si="89"/>
        <v>OK</v>
      </c>
      <c r="AC398">
        <f t="shared" si="90"/>
        <v>0.05</v>
      </c>
      <c r="AD398" t="str">
        <f t="shared" si="91"/>
        <v>OK</v>
      </c>
      <c r="AE398">
        <f t="shared" si="92"/>
        <v>1213.587</v>
      </c>
      <c r="AF398">
        <f t="shared" si="93"/>
        <v>257.36699999999996</v>
      </c>
      <c r="AG398">
        <f t="shared" si="94"/>
        <v>0.21207132245154239</v>
      </c>
      <c r="AH398" t="str">
        <f t="shared" si="86"/>
        <v>April</v>
      </c>
      <c r="AI398">
        <f t="shared" si="87"/>
        <v>2025</v>
      </c>
      <c r="AJ398" t="str">
        <f t="shared" si="95"/>
        <v>OK</v>
      </c>
      <c r="AK398" t="str">
        <f t="shared" si="96"/>
        <v>OK</v>
      </c>
      <c r="AL398" t="str">
        <f t="shared" si="97"/>
        <v>Include</v>
      </c>
      <c r="AM398" t="str">
        <f t="shared" si="88"/>
        <v>Clean</v>
      </c>
    </row>
    <row r="399" spans="1:39">
      <c r="A399" t="s">
        <v>1293</v>
      </c>
      <c r="B399" s="4">
        <v>45817</v>
      </c>
      <c r="C399" s="4">
        <v>45818</v>
      </c>
      <c r="D399" s="6">
        <v>1</v>
      </c>
      <c r="E399" t="s">
        <v>2788</v>
      </c>
      <c r="F399" t="s">
        <v>2788</v>
      </c>
      <c r="G399" t="s">
        <v>2788</v>
      </c>
      <c r="H399" t="s">
        <v>1294</v>
      </c>
      <c r="I399" t="s">
        <v>132</v>
      </c>
      <c r="J399" t="s">
        <v>37</v>
      </c>
      <c r="K399" t="s">
        <v>25</v>
      </c>
      <c r="L399" t="s">
        <v>136</v>
      </c>
      <c r="M399" t="s">
        <v>137</v>
      </c>
      <c r="N399" t="s">
        <v>41</v>
      </c>
      <c r="O399" t="s">
        <v>42</v>
      </c>
      <c r="P399" t="s">
        <v>1295</v>
      </c>
      <c r="Q399" t="s">
        <v>31</v>
      </c>
      <c r="R399">
        <v>2</v>
      </c>
      <c r="S399">
        <v>1731.88</v>
      </c>
      <c r="T399">
        <v>0</v>
      </c>
      <c r="U399">
        <v>3463.76</v>
      </c>
      <c r="V399">
        <v>2143.7399999999998</v>
      </c>
      <c r="W399">
        <v>1320.02</v>
      </c>
      <c r="X399" t="s">
        <v>32</v>
      </c>
      <c r="Y399" t="s">
        <v>33</v>
      </c>
      <c r="Z399" t="str">
        <f t="shared" si="84"/>
        <v>Unique</v>
      </c>
      <c r="AA399" t="str">
        <f t="shared" si="85"/>
        <v>Unique</v>
      </c>
      <c r="AB399" t="str">
        <f t="shared" si="89"/>
        <v>OK</v>
      </c>
      <c r="AC399">
        <f t="shared" si="90"/>
        <v>0</v>
      </c>
      <c r="AD399" t="str">
        <f t="shared" si="91"/>
        <v>OK</v>
      </c>
      <c r="AE399">
        <f t="shared" si="92"/>
        <v>3463.76</v>
      </c>
      <c r="AF399">
        <f t="shared" si="93"/>
        <v>1320.0200000000004</v>
      </c>
      <c r="AG399">
        <f t="shared" si="94"/>
        <v>0.38109453310852959</v>
      </c>
      <c r="AH399" t="str">
        <f t="shared" si="86"/>
        <v>June</v>
      </c>
      <c r="AI399">
        <f t="shared" si="87"/>
        <v>2025</v>
      </c>
      <c r="AJ399" t="str">
        <f t="shared" si="95"/>
        <v>OK</v>
      </c>
      <c r="AK399" t="str">
        <f t="shared" si="96"/>
        <v>OK</v>
      </c>
      <c r="AL399" t="str">
        <f t="shared" si="97"/>
        <v>Include</v>
      </c>
      <c r="AM399" t="str">
        <f t="shared" si="88"/>
        <v>Clean</v>
      </c>
    </row>
    <row r="400" spans="1:39">
      <c r="A400" t="s">
        <v>1296</v>
      </c>
      <c r="B400" s="4">
        <v>45492</v>
      </c>
      <c r="C400" s="4">
        <v>45499</v>
      </c>
      <c r="D400" s="6">
        <v>7</v>
      </c>
      <c r="E400" t="s">
        <v>2788</v>
      </c>
      <c r="F400" t="s">
        <v>2788</v>
      </c>
      <c r="G400" t="s">
        <v>2788</v>
      </c>
      <c r="H400" t="s">
        <v>1297</v>
      </c>
      <c r="I400" t="s">
        <v>71</v>
      </c>
      <c r="J400" t="s">
        <v>90</v>
      </c>
      <c r="K400" t="s">
        <v>25</v>
      </c>
      <c r="L400" t="s">
        <v>122</v>
      </c>
      <c r="M400" t="s">
        <v>123</v>
      </c>
      <c r="N400" t="s">
        <v>74</v>
      </c>
      <c r="O400" t="s">
        <v>274</v>
      </c>
      <c r="P400" t="s">
        <v>1298</v>
      </c>
      <c r="Q400" t="s">
        <v>44</v>
      </c>
      <c r="R400">
        <v>2</v>
      </c>
      <c r="S400">
        <v>1263.6500000000001</v>
      </c>
      <c r="T400">
        <v>0.2</v>
      </c>
      <c r="U400">
        <v>2021.84</v>
      </c>
      <c r="V400">
        <v>1355.22</v>
      </c>
      <c r="W400">
        <v>666.62</v>
      </c>
      <c r="X400" t="s">
        <v>32</v>
      </c>
      <c r="Y400" t="s">
        <v>33</v>
      </c>
      <c r="Z400" t="str">
        <f t="shared" si="84"/>
        <v>Unique</v>
      </c>
      <c r="AA400" t="str">
        <f t="shared" si="85"/>
        <v>Unique</v>
      </c>
      <c r="AB400" t="str">
        <f t="shared" si="89"/>
        <v>OK</v>
      </c>
      <c r="AC400">
        <f t="shared" si="90"/>
        <v>0.2</v>
      </c>
      <c r="AD400" t="str">
        <f t="shared" si="91"/>
        <v>OK</v>
      </c>
      <c r="AE400">
        <f t="shared" si="92"/>
        <v>2021.8400000000001</v>
      </c>
      <c r="AF400">
        <f t="shared" si="93"/>
        <v>666.62000000000012</v>
      </c>
      <c r="AG400">
        <f t="shared" si="94"/>
        <v>0.32970957147944452</v>
      </c>
      <c r="AH400" t="str">
        <f t="shared" si="86"/>
        <v>July</v>
      </c>
      <c r="AI400">
        <f t="shared" si="87"/>
        <v>2024</v>
      </c>
      <c r="AJ400" t="str">
        <f t="shared" si="95"/>
        <v>OK</v>
      </c>
      <c r="AK400" t="str">
        <f t="shared" si="96"/>
        <v>OK</v>
      </c>
      <c r="AL400" t="str">
        <f t="shared" si="97"/>
        <v>Include</v>
      </c>
      <c r="AM400" t="str">
        <f t="shared" si="88"/>
        <v>Clean</v>
      </c>
    </row>
    <row r="401" spans="1:39">
      <c r="A401" t="s">
        <v>1299</v>
      </c>
      <c r="B401" s="4">
        <v>45771</v>
      </c>
      <c r="C401" s="4">
        <v>45776</v>
      </c>
      <c r="D401" s="6">
        <v>5</v>
      </c>
      <c r="E401" t="s">
        <v>2788</v>
      </c>
      <c r="F401" t="s">
        <v>2788</v>
      </c>
      <c r="G401" t="s">
        <v>2788</v>
      </c>
      <c r="H401" t="s">
        <v>1300</v>
      </c>
      <c r="I401" t="s">
        <v>162</v>
      </c>
      <c r="J401" t="s">
        <v>37</v>
      </c>
      <c r="K401" t="s">
        <v>54</v>
      </c>
      <c r="L401" t="s">
        <v>84</v>
      </c>
      <c r="M401" t="s">
        <v>85</v>
      </c>
      <c r="N401" t="s">
        <v>28</v>
      </c>
      <c r="O401" t="s">
        <v>29</v>
      </c>
      <c r="P401" t="s">
        <v>1301</v>
      </c>
      <c r="Q401" t="s">
        <v>44</v>
      </c>
      <c r="R401">
        <v>1</v>
      </c>
      <c r="S401">
        <v>4358.5</v>
      </c>
      <c r="T401">
        <v>0.25</v>
      </c>
      <c r="U401">
        <v>3268.88</v>
      </c>
      <c r="V401">
        <v>1993.74</v>
      </c>
      <c r="W401">
        <v>1275.1400000000001</v>
      </c>
      <c r="X401" t="s">
        <v>32</v>
      </c>
      <c r="Y401" t="s">
        <v>33</v>
      </c>
      <c r="Z401" t="str">
        <f t="shared" si="84"/>
        <v>Exact Duplicate</v>
      </c>
      <c r="AA401" t="str">
        <f t="shared" si="85"/>
        <v>Duplicate Order ID</v>
      </c>
      <c r="AB401" t="str">
        <f t="shared" si="89"/>
        <v>OK</v>
      </c>
      <c r="AC401">
        <f t="shared" si="90"/>
        <v>0.25</v>
      </c>
      <c r="AD401" t="str">
        <f t="shared" si="91"/>
        <v>OK</v>
      </c>
      <c r="AE401">
        <f t="shared" si="92"/>
        <v>3268.875</v>
      </c>
      <c r="AF401">
        <f t="shared" si="93"/>
        <v>1275.135</v>
      </c>
      <c r="AG401">
        <f t="shared" si="94"/>
        <v>0.39008374440747962</v>
      </c>
      <c r="AH401" t="str">
        <f t="shared" si="86"/>
        <v>April</v>
      </c>
      <c r="AI401">
        <f t="shared" si="87"/>
        <v>2025</v>
      </c>
      <c r="AJ401" t="str">
        <f t="shared" si="95"/>
        <v>OK</v>
      </c>
      <c r="AK401" t="str">
        <f t="shared" si="96"/>
        <v>OK</v>
      </c>
      <c r="AL401" t="str">
        <f t="shared" si="97"/>
        <v>Include</v>
      </c>
      <c r="AM401" t="str">
        <f t="shared" si="88"/>
        <v>Clean</v>
      </c>
    </row>
    <row r="402" spans="1:39">
      <c r="A402" t="s">
        <v>1302</v>
      </c>
      <c r="B402" s="4">
        <v>45814</v>
      </c>
      <c r="C402" s="4">
        <v>45819</v>
      </c>
      <c r="D402" s="6">
        <v>5</v>
      </c>
      <c r="E402" t="s">
        <v>2788</v>
      </c>
      <c r="F402" t="s">
        <v>2788</v>
      </c>
      <c r="G402" t="s">
        <v>2788</v>
      </c>
      <c r="H402" t="s">
        <v>1303</v>
      </c>
      <c r="I402" t="s">
        <v>132</v>
      </c>
      <c r="J402" t="s">
        <v>37</v>
      </c>
      <c r="K402" t="s">
        <v>25</v>
      </c>
      <c r="L402" t="s">
        <v>136</v>
      </c>
      <c r="M402" t="s">
        <v>137</v>
      </c>
      <c r="N402" t="s">
        <v>28</v>
      </c>
      <c r="O402" t="s">
        <v>29</v>
      </c>
      <c r="P402" t="s">
        <v>1304</v>
      </c>
      <c r="Q402" t="s">
        <v>44</v>
      </c>
      <c r="R402">
        <v>7</v>
      </c>
      <c r="S402">
        <v>878.09</v>
      </c>
      <c r="T402">
        <v>-0.1</v>
      </c>
      <c r="U402">
        <v>5839.3</v>
      </c>
      <c r="V402">
        <v>4877.38</v>
      </c>
      <c r="W402">
        <v>961.92</v>
      </c>
      <c r="X402" t="s">
        <v>32</v>
      </c>
      <c r="Y402" t="s">
        <v>33</v>
      </c>
      <c r="Z402" t="str">
        <f t="shared" si="84"/>
        <v>Unique</v>
      </c>
      <c r="AA402" t="str">
        <f t="shared" si="85"/>
        <v>Unique</v>
      </c>
      <c r="AB402" t="str">
        <f t="shared" si="89"/>
        <v>OK</v>
      </c>
      <c r="AC402">
        <f t="shared" si="90"/>
        <v>-0.1</v>
      </c>
      <c r="AD402" t="str">
        <f t="shared" si="91"/>
        <v>Invalid Negative Discount</v>
      </c>
      <c r="AE402">
        <f t="shared" si="92"/>
        <v>6761.2930000000006</v>
      </c>
      <c r="AF402">
        <f t="shared" si="93"/>
        <v>1883.9130000000005</v>
      </c>
      <c r="AG402">
        <f t="shared" si="94"/>
        <v>0.27863206046535777</v>
      </c>
      <c r="AH402" t="str">
        <f t="shared" si="86"/>
        <v>June</v>
      </c>
      <c r="AI402">
        <f t="shared" si="87"/>
        <v>2025</v>
      </c>
      <c r="AJ402" t="str">
        <f t="shared" si="95"/>
        <v>Sales Mismatch</v>
      </c>
      <c r="AK402" t="str">
        <f t="shared" si="96"/>
        <v>Profit Mismatch</v>
      </c>
      <c r="AL402" t="str">
        <f t="shared" si="97"/>
        <v>Include</v>
      </c>
      <c r="AM402" t="str">
        <f t="shared" si="88"/>
        <v>Invalid</v>
      </c>
    </row>
    <row r="403" spans="1:39">
      <c r="A403" t="s">
        <v>1305</v>
      </c>
      <c r="B403" s="4">
        <v>45725</v>
      </c>
      <c r="C403" s="4">
        <v>45732</v>
      </c>
      <c r="D403" s="6">
        <v>7</v>
      </c>
      <c r="E403" t="s">
        <v>2788</v>
      </c>
      <c r="F403" t="s">
        <v>2788</v>
      </c>
      <c r="G403" t="s">
        <v>2788</v>
      </c>
      <c r="H403" t="s">
        <v>1306</v>
      </c>
      <c r="I403" t="s">
        <v>53</v>
      </c>
      <c r="J403" t="s">
        <v>37</v>
      </c>
      <c r="K403" t="s">
        <v>38</v>
      </c>
      <c r="L403" t="s">
        <v>228</v>
      </c>
      <c r="M403" t="s">
        <v>229</v>
      </c>
      <c r="N403" t="s">
        <v>41</v>
      </c>
      <c r="O403" t="s">
        <v>42</v>
      </c>
      <c r="P403" t="s">
        <v>1307</v>
      </c>
      <c r="Q403" t="s">
        <v>44</v>
      </c>
      <c r="R403">
        <v>3</v>
      </c>
      <c r="S403">
        <v>2625.85</v>
      </c>
      <c r="T403">
        <v>0</v>
      </c>
      <c r="U403">
        <v>7877.55</v>
      </c>
      <c r="V403">
        <v>5562.77</v>
      </c>
      <c r="W403">
        <v>2314.7800000000002</v>
      </c>
      <c r="X403" t="s">
        <v>32</v>
      </c>
      <c r="Y403" t="s">
        <v>33</v>
      </c>
      <c r="Z403" t="str">
        <f t="shared" si="84"/>
        <v>Unique</v>
      </c>
      <c r="AA403" t="str">
        <f t="shared" si="85"/>
        <v>Unique</v>
      </c>
      <c r="AB403" t="str">
        <f t="shared" si="89"/>
        <v>OK</v>
      </c>
      <c r="AC403">
        <f t="shared" si="90"/>
        <v>0</v>
      </c>
      <c r="AD403" t="str">
        <f t="shared" si="91"/>
        <v>OK</v>
      </c>
      <c r="AE403">
        <f t="shared" si="92"/>
        <v>7877.5499999999993</v>
      </c>
      <c r="AF403">
        <f t="shared" si="93"/>
        <v>2314.7799999999988</v>
      </c>
      <c r="AG403">
        <f t="shared" si="94"/>
        <v>0.29384516759652418</v>
      </c>
      <c r="AH403" t="str">
        <f t="shared" si="86"/>
        <v>March</v>
      </c>
      <c r="AI403">
        <f t="shared" si="87"/>
        <v>2025</v>
      </c>
      <c r="AJ403" t="str">
        <f t="shared" si="95"/>
        <v>OK</v>
      </c>
      <c r="AK403" t="str">
        <f t="shared" si="96"/>
        <v>OK</v>
      </c>
      <c r="AL403" t="str">
        <f t="shared" si="97"/>
        <v>Include</v>
      </c>
      <c r="AM403" t="str">
        <f t="shared" si="88"/>
        <v>Clean</v>
      </c>
    </row>
    <row r="404" spans="1:39">
      <c r="A404" t="s">
        <v>1308</v>
      </c>
      <c r="B404" s="4">
        <v>45373</v>
      </c>
      <c r="C404" s="4">
        <v>45373</v>
      </c>
      <c r="D404" s="6">
        <v>0</v>
      </c>
      <c r="E404" t="s">
        <v>2788</v>
      </c>
      <c r="F404" t="s">
        <v>2788</v>
      </c>
      <c r="G404" t="s">
        <v>2788</v>
      </c>
      <c r="H404" t="s">
        <v>1309</v>
      </c>
      <c r="I404" t="s">
        <v>114</v>
      </c>
      <c r="J404" t="s">
        <v>37</v>
      </c>
      <c r="K404" t="s">
        <v>54</v>
      </c>
      <c r="L404" t="s">
        <v>175</v>
      </c>
      <c r="M404" t="s">
        <v>176</v>
      </c>
      <c r="N404" t="s">
        <v>41</v>
      </c>
      <c r="O404" t="s">
        <v>42</v>
      </c>
      <c r="P404" t="s">
        <v>1310</v>
      </c>
      <c r="Q404" t="s">
        <v>2783</v>
      </c>
      <c r="R404">
        <v>3</v>
      </c>
      <c r="S404">
        <v>1365.26</v>
      </c>
      <c r="T404">
        <v>0</v>
      </c>
      <c r="U404">
        <v>4095.78</v>
      </c>
      <c r="V404">
        <v>2807.77</v>
      </c>
      <c r="W404">
        <v>1288.01</v>
      </c>
      <c r="X404" t="s">
        <v>32</v>
      </c>
      <c r="Y404" t="s">
        <v>33</v>
      </c>
      <c r="Z404" t="str">
        <f t="shared" si="84"/>
        <v>Unique</v>
      </c>
      <c r="AA404" t="str">
        <f t="shared" si="85"/>
        <v>Unique</v>
      </c>
      <c r="AB404" t="str">
        <f t="shared" si="89"/>
        <v>OK</v>
      </c>
      <c r="AC404">
        <f t="shared" si="90"/>
        <v>0</v>
      </c>
      <c r="AD404" t="str">
        <f t="shared" si="91"/>
        <v>OK</v>
      </c>
      <c r="AE404">
        <f t="shared" si="92"/>
        <v>4095.7799999999997</v>
      </c>
      <c r="AF404">
        <f t="shared" si="93"/>
        <v>1288.0099999999998</v>
      </c>
      <c r="AG404">
        <f t="shared" si="94"/>
        <v>0.31447245701673426</v>
      </c>
      <c r="AH404" t="str">
        <f t="shared" si="86"/>
        <v>March</v>
      </c>
      <c r="AI404">
        <f t="shared" si="87"/>
        <v>2024</v>
      </c>
      <c r="AJ404" t="str">
        <f t="shared" si="95"/>
        <v>OK</v>
      </c>
      <c r="AK404" t="str">
        <f t="shared" si="96"/>
        <v>OK</v>
      </c>
      <c r="AL404" t="str">
        <f t="shared" si="97"/>
        <v>Include</v>
      </c>
      <c r="AM404" t="str">
        <f t="shared" si="88"/>
        <v>Clean</v>
      </c>
    </row>
    <row r="405" spans="1:39">
      <c r="A405" t="s">
        <v>1311</v>
      </c>
      <c r="B405" s="4">
        <v>45565</v>
      </c>
      <c r="C405" s="4">
        <v>45569</v>
      </c>
      <c r="D405" s="6">
        <v>4</v>
      </c>
      <c r="E405" t="s">
        <v>2788</v>
      </c>
      <c r="F405" t="s">
        <v>2788</v>
      </c>
      <c r="G405" t="s">
        <v>2788</v>
      </c>
      <c r="H405" t="s">
        <v>1312</v>
      </c>
      <c r="I405" t="s">
        <v>53</v>
      </c>
      <c r="J405" t="s">
        <v>37</v>
      </c>
      <c r="K405" t="s">
        <v>54</v>
      </c>
      <c r="L405" t="s">
        <v>185</v>
      </c>
      <c r="M405" t="s">
        <v>186</v>
      </c>
      <c r="N405" t="s">
        <v>28</v>
      </c>
      <c r="O405" t="s">
        <v>29</v>
      </c>
      <c r="P405" t="s">
        <v>1313</v>
      </c>
      <c r="Q405" t="s">
        <v>44</v>
      </c>
      <c r="R405">
        <v>5</v>
      </c>
      <c r="S405">
        <v>3512.25</v>
      </c>
      <c r="T405">
        <v>0.05</v>
      </c>
      <c r="U405">
        <v>16683.189999999999</v>
      </c>
      <c r="V405">
        <v>10301.16</v>
      </c>
      <c r="W405">
        <v>6382.03</v>
      </c>
      <c r="X405" t="s">
        <v>32</v>
      </c>
      <c r="Y405" t="s">
        <v>103</v>
      </c>
      <c r="Z405" t="str">
        <f t="shared" si="84"/>
        <v>Unique</v>
      </c>
      <c r="AA405" t="str">
        <f t="shared" si="85"/>
        <v>Unique</v>
      </c>
      <c r="AB405" t="str">
        <f t="shared" si="89"/>
        <v>OK</v>
      </c>
      <c r="AC405">
        <f t="shared" si="90"/>
        <v>0.05</v>
      </c>
      <c r="AD405" t="str">
        <f t="shared" si="91"/>
        <v>OK</v>
      </c>
      <c r="AE405">
        <f t="shared" si="92"/>
        <v>16683.1875</v>
      </c>
      <c r="AF405">
        <f t="shared" si="93"/>
        <v>6382.0275000000001</v>
      </c>
      <c r="AG405">
        <f t="shared" si="94"/>
        <v>0.38254245479168775</v>
      </c>
      <c r="AH405" t="str">
        <f t="shared" si="86"/>
        <v>September</v>
      </c>
      <c r="AI405">
        <f t="shared" si="87"/>
        <v>2024</v>
      </c>
      <c r="AJ405" t="str">
        <f t="shared" si="95"/>
        <v>OK</v>
      </c>
      <c r="AK405" t="str">
        <f t="shared" si="96"/>
        <v>OK</v>
      </c>
      <c r="AL405" t="str">
        <f t="shared" si="97"/>
        <v>Exclude</v>
      </c>
      <c r="AM405" t="str">
        <f t="shared" si="88"/>
        <v>Clean</v>
      </c>
    </row>
    <row r="406" spans="1:39">
      <c r="A406" t="s">
        <v>1314</v>
      </c>
      <c r="B406" s="4">
        <v>45318</v>
      </c>
      <c r="C406" s="4">
        <v>45325</v>
      </c>
      <c r="D406" s="6">
        <v>7</v>
      </c>
      <c r="E406" t="s">
        <v>2788</v>
      </c>
      <c r="F406" t="s">
        <v>2788</v>
      </c>
      <c r="G406" t="s">
        <v>2788</v>
      </c>
      <c r="H406" t="s">
        <v>1315</v>
      </c>
      <c r="I406" t="s">
        <v>89</v>
      </c>
      <c r="J406" t="s">
        <v>90</v>
      </c>
      <c r="K406" t="s">
        <v>63</v>
      </c>
      <c r="L406" t="s">
        <v>26</v>
      </c>
      <c r="M406" t="s">
        <v>109</v>
      </c>
      <c r="N406" t="s">
        <v>41</v>
      </c>
      <c r="O406" t="s">
        <v>66</v>
      </c>
      <c r="P406" t="s">
        <v>1316</v>
      </c>
      <c r="Q406" t="s">
        <v>44</v>
      </c>
      <c r="R406">
        <v>3</v>
      </c>
      <c r="S406">
        <v>359.61</v>
      </c>
      <c r="T406">
        <v>0</v>
      </c>
      <c r="U406">
        <v>1078.83</v>
      </c>
      <c r="V406">
        <v>926.35</v>
      </c>
      <c r="W406">
        <v>152.47999999999999</v>
      </c>
      <c r="X406" t="s">
        <v>32</v>
      </c>
      <c r="Y406" t="s">
        <v>33</v>
      </c>
      <c r="Z406" t="str">
        <f t="shared" si="84"/>
        <v>Unique</v>
      </c>
      <c r="AA406" t="str">
        <f t="shared" si="85"/>
        <v>Unique</v>
      </c>
      <c r="AB406" t="str">
        <f t="shared" si="89"/>
        <v>OK</v>
      </c>
      <c r="AC406">
        <f t="shared" si="90"/>
        <v>0</v>
      </c>
      <c r="AD406" t="str">
        <f t="shared" si="91"/>
        <v>OK</v>
      </c>
      <c r="AE406">
        <f t="shared" si="92"/>
        <v>1078.83</v>
      </c>
      <c r="AF406">
        <f t="shared" si="93"/>
        <v>152.4799999999999</v>
      </c>
      <c r="AG406">
        <f t="shared" si="94"/>
        <v>0.14133830167867034</v>
      </c>
      <c r="AH406" t="str">
        <f t="shared" si="86"/>
        <v>January</v>
      </c>
      <c r="AI406">
        <f t="shared" si="87"/>
        <v>2024</v>
      </c>
      <c r="AJ406" t="str">
        <f t="shared" si="95"/>
        <v>OK</v>
      </c>
      <c r="AK406" t="str">
        <f t="shared" si="96"/>
        <v>OK</v>
      </c>
      <c r="AL406" t="str">
        <f t="shared" si="97"/>
        <v>Include</v>
      </c>
      <c r="AM406" t="str">
        <f t="shared" si="88"/>
        <v>Clean</v>
      </c>
    </row>
    <row r="407" spans="1:39">
      <c r="A407" t="s">
        <v>1317</v>
      </c>
      <c r="B407" s="4">
        <v>45558</v>
      </c>
      <c r="C407" s="4">
        <v>45559</v>
      </c>
      <c r="D407" s="6">
        <v>1</v>
      </c>
      <c r="E407" t="s">
        <v>2788</v>
      </c>
      <c r="F407" t="s">
        <v>2788</v>
      </c>
      <c r="G407" t="s">
        <v>2788</v>
      </c>
      <c r="H407" t="s">
        <v>1318</v>
      </c>
      <c r="I407" t="s">
        <v>89</v>
      </c>
      <c r="J407" t="s">
        <v>95</v>
      </c>
      <c r="K407" t="s">
        <v>63</v>
      </c>
      <c r="L407" t="s">
        <v>180</v>
      </c>
      <c r="M407" t="s">
        <v>181</v>
      </c>
      <c r="N407" t="s">
        <v>41</v>
      </c>
      <c r="O407" t="s">
        <v>158</v>
      </c>
      <c r="P407" t="s">
        <v>1319</v>
      </c>
      <c r="Q407" t="s">
        <v>2783</v>
      </c>
      <c r="R407">
        <v>7</v>
      </c>
      <c r="S407">
        <v>3878.01</v>
      </c>
      <c r="T407">
        <v>0.1</v>
      </c>
      <c r="U407">
        <v>24431.46</v>
      </c>
      <c r="V407">
        <v>18202.36</v>
      </c>
      <c r="W407">
        <v>6229.1</v>
      </c>
      <c r="X407" t="s">
        <v>32</v>
      </c>
      <c r="Y407" t="s">
        <v>33</v>
      </c>
      <c r="Z407" t="str">
        <f t="shared" si="84"/>
        <v>Unique</v>
      </c>
      <c r="AA407" t="str">
        <f t="shared" si="85"/>
        <v>Unique</v>
      </c>
      <c r="AB407" t="str">
        <f t="shared" si="89"/>
        <v>OK</v>
      </c>
      <c r="AC407">
        <f t="shared" si="90"/>
        <v>0.1</v>
      </c>
      <c r="AD407" t="str">
        <f t="shared" si="91"/>
        <v>OK</v>
      </c>
      <c r="AE407">
        <f t="shared" si="92"/>
        <v>24431.463</v>
      </c>
      <c r="AF407">
        <f t="shared" si="93"/>
        <v>6229.1029999999992</v>
      </c>
      <c r="AG407">
        <f t="shared" si="94"/>
        <v>0.25496234097810677</v>
      </c>
      <c r="AH407" t="str">
        <f t="shared" si="86"/>
        <v>September</v>
      </c>
      <c r="AI407">
        <f t="shared" si="87"/>
        <v>2024</v>
      </c>
      <c r="AJ407" t="str">
        <f t="shared" si="95"/>
        <v>OK</v>
      </c>
      <c r="AK407" t="str">
        <f t="shared" si="96"/>
        <v>OK</v>
      </c>
      <c r="AL407" t="str">
        <f t="shared" si="97"/>
        <v>Include</v>
      </c>
      <c r="AM407" t="str">
        <f t="shared" si="88"/>
        <v>Clean</v>
      </c>
    </row>
    <row r="408" spans="1:39">
      <c r="A408" t="s">
        <v>1320</v>
      </c>
      <c r="B408" s="4">
        <v>45713</v>
      </c>
      <c r="C408" s="4">
        <v>45713</v>
      </c>
      <c r="D408" s="6">
        <v>0</v>
      </c>
      <c r="E408" t="s">
        <v>2788</v>
      </c>
      <c r="F408" t="s">
        <v>2788</v>
      </c>
      <c r="G408" t="s">
        <v>2788</v>
      </c>
      <c r="H408" t="s">
        <v>1321</v>
      </c>
      <c r="I408" t="s">
        <v>264</v>
      </c>
      <c r="J408" t="s">
        <v>37</v>
      </c>
      <c r="K408" t="s">
        <v>63</v>
      </c>
      <c r="L408" t="s">
        <v>190</v>
      </c>
      <c r="M408" t="s">
        <v>191</v>
      </c>
      <c r="N408" t="s">
        <v>41</v>
      </c>
      <c r="O408" t="s">
        <v>57</v>
      </c>
      <c r="P408" t="s">
        <v>1322</v>
      </c>
      <c r="Q408" t="s">
        <v>59</v>
      </c>
      <c r="R408">
        <v>2</v>
      </c>
      <c r="S408">
        <v>3924.2</v>
      </c>
      <c r="T408">
        <v>0.25</v>
      </c>
      <c r="U408">
        <v>5886.3</v>
      </c>
      <c r="V408">
        <v>3621.76</v>
      </c>
      <c r="W408">
        <v>2264.54</v>
      </c>
      <c r="X408" t="s">
        <v>111</v>
      </c>
      <c r="Y408" t="s">
        <v>103</v>
      </c>
      <c r="Z408" t="str">
        <f t="shared" si="84"/>
        <v>Unique</v>
      </c>
      <c r="AA408" t="str">
        <f t="shared" si="85"/>
        <v>Unique</v>
      </c>
      <c r="AB408" t="str">
        <f t="shared" si="89"/>
        <v>OK</v>
      </c>
      <c r="AC408">
        <f t="shared" si="90"/>
        <v>0.25</v>
      </c>
      <c r="AD408" t="str">
        <f t="shared" si="91"/>
        <v>OK</v>
      </c>
      <c r="AE408">
        <f t="shared" si="92"/>
        <v>5886.2999999999993</v>
      </c>
      <c r="AF408">
        <f t="shared" si="93"/>
        <v>2264.5399999999991</v>
      </c>
      <c r="AG408">
        <f t="shared" si="94"/>
        <v>0.38471365713606159</v>
      </c>
      <c r="AH408" t="str">
        <f t="shared" si="86"/>
        <v>February</v>
      </c>
      <c r="AI408">
        <f t="shared" si="87"/>
        <v>2025</v>
      </c>
      <c r="AJ408" t="str">
        <f t="shared" si="95"/>
        <v>OK</v>
      </c>
      <c r="AK408" t="str">
        <f t="shared" si="96"/>
        <v>OK</v>
      </c>
      <c r="AL408" t="str">
        <f t="shared" si="97"/>
        <v>Exclude</v>
      </c>
      <c r="AM408" t="str">
        <f t="shared" si="88"/>
        <v>Clean</v>
      </c>
    </row>
    <row r="409" spans="1:39">
      <c r="A409" t="s">
        <v>1323</v>
      </c>
      <c r="B409" s="4">
        <v>45424</v>
      </c>
      <c r="C409" s="4">
        <v>45425</v>
      </c>
      <c r="D409" s="6">
        <v>1</v>
      </c>
      <c r="E409" t="s">
        <v>2788</v>
      </c>
      <c r="F409" t="s">
        <v>2788</v>
      </c>
      <c r="G409" t="s">
        <v>2788</v>
      </c>
      <c r="H409" t="s">
        <v>1324</v>
      </c>
      <c r="I409" t="s">
        <v>118</v>
      </c>
      <c r="J409" t="s">
        <v>90</v>
      </c>
      <c r="K409" t="s">
        <v>63</v>
      </c>
      <c r="L409" t="s">
        <v>190</v>
      </c>
      <c r="M409" t="s">
        <v>191</v>
      </c>
      <c r="N409" t="s">
        <v>28</v>
      </c>
      <c r="O409" t="s">
        <v>91</v>
      </c>
      <c r="P409" t="s">
        <v>1325</v>
      </c>
      <c r="Q409" t="s">
        <v>31</v>
      </c>
      <c r="R409">
        <v>3</v>
      </c>
      <c r="S409">
        <v>2644.55</v>
      </c>
      <c r="T409">
        <v>0</v>
      </c>
      <c r="U409">
        <v>7933.65</v>
      </c>
      <c r="V409">
        <v>5698.42</v>
      </c>
      <c r="W409">
        <v>2235.23</v>
      </c>
      <c r="X409" t="s">
        <v>32</v>
      </c>
      <c r="Y409" t="s">
        <v>33</v>
      </c>
      <c r="Z409" t="str">
        <f t="shared" si="84"/>
        <v>Unique</v>
      </c>
      <c r="AA409" t="str">
        <f t="shared" si="85"/>
        <v>Unique</v>
      </c>
      <c r="AB409" t="str">
        <f t="shared" si="89"/>
        <v>OK</v>
      </c>
      <c r="AC409">
        <f t="shared" si="90"/>
        <v>0</v>
      </c>
      <c r="AD409" t="str">
        <f t="shared" si="91"/>
        <v>OK</v>
      </c>
      <c r="AE409">
        <f t="shared" si="92"/>
        <v>7933.6500000000005</v>
      </c>
      <c r="AF409">
        <f t="shared" si="93"/>
        <v>2235.2300000000005</v>
      </c>
      <c r="AG409">
        <f t="shared" si="94"/>
        <v>0.2817404347305465</v>
      </c>
      <c r="AH409" t="str">
        <f t="shared" si="86"/>
        <v>May</v>
      </c>
      <c r="AI409">
        <f t="shared" si="87"/>
        <v>2024</v>
      </c>
      <c r="AJ409" t="str">
        <f t="shared" si="95"/>
        <v>OK</v>
      </c>
      <c r="AK409" t="str">
        <f t="shared" si="96"/>
        <v>OK</v>
      </c>
      <c r="AL409" t="str">
        <f t="shared" si="97"/>
        <v>Include</v>
      </c>
      <c r="AM409" t="str">
        <f t="shared" si="88"/>
        <v>Clean</v>
      </c>
    </row>
    <row r="410" spans="1:39">
      <c r="A410" t="s">
        <v>1326</v>
      </c>
      <c r="B410" s="4">
        <v>45870</v>
      </c>
      <c r="C410" s="4">
        <v>45872</v>
      </c>
      <c r="D410" s="6">
        <v>2</v>
      </c>
      <c r="E410" t="s">
        <v>2788</v>
      </c>
      <c r="F410" t="s">
        <v>2788</v>
      </c>
      <c r="G410" t="s">
        <v>2788</v>
      </c>
      <c r="H410" t="s">
        <v>1327</v>
      </c>
      <c r="I410" t="s">
        <v>132</v>
      </c>
      <c r="J410" t="s">
        <v>24</v>
      </c>
      <c r="K410" t="s">
        <v>63</v>
      </c>
      <c r="L410" t="s">
        <v>64</v>
      </c>
      <c r="M410" t="s">
        <v>65</v>
      </c>
      <c r="N410" t="s">
        <v>41</v>
      </c>
      <c r="O410" t="s">
        <v>66</v>
      </c>
      <c r="P410" t="s">
        <v>1328</v>
      </c>
      <c r="Q410" t="s">
        <v>50</v>
      </c>
      <c r="R410">
        <v>4</v>
      </c>
      <c r="S410">
        <v>1773.46</v>
      </c>
      <c r="T410">
        <v>0</v>
      </c>
      <c r="U410">
        <v>7093.84</v>
      </c>
      <c r="V410">
        <v>4587.49</v>
      </c>
      <c r="W410">
        <v>2506.35</v>
      </c>
      <c r="X410" t="s">
        <v>155</v>
      </c>
      <c r="Y410" t="s">
        <v>103</v>
      </c>
      <c r="Z410" t="str">
        <f t="shared" si="84"/>
        <v>Unique</v>
      </c>
      <c r="AA410" t="str">
        <f t="shared" si="85"/>
        <v>Unique</v>
      </c>
      <c r="AB410" t="str">
        <f t="shared" si="89"/>
        <v>OK</v>
      </c>
      <c r="AC410">
        <f t="shared" si="90"/>
        <v>0</v>
      </c>
      <c r="AD410" t="str">
        <f t="shared" si="91"/>
        <v>OK</v>
      </c>
      <c r="AE410">
        <f t="shared" si="92"/>
        <v>7093.84</v>
      </c>
      <c r="AF410">
        <f t="shared" si="93"/>
        <v>2506.3500000000004</v>
      </c>
      <c r="AG410">
        <f t="shared" si="94"/>
        <v>0.35331357910525191</v>
      </c>
      <c r="AH410" t="str">
        <f t="shared" si="86"/>
        <v>August</v>
      </c>
      <c r="AI410">
        <f t="shared" si="87"/>
        <v>2025</v>
      </c>
      <c r="AJ410" t="str">
        <f t="shared" si="95"/>
        <v>OK</v>
      </c>
      <c r="AK410" t="str">
        <f t="shared" si="96"/>
        <v>OK</v>
      </c>
      <c r="AL410" t="str">
        <f t="shared" si="97"/>
        <v>Exclude</v>
      </c>
      <c r="AM410" t="str">
        <f t="shared" si="88"/>
        <v>Clean</v>
      </c>
    </row>
    <row r="411" spans="1:39">
      <c r="A411" t="s">
        <v>1329</v>
      </c>
      <c r="B411" s="4">
        <v>45701</v>
      </c>
      <c r="C411" s="4">
        <v>45703</v>
      </c>
      <c r="D411" s="6">
        <v>2</v>
      </c>
      <c r="E411" t="s">
        <v>2788</v>
      </c>
      <c r="F411" t="s">
        <v>2788</v>
      </c>
      <c r="G411" t="s">
        <v>2788</v>
      </c>
      <c r="H411" t="s">
        <v>1330</v>
      </c>
      <c r="I411" t="s">
        <v>23</v>
      </c>
      <c r="J411" t="s">
        <v>24</v>
      </c>
      <c r="K411" t="s">
        <v>38</v>
      </c>
      <c r="L411" t="s">
        <v>166</v>
      </c>
      <c r="M411" t="s">
        <v>167</v>
      </c>
      <c r="N411" t="s">
        <v>74</v>
      </c>
      <c r="O411" t="s">
        <v>75</v>
      </c>
      <c r="P411" t="s">
        <v>1331</v>
      </c>
      <c r="Q411" t="s">
        <v>44</v>
      </c>
      <c r="R411">
        <v>1</v>
      </c>
      <c r="S411">
        <v>3025.46</v>
      </c>
      <c r="T411">
        <v>0.25</v>
      </c>
      <c r="U411">
        <v>2269.1</v>
      </c>
      <c r="V411">
        <v>1593.59</v>
      </c>
      <c r="W411">
        <v>675.51</v>
      </c>
      <c r="X411" t="s">
        <v>102</v>
      </c>
      <c r="Y411" t="s">
        <v>103</v>
      </c>
      <c r="Z411" t="str">
        <f t="shared" si="84"/>
        <v>Unique</v>
      </c>
      <c r="AA411" t="str">
        <f t="shared" si="85"/>
        <v>Unique</v>
      </c>
      <c r="AB411" t="str">
        <f t="shared" si="89"/>
        <v>OK</v>
      </c>
      <c r="AC411">
        <f t="shared" si="90"/>
        <v>0.25</v>
      </c>
      <c r="AD411" t="str">
        <f t="shared" si="91"/>
        <v>OK</v>
      </c>
      <c r="AE411">
        <f t="shared" si="92"/>
        <v>2269.0950000000003</v>
      </c>
      <c r="AF411">
        <f t="shared" si="93"/>
        <v>675.50500000000034</v>
      </c>
      <c r="AG411">
        <f t="shared" si="94"/>
        <v>0.29769798091309541</v>
      </c>
      <c r="AH411" t="str">
        <f t="shared" si="86"/>
        <v>February</v>
      </c>
      <c r="AI411">
        <f t="shared" si="87"/>
        <v>2025</v>
      </c>
      <c r="AJ411" t="str">
        <f t="shared" si="95"/>
        <v>OK</v>
      </c>
      <c r="AK411" t="str">
        <f t="shared" si="96"/>
        <v>OK</v>
      </c>
      <c r="AL411" t="str">
        <f t="shared" si="97"/>
        <v>Exclude</v>
      </c>
      <c r="AM411" t="str">
        <f t="shared" si="88"/>
        <v>Clean</v>
      </c>
    </row>
    <row r="412" spans="1:39">
      <c r="A412" t="s">
        <v>1332</v>
      </c>
      <c r="B412" s="4">
        <v>45394</v>
      </c>
      <c r="C412" s="4">
        <v>45402</v>
      </c>
      <c r="D412" s="6">
        <v>8</v>
      </c>
      <c r="E412" t="s">
        <v>2788</v>
      </c>
      <c r="F412" t="s">
        <v>2788</v>
      </c>
      <c r="G412" t="s">
        <v>2788</v>
      </c>
      <c r="H412" t="s">
        <v>1333</v>
      </c>
      <c r="I412" t="s">
        <v>162</v>
      </c>
      <c r="J412" t="s">
        <v>24</v>
      </c>
      <c r="K412" t="s">
        <v>63</v>
      </c>
      <c r="L412" t="s">
        <v>190</v>
      </c>
      <c r="M412" t="s">
        <v>191</v>
      </c>
      <c r="N412" t="s">
        <v>41</v>
      </c>
      <c r="O412" t="s">
        <v>42</v>
      </c>
      <c r="P412" t="s">
        <v>1334</v>
      </c>
      <c r="Q412" t="s">
        <v>50</v>
      </c>
      <c r="R412">
        <v>9</v>
      </c>
      <c r="S412">
        <v>1302.6099999999999</v>
      </c>
      <c r="T412">
        <v>0.2</v>
      </c>
      <c r="U412">
        <v>9378.7900000000009</v>
      </c>
      <c r="V412">
        <v>6774.48</v>
      </c>
      <c r="W412">
        <v>2604.31</v>
      </c>
      <c r="X412" t="s">
        <v>32</v>
      </c>
      <c r="Y412" t="s">
        <v>33</v>
      </c>
      <c r="Z412" t="str">
        <f t="shared" si="84"/>
        <v>Unique</v>
      </c>
      <c r="AA412" t="str">
        <f t="shared" si="85"/>
        <v>Unique</v>
      </c>
      <c r="AB412" t="str">
        <f t="shared" si="89"/>
        <v>OK</v>
      </c>
      <c r="AC412">
        <f t="shared" si="90"/>
        <v>0.2</v>
      </c>
      <c r="AD412" t="str">
        <f t="shared" si="91"/>
        <v>OK</v>
      </c>
      <c r="AE412">
        <f t="shared" si="92"/>
        <v>9378.7919999999995</v>
      </c>
      <c r="AF412">
        <f t="shared" si="93"/>
        <v>2604.3119999999999</v>
      </c>
      <c r="AG412">
        <f t="shared" si="94"/>
        <v>0.27768096360384154</v>
      </c>
      <c r="AH412" t="str">
        <f t="shared" si="86"/>
        <v>April</v>
      </c>
      <c r="AI412">
        <f t="shared" si="87"/>
        <v>2024</v>
      </c>
      <c r="AJ412" t="str">
        <f t="shared" si="95"/>
        <v>OK</v>
      </c>
      <c r="AK412" t="str">
        <f t="shared" si="96"/>
        <v>OK</v>
      </c>
      <c r="AL412" t="str">
        <f t="shared" si="97"/>
        <v>Include</v>
      </c>
      <c r="AM412" t="str">
        <f t="shared" si="88"/>
        <v>Clean</v>
      </c>
    </row>
    <row r="413" spans="1:39">
      <c r="A413" t="s">
        <v>1335</v>
      </c>
      <c r="B413" s="4">
        <v>45892</v>
      </c>
      <c r="C413" s="4">
        <v>45897</v>
      </c>
      <c r="D413" s="6">
        <v>5</v>
      </c>
      <c r="E413" t="s">
        <v>2788</v>
      </c>
      <c r="F413" t="s">
        <v>2788</v>
      </c>
      <c r="G413" t="s">
        <v>2788</v>
      </c>
      <c r="H413" t="s">
        <v>1336</v>
      </c>
      <c r="I413" t="s">
        <v>53</v>
      </c>
      <c r="J413" t="s">
        <v>95</v>
      </c>
      <c r="K413" t="s">
        <v>63</v>
      </c>
      <c r="L413" t="s">
        <v>26</v>
      </c>
      <c r="M413" t="s">
        <v>109</v>
      </c>
      <c r="N413" t="s">
        <v>41</v>
      </c>
      <c r="O413" t="s">
        <v>42</v>
      </c>
      <c r="P413" t="s">
        <v>1337</v>
      </c>
      <c r="Q413" t="s">
        <v>50</v>
      </c>
      <c r="R413">
        <v>1</v>
      </c>
      <c r="S413">
        <v>4167.8100000000004</v>
      </c>
      <c r="T413">
        <v>0.2</v>
      </c>
      <c r="U413">
        <v>3334.25</v>
      </c>
      <c r="V413">
        <v>2768.77</v>
      </c>
      <c r="W413">
        <v>565.48</v>
      </c>
      <c r="X413" t="s">
        <v>155</v>
      </c>
      <c r="Y413" t="s">
        <v>103</v>
      </c>
      <c r="Z413" t="str">
        <f t="shared" si="84"/>
        <v>Unique</v>
      </c>
      <c r="AA413" t="str">
        <f t="shared" si="85"/>
        <v>Unique</v>
      </c>
      <c r="AB413" t="str">
        <f t="shared" si="89"/>
        <v>OK</v>
      </c>
      <c r="AC413">
        <f t="shared" si="90"/>
        <v>0.2</v>
      </c>
      <c r="AD413" t="str">
        <f t="shared" si="91"/>
        <v>OK</v>
      </c>
      <c r="AE413">
        <f t="shared" si="92"/>
        <v>3334.2480000000005</v>
      </c>
      <c r="AF413">
        <f t="shared" si="93"/>
        <v>565.47800000000052</v>
      </c>
      <c r="AG413">
        <f t="shared" si="94"/>
        <v>0.16959686262089696</v>
      </c>
      <c r="AH413" t="str">
        <f t="shared" si="86"/>
        <v>August</v>
      </c>
      <c r="AI413">
        <f t="shared" si="87"/>
        <v>2025</v>
      </c>
      <c r="AJ413" t="str">
        <f t="shared" si="95"/>
        <v>OK</v>
      </c>
      <c r="AK413" t="str">
        <f t="shared" si="96"/>
        <v>OK</v>
      </c>
      <c r="AL413" t="str">
        <f t="shared" si="97"/>
        <v>Exclude</v>
      </c>
      <c r="AM413" t="str">
        <f t="shared" si="88"/>
        <v>Clean</v>
      </c>
    </row>
    <row r="414" spans="1:39">
      <c r="A414" t="s">
        <v>1338</v>
      </c>
      <c r="B414" s="4">
        <v>45313</v>
      </c>
      <c r="C414" s="4">
        <v>45321</v>
      </c>
      <c r="D414" s="6">
        <v>8</v>
      </c>
      <c r="E414" t="s">
        <v>2788</v>
      </c>
      <c r="F414" t="s">
        <v>2788</v>
      </c>
      <c r="G414" t="s">
        <v>2788</v>
      </c>
      <c r="H414" t="s">
        <v>1339</v>
      </c>
      <c r="I414" t="s">
        <v>47</v>
      </c>
      <c r="J414" t="s">
        <v>90</v>
      </c>
      <c r="K414" t="s">
        <v>54</v>
      </c>
      <c r="L414" t="s">
        <v>175</v>
      </c>
      <c r="M414" t="s">
        <v>176</v>
      </c>
      <c r="N414" t="s">
        <v>41</v>
      </c>
      <c r="O414" t="s">
        <v>66</v>
      </c>
      <c r="P414" t="s">
        <v>1340</v>
      </c>
      <c r="Q414" t="s">
        <v>44</v>
      </c>
      <c r="R414">
        <v>1</v>
      </c>
      <c r="S414">
        <v>2111.39</v>
      </c>
      <c r="T414">
        <v>0.25</v>
      </c>
      <c r="U414">
        <v>1583.54</v>
      </c>
      <c r="V414">
        <v>1014.19</v>
      </c>
      <c r="W414">
        <v>569.35</v>
      </c>
      <c r="X414" t="s">
        <v>32</v>
      </c>
      <c r="Y414" t="s">
        <v>33</v>
      </c>
      <c r="Z414" t="str">
        <f t="shared" si="84"/>
        <v>Unique</v>
      </c>
      <c r="AA414" t="str">
        <f t="shared" si="85"/>
        <v>Unique</v>
      </c>
      <c r="AB414" t="str">
        <f t="shared" si="89"/>
        <v>OK</v>
      </c>
      <c r="AC414">
        <f t="shared" si="90"/>
        <v>0.25</v>
      </c>
      <c r="AD414" t="str">
        <f t="shared" si="91"/>
        <v>OK</v>
      </c>
      <c r="AE414">
        <f t="shared" si="92"/>
        <v>1583.5425</v>
      </c>
      <c r="AF414">
        <f t="shared" si="93"/>
        <v>569.35249999999996</v>
      </c>
      <c r="AG414">
        <f t="shared" si="94"/>
        <v>0.35954355503562424</v>
      </c>
      <c r="AH414" t="str">
        <f t="shared" si="86"/>
        <v>January</v>
      </c>
      <c r="AI414">
        <f t="shared" si="87"/>
        <v>2024</v>
      </c>
      <c r="AJ414" t="str">
        <f t="shared" si="95"/>
        <v>OK</v>
      </c>
      <c r="AK414" t="str">
        <f t="shared" si="96"/>
        <v>OK</v>
      </c>
      <c r="AL414" t="str">
        <f t="shared" si="97"/>
        <v>Include</v>
      </c>
      <c r="AM414" t="str">
        <f t="shared" si="88"/>
        <v>Clean</v>
      </c>
    </row>
    <row r="415" spans="1:39">
      <c r="A415" t="s">
        <v>1341</v>
      </c>
      <c r="B415" s="4">
        <v>45882</v>
      </c>
      <c r="C415" s="4">
        <v>45886</v>
      </c>
      <c r="D415" s="6">
        <v>4</v>
      </c>
      <c r="E415" t="s">
        <v>2788</v>
      </c>
      <c r="F415" t="s">
        <v>2788</v>
      </c>
      <c r="G415" t="s">
        <v>2788</v>
      </c>
      <c r="H415" t="s">
        <v>1342</v>
      </c>
      <c r="I415" t="s">
        <v>79</v>
      </c>
      <c r="J415" t="s">
        <v>95</v>
      </c>
      <c r="K415" t="s">
        <v>63</v>
      </c>
      <c r="L415" t="s">
        <v>72</v>
      </c>
      <c r="M415" t="s">
        <v>73</v>
      </c>
      <c r="N415" t="s">
        <v>74</v>
      </c>
      <c r="O415" t="s">
        <v>75</v>
      </c>
      <c r="P415" t="s">
        <v>1343</v>
      </c>
      <c r="Q415" t="s">
        <v>31</v>
      </c>
      <c r="R415">
        <v>8</v>
      </c>
      <c r="S415">
        <v>1918.23</v>
      </c>
      <c r="T415">
        <v>0</v>
      </c>
      <c r="U415">
        <v>15345.84</v>
      </c>
      <c r="V415">
        <v>10735.33</v>
      </c>
      <c r="W415">
        <v>4610.51</v>
      </c>
      <c r="X415" t="s">
        <v>111</v>
      </c>
      <c r="Y415" t="s">
        <v>68</v>
      </c>
      <c r="Z415" t="str">
        <f t="shared" si="84"/>
        <v>Unique</v>
      </c>
      <c r="AA415" t="str">
        <f t="shared" si="85"/>
        <v>Unique</v>
      </c>
      <c r="AB415" t="str">
        <f t="shared" si="89"/>
        <v>OK</v>
      </c>
      <c r="AC415">
        <f t="shared" si="90"/>
        <v>0</v>
      </c>
      <c r="AD415" t="str">
        <f t="shared" si="91"/>
        <v>OK</v>
      </c>
      <c r="AE415">
        <f t="shared" si="92"/>
        <v>15345.84</v>
      </c>
      <c r="AF415">
        <f t="shared" si="93"/>
        <v>4610.51</v>
      </c>
      <c r="AG415">
        <f t="shared" si="94"/>
        <v>0.30044037993358463</v>
      </c>
      <c r="AH415" t="str">
        <f t="shared" si="86"/>
        <v>August</v>
      </c>
      <c r="AI415">
        <f t="shared" si="87"/>
        <v>2025</v>
      </c>
      <c r="AJ415" t="str">
        <f t="shared" si="95"/>
        <v>OK</v>
      </c>
      <c r="AK415" t="str">
        <f t="shared" si="96"/>
        <v>OK</v>
      </c>
      <c r="AL415" t="str">
        <f t="shared" si="97"/>
        <v>Exclude</v>
      </c>
      <c r="AM415" t="str">
        <f t="shared" si="88"/>
        <v>Clean</v>
      </c>
    </row>
    <row r="416" spans="1:39">
      <c r="A416" t="s">
        <v>1344</v>
      </c>
      <c r="B416" s="4">
        <v>45533</v>
      </c>
      <c r="C416" s="4">
        <v>45534</v>
      </c>
      <c r="D416" s="6">
        <v>1</v>
      </c>
      <c r="E416" t="s">
        <v>2788</v>
      </c>
      <c r="F416" t="s">
        <v>2788</v>
      </c>
      <c r="G416" t="s">
        <v>2788</v>
      </c>
      <c r="H416" t="s">
        <v>1345</v>
      </c>
      <c r="I416" t="s">
        <v>53</v>
      </c>
      <c r="J416" t="s">
        <v>95</v>
      </c>
      <c r="K416" t="s">
        <v>38</v>
      </c>
      <c r="L416" t="s">
        <v>166</v>
      </c>
      <c r="M416" t="s">
        <v>167</v>
      </c>
      <c r="N416" t="s">
        <v>28</v>
      </c>
      <c r="O416" t="s">
        <v>124</v>
      </c>
      <c r="P416" t="s">
        <v>1346</v>
      </c>
      <c r="Q416" t="s">
        <v>50</v>
      </c>
      <c r="R416">
        <v>4</v>
      </c>
      <c r="S416">
        <v>2484.08</v>
      </c>
      <c r="T416">
        <v>0.05</v>
      </c>
      <c r="U416">
        <v>9439.5</v>
      </c>
      <c r="V416">
        <v>5519.39</v>
      </c>
      <c r="W416">
        <v>3920.11</v>
      </c>
      <c r="X416" t="s">
        <v>32</v>
      </c>
      <c r="Y416" t="s">
        <v>33</v>
      </c>
      <c r="Z416" t="str">
        <f t="shared" si="84"/>
        <v>Unique</v>
      </c>
      <c r="AA416" t="str">
        <f t="shared" si="85"/>
        <v>Unique</v>
      </c>
      <c r="AB416" t="str">
        <f t="shared" si="89"/>
        <v>OK</v>
      </c>
      <c r="AC416">
        <f t="shared" si="90"/>
        <v>0.05</v>
      </c>
      <c r="AD416" t="str">
        <f t="shared" si="91"/>
        <v>OK</v>
      </c>
      <c r="AE416">
        <f t="shared" si="92"/>
        <v>9439.503999999999</v>
      </c>
      <c r="AF416">
        <f t="shared" si="93"/>
        <v>3920.1139999999987</v>
      </c>
      <c r="AG416">
        <f t="shared" si="94"/>
        <v>0.41528813378330037</v>
      </c>
      <c r="AH416" t="str">
        <f t="shared" si="86"/>
        <v>August</v>
      </c>
      <c r="AI416">
        <f t="shared" si="87"/>
        <v>2024</v>
      </c>
      <c r="AJ416" t="str">
        <f t="shared" si="95"/>
        <v>OK</v>
      </c>
      <c r="AK416" t="str">
        <f t="shared" si="96"/>
        <v>OK</v>
      </c>
      <c r="AL416" t="str">
        <f t="shared" si="97"/>
        <v>Include</v>
      </c>
      <c r="AM416" t="str">
        <f t="shared" si="88"/>
        <v>Clean</v>
      </c>
    </row>
    <row r="417" spans="1:39">
      <c r="A417" t="s">
        <v>1347</v>
      </c>
      <c r="B417" s="4">
        <v>45316</v>
      </c>
      <c r="C417" s="4">
        <v>45318</v>
      </c>
      <c r="D417" s="6">
        <v>2</v>
      </c>
      <c r="E417" t="s">
        <v>2788</v>
      </c>
      <c r="F417" t="s">
        <v>2788</v>
      </c>
      <c r="G417" t="s">
        <v>2788</v>
      </c>
      <c r="H417" t="s">
        <v>1348</v>
      </c>
      <c r="I417" t="s">
        <v>128</v>
      </c>
      <c r="J417" t="s">
        <v>90</v>
      </c>
      <c r="K417" t="s">
        <v>54</v>
      </c>
      <c r="L417" t="s">
        <v>175</v>
      </c>
      <c r="M417" t="s">
        <v>176</v>
      </c>
      <c r="N417" t="s">
        <v>28</v>
      </c>
      <c r="O417" t="s">
        <v>124</v>
      </c>
      <c r="P417" t="s">
        <v>1349</v>
      </c>
      <c r="Q417" t="s">
        <v>44</v>
      </c>
      <c r="R417">
        <v>7</v>
      </c>
      <c r="S417">
        <v>1727.26</v>
      </c>
      <c r="T417">
        <v>0.15</v>
      </c>
      <c r="U417">
        <v>10277.200000000001</v>
      </c>
      <c r="V417">
        <v>7906.5</v>
      </c>
      <c r="W417">
        <v>2370.6999999999998</v>
      </c>
      <c r="X417" t="s">
        <v>32</v>
      </c>
      <c r="Y417" t="s">
        <v>103</v>
      </c>
      <c r="Z417" t="str">
        <f t="shared" si="84"/>
        <v>Unique</v>
      </c>
      <c r="AA417" t="str">
        <f t="shared" si="85"/>
        <v>Unique</v>
      </c>
      <c r="AB417" t="str">
        <f t="shared" si="89"/>
        <v>OK</v>
      </c>
      <c r="AC417">
        <f t="shared" si="90"/>
        <v>0.15</v>
      </c>
      <c r="AD417" t="str">
        <f t="shared" si="91"/>
        <v>OK</v>
      </c>
      <c r="AE417">
        <f t="shared" si="92"/>
        <v>10277.197</v>
      </c>
      <c r="AF417">
        <f t="shared" si="93"/>
        <v>2370.6970000000001</v>
      </c>
      <c r="AG417">
        <f t="shared" si="94"/>
        <v>0.23067544584384245</v>
      </c>
      <c r="AH417" t="str">
        <f t="shared" si="86"/>
        <v>January</v>
      </c>
      <c r="AI417">
        <f t="shared" si="87"/>
        <v>2024</v>
      </c>
      <c r="AJ417" t="str">
        <f t="shared" si="95"/>
        <v>OK</v>
      </c>
      <c r="AK417" t="str">
        <f t="shared" si="96"/>
        <v>OK</v>
      </c>
      <c r="AL417" t="str">
        <f t="shared" si="97"/>
        <v>Exclude</v>
      </c>
      <c r="AM417" t="str">
        <f t="shared" si="88"/>
        <v>Clean</v>
      </c>
    </row>
    <row r="418" spans="1:39">
      <c r="A418" t="s">
        <v>1350</v>
      </c>
      <c r="B418" s="4">
        <v>45665</v>
      </c>
      <c r="C418" s="4">
        <v>45673</v>
      </c>
      <c r="D418" s="6">
        <v>8</v>
      </c>
      <c r="E418" t="s">
        <v>2788</v>
      </c>
      <c r="F418" t="s">
        <v>2788</v>
      </c>
      <c r="G418" t="s">
        <v>2788</v>
      </c>
      <c r="H418" t="s">
        <v>1351</v>
      </c>
      <c r="I418" t="s">
        <v>79</v>
      </c>
      <c r="J418" t="s">
        <v>24</v>
      </c>
      <c r="K418" t="s">
        <v>54</v>
      </c>
      <c r="L418" t="s">
        <v>55</v>
      </c>
      <c r="M418" t="s">
        <v>56</v>
      </c>
      <c r="N418" t="s">
        <v>41</v>
      </c>
      <c r="O418" t="s">
        <v>57</v>
      </c>
      <c r="P418" t="s">
        <v>1352</v>
      </c>
      <c r="Q418" t="s">
        <v>50</v>
      </c>
      <c r="R418">
        <v>8</v>
      </c>
      <c r="S418">
        <v>638.95000000000005</v>
      </c>
      <c r="T418">
        <v>0.25</v>
      </c>
      <c r="U418">
        <v>3833.7</v>
      </c>
      <c r="V418">
        <v>2886.35</v>
      </c>
      <c r="W418">
        <v>947.35</v>
      </c>
      <c r="X418" t="s">
        <v>32</v>
      </c>
      <c r="Y418" t="s">
        <v>33</v>
      </c>
      <c r="Z418" t="str">
        <f t="shared" si="84"/>
        <v>Unique</v>
      </c>
      <c r="AA418" t="str">
        <f t="shared" si="85"/>
        <v>Unique</v>
      </c>
      <c r="AB418" t="str">
        <f t="shared" si="89"/>
        <v>OK</v>
      </c>
      <c r="AC418">
        <f t="shared" si="90"/>
        <v>0.25</v>
      </c>
      <c r="AD418" t="str">
        <f t="shared" si="91"/>
        <v>OK</v>
      </c>
      <c r="AE418">
        <f t="shared" si="92"/>
        <v>3833.7000000000003</v>
      </c>
      <c r="AF418">
        <f t="shared" si="93"/>
        <v>947.35000000000036</v>
      </c>
      <c r="AG418">
        <f t="shared" si="94"/>
        <v>0.24711114589039318</v>
      </c>
      <c r="AH418" t="str">
        <f t="shared" si="86"/>
        <v>January</v>
      </c>
      <c r="AI418">
        <f t="shared" si="87"/>
        <v>2025</v>
      </c>
      <c r="AJ418" t="str">
        <f t="shared" si="95"/>
        <v>OK</v>
      </c>
      <c r="AK418" t="str">
        <f t="shared" si="96"/>
        <v>OK</v>
      </c>
      <c r="AL418" t="str">
        <f t="shared" si="97"/>
        <v>Include</v>
      </c>
      <c r="AM418" t="str">
        <f t="shared" si="88"/>
        <v>Clean</v>
      </c>
    </row>
    <row r="419" spans="1:39">
      <c r="A419" t="s">
        <v>1353</v>
      </c>
      <c r="B419" s="4">
        <v>45686</v>
      </c>
      <c r="C419" s="4">
        <v>45693</v>
      </c>
      <c r="D419" s="6">
        <v>7</v>
      </c>
      <c r="E419" t="s">
        <v>2788</v>
      </c>
      <c r="F419" t="s">
        <v>2788</v>
      </c>
      <c r="G419" t="s">
        <v>2788</v>
      </c>
      <c r="H419" t="s">
        <v>1354</v>
      </c>
      <c r="I419" t="s">
        <v>36</v>
      </c>
      <c r="J419" t="s">
        <v>24</v>
      </c>
      <c r="K419" t="s">
        <v>63</v>
      </c>
      <c r="L419" t="s">
        <v>180</v>
      </c>
      <c r="M419" t="s">
        <v>181</v>
      </c>
      <c r="N419" t="s">
        <v>28</v>
      </c>
      <c r="O419" t="s">
        <v>48</v>
      </c>
      <c r="P419" t="s">
        <v>1355</v>
      </c>
      <c r="Q419" t="s">
        <v>50</v>
      </c>
      <c r="R419">
        <v>6</v>
      </c>
      <c r="S419">
        <v>3863</v>
      </c>
      <c r="T419">
        <v>0.2</v>
      </c>
      <c r="U419">
        <v>18542.400000000001</v>
      </c>
      <c r="V419">
        <v>11193.75</v>
      </c>
      <c r="W419">
        <v>7348.65</v>
      </c>
      <c r="X419" t="s">
        <v>32</v>
      </c>
      <c r="Y419" t="s">
        <v>33</v>
      </c>
      <c r="Z419" t="str">
        <f t="shared" si="84"/>
        <v>Unique</v>
      </c>
      <c r="AA419" t="str">
        <f t="shared" si="85"/>
        <v>Unique</v>
      </c>
      <c r="AB419" t="str">
        <f t="shared" si="89"/>
        <v>OK</v>
      </c>
      <c r="AC419">
        <f t="shared" si="90"/>
        <v>0.2</v>
      </c>
      <c r="AD419" t="str">
        <f t="shared" si="91"/>
        <v>OK</v>
      </c>
      <c r="AE419">
        <f t="shared" si="92"/>
        <v>18542.400000000001</v>
      </c>
      <c r="AF419">
        <f t="shared" si="93"/>
        <v>7348.6500000000015</v>
      </c>
      <c r="AG419">
        <f t="shared" si="94"/>
        <v>0.39631601087237905</v>
      </c>
      <c r="AH419" t="str">
        <f t="shared" si="86"/>
        <v>January</v>
      </c>
      <c r="AI419">
        <f t="shared" si="87"/>
        <v>2025</v>
      </c>
      <c r="AJ419" t="str">
        <f t="shared" si="95"/>
        <v>OK</v>
      </c>
      <c r="AK419" t="str">
        <f t="shared" si="96"/>
        <v>OK</v>
      </c>
      <c r="AL419" t="str">
        <f t="shared" si="97"/>
        <v>Include</v>
      </c>
      <c r="AM419" t="str">
        <f t="shared" si="88"/>
        <v>Clean</v>
      </c>
    </row>
    <row r="420" spans="1:39">
      <c r="A420" t="s">
        <v>1356</v>
      </c>
      <c r="B420" s="4">
        <v>45605</v>
      </c>
      <c r="C420" s="4">
        <v>45613</v>
      </c>
      <c r="D420" s="6">
        <v>8</v>
      </c>
      <c r="E420" t="s">
        <v>2788</v>
      </c>
      <c r="F420" t="s">
        <v>2788</v>
      </c>
      <c r="G420" t="s">
        <v>2788</v>
      </c>
      <c r="H420" t="s">
        <v>1357</v>
      </c>
      <c r="I420" t="s">
        <v>132</v>
      </c>
      <c r="J420" t="s">
        <v>90</v>
      </c>
      <c r="K420" t="s">
        <v>38</v>
      </c>
      <c r="L420" t="s">
        <v>39</v>
      </c>
      <c r="M420" t="s">
        <v>40</v>
      </c>
      <c r="N420" t="s">
        <v>74</v>
      </c>
      <c r="O420" t="s">
        <v>80</v>
      </c>
      <c r="P420" t="s">
        <v>1358</v>
      </c>
      <c r="Q420" t="s">
        <v>59</v>
      </c>
      <c r="R420">
        <v>6</v>
      </c>
      <c r="S420">
        <v>3660.4</v>
      </c>
      <c r="T420">
        <v>0</v>
      </c>
      <c r="U420">
        <v>21962.400000000001</v>
      </c>
      <c r="V420">
        <v>15331.99</v>
      </c>
      <c r="W420">
        <v>6630.41</v>
      </c>
      <c r="X420" t="s">
        <v>155</v>
      </c>
      <c r="Y420" t="s">
        <v>68</v>
      </c>
      <c r="Z420" t="str">
        <f t="shared" si="84"/>
        <v>Unique</v>
      </c>
      <c r="AA420" t="str">
        <f t="shared" si="85"/>
        <v>Unique</v>
      </c>
      <c r="AB420" t="str">
        <f t="shared" si="89"/>
        <v>OK</v>
      </c>
      <c r="AC420">
        <f t="shared" si="90"/>
        <v>0</v>
      </c>
      <c r="AD420" t="str">
        <f t="shared" si="91"/>
        <v>OK</v>
      </c>
      <c r="AE420">
        <f t="shared" si="92"/>
        <v>21962.400000000001</v>
      </c>
      <c r="AF420">
        <f t="shared" si="93"/>
        <v>6630.4100000000017</v>
      </c>
      <c r="AG420">
        <f t="shared" si="94"/>
        <v>0.3018982442720286</v>
      </c>
      <c r="AH420" t="str">
        <f t="shared" si="86"/>
        <v>November</v>
      </c>
      <c r="AI420">
        <f t="shared" si="87"/>
        <v>2024</v>
      </c>
      <c r="AJ420" t="str">
        <f t="shared" si="95"/>
        <v>OK</v>
      </c>
      <c r="AK420" t="str">
        <f t="shared" si="96"/>
        <v>OK</v>
      </c>
      <c r="AL420" t="str">
        <f t="shared" si="97"/>
        <v>Exclude</v>
      </c>
      <c r="AM420" t="str">
        <f t="shared" si="88"/>
        <v>Clean</v>
      </c>
    </row>
    <row r="421" spans="1:39">
      <c r="A421" t="s">
        <v>1359</v>
      </c>
      <c r="B421" s="4">
        <v>45926</v>
      </c>
      <c r="C421" s="4">
        <v>45930</v>
      </c>
      <c r="D421" s="6">
        <v>4</v>
      </c>
      <c r="E421" t="s">
        <v>2788</v>
      </c>
      <c r="F421" t="s">
        <v>2788</v>
      </c>
      <c r="G421" t="s">
        <v>2788</v>
      </c>
      <c r="H421" t="s">
        <v>1360</v>
      </c>
      <c r="I421" t="s">
        <v>132</v>
      </c>
      <c r="J421" t="s">
        <v>95</v>
      </c>
      <c r="K421" t="s">
        <v>25</v>
      </c>
      <c r="L421" t="s">
        <v>236</v>
      </c>
      <c r="M421" t="s">
        <v>237</v>
      </c>
      <c r="N421" t="s">
        <v>74</v>
      </c>
      <c r="O421" t="s">
        <v>171</v>
      </c>
      <c r="P421" t="s">
        <v>1361</v>
      </c>
      <c r="Q421" t="s">
        <v>44</v>
      </c>
      <c r="R421">
        <v>2</v>
      </c>
      <c r="S421">
        <v>688.83</v>
      </c>
      <c r="T421">
        <v>0.05</v>
      </c>
      <c r="U421">
        <v>1308.78</v>
      </c>
      <c r="V421">
        <v>843</v>
      </c>
      <c r="W421">
        <v>465.78</v>
      </c>
      <c r="X421" t="s">
        <v>32</v>
      </c>
      <c r="Y421" t="s">
        <v>33</v>
      </c>
      <c r="Z421" t="str">
        <f t="shared" si="84"/>
        <v>Unique</v>
      </c>
      <c r="AA421" t="str">
        <f t="shared" si="85"/>
        <v>Unique</v>
      </c>
      <c r="AB421" t="str">
        <f t="shared" si="89"/>
        <v>OK</v>
      </c>
      <c r="AC421">
        <f t="shared" si="90"/>
        <v>0.05</v>
      </c>
      <c r="AD421" t="str">
        <f t="shared" si="91"/>
        <v>OK</v>
      </c>
      <c r="AE421">
        <f t="shared" si="92"/>
        <v>1308.777</v>
      </c>
      <c r="AF421">
        <f t="shared" si="93"/>
        <v>465.77700000000004</v>
      </c>
      <c r="AG421">
        <f t="shared" si="94"/>
        <v>0.35588721378813964</v>
      </c>
      <c r="AH421" t="str">
        <f t="shared" si="86"/>
        <v>September</v>
      </c>
      <c r="AI421">
        <f t="shared" si="87"/>
        <v>2025</v>
      </c>
      <c r="AJ421" t="str">
        <f t="shared" si="95"/>
        <v>OK</v>
      </c>
      <c r="AK421" t="str">
        <f t="shared" si="96"/>
        <v>OK</v>
      </c>
      <c r="AL421" t="str">
        <f t="shared" si="97"/>
        <v>Include</v>
      </c>
      <c r="AM421" t="str">
        <f t="shared" si="88"/>
        <v>Clean</v>
      </c>
    </row>
    <row r="422" spans="1:39">
      <c r="A422" t="s">
        <v>1362</v>
      </c>
      <c r="B422" s="4">
        <v>45734</v>
      </c>
      <c r="C422" s="4">
        <v>45735</v>
      </c>
      <c r="D422" s="6">
        <v>1</v>
      </c>
      <c r="E422" t="s">
        <v>2788</v>
      </c>
      <c r="F422" t="s">
        <v>2788</v>
      </c>
      <c r="G422" t="s">
        <v>2788</v>
      </c>
      <c r="H422" t="s">
        <v>1363</v>
      </c>
      <c r="I422" t="s">
        <v>47</v>
      </c>
      <c r="J422" t="s">
        <v>90</v>
      </c>
      <c r="K422" t="s">
        <v>54</v>
      </c>
      <c r="L422" t="s">
        <v>247</v>
      </c>
      <c r="M422" t="s">
        <v>248</v>
      </c>
      <c r="N422" t="s">
        <v>74</v>
      </c>
      <c r="O422" t="s">
        <v>274</v>
      </c>
      <c r="P422" t="s">
        <v>1364</v>
      </c>
      <c r="Q422" t="s">
        <v>59</v>
      </c>
      <c r="R422">
        <v>2</v>
      </c>
      <c r="S422">
        <v>1209.99</v>
      </c>
      <c r="T422">
        <v>0.25</v>
      </c>
      <c r="U422">
        <v>1814.99</v>
      </c>
      <c r="V422">
        <v>1120.06</v>
      </c>
      <c r="W422">
        <v>694.93</v>
      </c>
      <c r="X422" t="s">
        <v>111</v>
      </c>
      <c r="Y422" t="s">
        <v>68</v>
      </c>
      <c r="Z422" t="str">
        <f t="shared" si="84"/>
        <v>Unique</v>
      </c>
      <c r="AA422" t="str">
        <f t="shared" si="85"/>
        <v>Unique</v>
      </c>
      <c r="AB422" t="str">
        <f t="shared" si="89"/>
        <v>OK</v>
      </c>
      <c r="AC422">
        <f t="shared" si="90"/>
        <v>0.25</v>
      </c>
      <c r="AD422" t="str">
        <f t="shared" si="91"/>
        <v>OK</v>
      </c>
      <c r="AE422">
        <f t="shared" si="92"/>
        <v>1814.9850000000001</v>
      </c>
      <c r="AF422">
        <f t="shared" si="93"/>
        <v>694.92500000000018</v>
      </c>
      <c r="AG422">
        <f t="shared" si="94"/>
        <v>0.38288195219244242</v>
      </c>
      <c r="AH422" t="str">
        <f t="shared" si="86"/>
        <v>March</v>
      </c>
      <c r="AI422">
        <f t="shared" si="87"/>
        <v>2025</v>
      </c>
      <c r="AJ422" t="str">
        <f t="shared" si="95"/>
        <v>OK</v>
      </c>
      <c r="AK422" t="str">
        <f t="shared" si="96"/>
        <v>OK</v>
      </c>
      <c r="AL422" t="str">
        <f t="shared" si="97"/>
        <v>Exclude</v>
      </c>
      <c r="AM422" t="str">
        <f t="shared" si="88"/>
        <v>Clean</v>
      </c>
    </row>
    <row r="423" spans="1:39">
      <c r="A423" t="s">
        <v>1365</v>
      </c>
      <c r="B423" s="4">
        <v>45822</v>
      </c>
      <c r="C423" s="4">
        <v>45827</v>
      </c>
      <c r="D423" s="6">
        <v>5</v>
      </c>
      <c r="E423" t="s">
        <v>2788</v>
      </c>
      <c r="F423" t="s">
        <v>2788</v>
      </c>
      <c r="G423" t="s">
        <v>2788</v>
      </c>
      <c r="H423" t="s">
        <v>1366</v>
      </c>
      <c r="I423" t="s">
        <v>141</v>
      </c>
      <c r="J423" t="s">
        <v>37</v>
      </c>
      <c r="K423" t="s">
        <v>25</v>
      </c>
      <c r="L423" t="s">
        <v>350</v>
      </c>
      <c r="M423" t="s">
        <v>351</v>
      </c>
      <c r="N423" t="s">
        <v>28</v>
      </c>
      <c r="O423" t="s">
        <v>153</v>
      </c>
      <c r="P423" t="s">
        <v>1367</v>
      </c>
      <c r="Q423" t="s">
        <v>44</v>
      </c>
      <c r="R423">
        <v>3</v>
      </c>
      <c r="S423">
        <v>1037.45</v>
      </c>
      <c r="T423">
        <v>0.2</v>
      </c>
      <c r="U423">
        <v>2489.88</v>
      </c>
      <c r="V423">
        <v>1707.52</v>
      </c>
      <c r="W423">
        <v>782.36</v>
      </c>
      <c r="X423" t="s">
        <v>111</v>
      </c>
      <c r="Y423" t="s">
        <v>103</v>
      </c>
      <c r="Z423" t="str">
        <f t="shared" si="84"/>
        <v>Unique</v>
      </c>
      <c r="AA423" t="str">
        <f t="shared" si="85"/>
        <v>Unique</v>
      </c>
      <c r="AB423" t="str">
        <f t="shared" si="89"/>
        <v>OK</v>
      </c>
      <c r="AC423">
        <f t="shared" si="90"/>
        <v>0.2</v>
      </c>
      <c r="AD423" t="str">
        <f t="shared" si="91"/>
        <v>OK</v>
      </c>
      <c r="AE423">
        <f t="shared" si="92"/>
        <v>2489.8800000000006</v>
      </c>
      <c r="AF423">
        <f t="shared" si="93"/>
        <v>782.36000000000058</v>
      </c>
      <c r="AG423">
        <f t="shared" si="94"/>
        <v>0.31421594615001541</v>
      </c>
      <c r="AH423" t="str">
        <f t="shared" si="86"/>
        <v>June</v>
      </c>
      <c r="AI423">
        <f t="shared" si="87"/>
        <v>2025</v>
      </c>
      <c r="AJ423" t="str">
        <f t="shared" si="95"/>
        <v>OK</v>
      </c>
      <c r="AK423" t="str">
        <f t="shared" si="96"/>
        <v>OK</v>
      </c>
      <c r="AL423" t="str">
        <f t="shared" si="97"/>
        <v>Exclude</v>
      </c>
      <c r="AM423" t="str">
        <f t="shared" si="88"/>
        <v>Clean</v>
      </c>
    </row>
    <row r="424" spans="1:39">
      <c r="A424" t="s">
        <v>1368</v>
      </c>
      <c r="B424" s="4">
        <v>45903</v>
      </c>
      <c r="C424" s="4">
        <v>45906</v>
      </c>
      <c r="D424" s="6">
        <v>3</v>
      </c>
      <c r="E424" t="s">
        <v>2788</v>
      </c>
      <c r="F424" t="s">
        <v>2788</v>
      </c>
      <c r="G424" t="s">
        <v>2788</v>
      </c>
      <c r="H424" t="s">
        <v>1369</v>
      </c>
      <c r="I424" t="s">
        <v>264</v>
      </c>
      <c r="J424" t="s">
        <v>24</v>
      </c>
      <c r="K424" t="s">
        <v>63</v>
      </c>
      <c r="L424" t="s">
        <v>72</v>
      </c>
      <c r="M424" t="s">
        <v>73</v>
      </c>
      <c r="N424" t="s">
        <v>74</v>
      </c>
      <c r="O424" t="s">
        <v>80</v>
      </c>
      <c r="P424" t="s">
        <v>1370</v>
      </c>
      <c r="Q424" t="s">
        <v>44</v>
      </c>
      <c r="R424">
        <v>7</v>
      </c>
      <c r="S424">
        <v>688.85</v>
      </c>
      <c r="T424">
        <v>0.15</v>
      </c>
      <c r="U424">
        <v>4098.66</v>
      </c>
      <c r="V424">
        <v>2678.06</v>
      </c>
      <c r="W424">
        <v>1420.6</v>
      </c>
      <c r="X424" t="s">
        <v>32</v>
      </c>
      <c r="Y424" t="s">
        <v>33</v>
      </c>
      <c r="Z424" t="str">
        <f t="shared" si="84"/>
        <v>Unique</v>
      </c>
      <c r="AA424" t="str">
        <f t="shared" si="85"/>
        <v>Unique</v>
      </c>
      <c r="AB424" t="str">
        <f t="shared" si="89"/>
        <v>OK</v>
      </c>
      <c r="AC424">
        <f t="shared" si="90"/>
        <v>0.15</v>
      </c>
      <c r="AD424" t="str">
        <f t="shared" si="91"/>
        <v>OK</v>
      </c>
      <c r="AE424">
        <f t="shared" si="92"/>
        <v>4098.6574999999993</v>
      </c>
      <c r="AF424">
        <f t="shared" si="93"/>
        <v>1420.5974999999994</v>
      </c>
      <c r="AG424">
        <f t="shared" si="94"/>
        <v>0.34660068571233377</v>
      </c>
      <c r="AH424" t="str">
        <f t="shared" si="86"/>
        <v>September</v>
      </c>
      <c r="AI424">
        <f t="shared" si="87"/>
        <v>2025</v>
      </c>
      <c r="AJ424" t="str">
        <f t="shared" si="95"/>
        <v>OK</v>
      </c>
      <c r="AK424" t="str">
        <f t="shared" si="96"/>
        <v>OK</v>
      </c>
      <c r="AL424" t="str">
        <f t="shared" si="97"/>
        <v>Include</v>
      </c>
      <c r="AM424" t="str">
        <f t="shared" si="88"/>
        <v>Clean</v>
      </c>
    </row>
    <row r="425" spans="1:39">
      <c r="A425" t="s">
        <v>1371</v>
      </c>
      <c r="B425" s="4">
        <v>45342</v>
      </c>
      <c r="C425" s="4">
        <v>45349</v>
      </c>
      <c r="D425" s="6">
        <v>7</v>
      </c>
      <c r="E425" t="s">
        <v>2788</v>
      </c>
      <c r="F425" t="s">
        <v>2788</v>
      </c>
      <c r="G425" t="s">
        <v>2788</v>
      </c>
      <c r="H425" t="s">
        <v>1372</v>
      </c>
      <c r="I425" t="s">
        <v>162</v>
      </c>
      <c r="J425" t="s">
        <v>24</v>
      </c>
      <c r="K425" t="s">
        <v>54</v>
      </c>
      <c r="L425" t="s">
        <v>185</v>
      </c>
      <c r="M425" t="s">
        <v>186</v>
      </c>
      <c r="N425" t="s">
        <v>74</v>
      </c>
      <c r="O425" t="s">
        <v>75</v>
      </c>
      <c r="P425" t="s">
        <v>1373</v>
      </c>
      <c r="Q425" t="s">
        <v>50</v>
      </c>
      <c r="R425">
        <v>9</v>
      </c>
      <c r="S425">
        <v>3779.31</v>
      </c>
      <c r="T425">
        <v>0.2</v>
      </c>
      <c r="U425">
        <v>27211.03</v>
      </c>
      <c r="V425">
        <v>17940.43</v>
      </c>
      <c r="W425">
        <v>9270.6</v>
      </c>
      <c r="X425" t="s">
        <v>32</v>
      </c>
      <c r="Y425" t="s">
        <v>33</v>
      </c>
      <c r="Z425" t="str">
        <f t="shared" si="84"/>
        <v>Unique</v>
      </c>
      <c r="AA425" t="str">
        <f t="shared" si="85"/>
        <v>Duplicate Order ID</v>
      </c>
      <c r="AB425" t="str">
        <f t="shared" si="89"/>
        <v>Conflicting Duplicate</v>
      </c>
      <c r="AC425">
        <f t="shared" si="90"/>
        <v>0.2</v>
      </c>
      <c r="AD425" t="str">
        <f t="shared" si="91"/>
        <v>OK</v>
      </c>
      <c r="AE425">
        <f t="shared" si="92"/>
        <v>27211.032000000003</v>
      </c>
      <c r="AF425">
        <f t="shared" si="93"/>
        <v>9270.6020000000026</v>
      </c>
      <c r="AG425">
        <f t="shared" si="94"/>
        <v>0.34069277490100347</v>
      </c>
      <c r="AH425" t="str">
        <f t="shared" si="86"/>
        <v>February</v>
      </c>
      <c r="AI425">
        <f t="shared" si="87"/>
        <v>2024</v>
      </c>
      <c r="AJ425" t="str">
        <f t="shared" si="95"/>
        <v>OK</v>
      </c>
      <c r="AK425" t="str">
        <f t="shared" si="96"/>
        <v>OK</v>
      </c>
      <c r="AL425" t="str">
        <f t="shared" si="97"/>
        <v>Include</v>
      </c>
      <c r="AM425" t="str">
        <f t="shared" si="88"/>
        <v>Invalid</v>
      </c>
    </row>
    <row r="426" spans="1:39">
      <c r="A426" t="s">
        <v>1374</v>
      </c>
      <c r="B426" s="4">
        <v>45469</v>
      </c>
      <c r="C426" s="4">
        <v>45472</v>
      </c>
      <c r="D426" s="6">
        <v>3</v>
      </c>
      <c r="E426" t="s">
        <v>2788</v>
      </c>
      <c r="F426" t="s">
        <v>2788</v>
      </c>
      <c r="G426" t="s">
        <v>2788</v>
      </c>
      <c r="H426" t="s">
        <v>1375</v>
      </c>
      <c r="I426" t="s">
        <v>79</v>
      </c>
      <c r="J426" t="s">
        <v>90</v>
      </c>
      <c r="K426" t="s">
        <v>25</v>
      </c>
      <c r="L426" t="s">
        <v>122</v>
      </c>
      <c r="M426" t="s">
        <v>123</v>
      </c>
      <c r="N426" t="s">
        <v>74</v>
      </c>
      <c r="O426" t="s">
        <v>171</v>
      </c>
      <c r="P426" t="s">
        <v>1376</v>
      </c>
      <c r="Q426" t="s">
        <v>59</v>
      </c>
      <c r="R426">
        <v>8</v>
      </c>
      <c r="S426">
        <v>804.52</v>
      </c>
      <c r="T426">
        <v>0</v>
      </c>
      <c r="U426">
        <v>6436.16</v>
      </c>
      <c r="V426">
        <v>4263.83</v>
      </c>
      <c r="W426">
        <v>2172.33</v>
      </c>
      <c r="X426" t="s">
        <v>32</v>
      </c>
      <c r="Y426" t="s">
        <v>33</v>
      </c>
      <c r="Z426" t="str">
        <f t="shared" si="84"/>
        <v>Unique</v>
      </c>
      <c r="AA426" t="str">
        <f t="shared" si="85"/>
        <v>Unique</v>
      </c>
      <c r="AB426" t="str">
        <f t="shared" si="89"/>
        <v>OK</v>
      </c>
      <c r="AC426">
        <f t="shared" si="90"/>
        <v>0</v>
      </c>
      <c r="AD426" t="str">
        <f t="shared" si="91"/>
        <v>OK</v>
      </c>
      <c r="AE426">
        <f t="shared" si="92"/>
        <v>6436.16</v>
      </c>
      <c r="AF426">
        <f t="shared" si="93"/>
        <v>2172.33</v>
      </c>
      <c r="AG426">
        <f t="shared" si="94"/>
        <v>0.33751957689056827</v>
      </c>
      <c r="AH426" t="str">
        <f t="shared" si="86"/>
        <v>June</v>
      </c>
      <c r="AI426">
        <f t="shared" si="87"/>
        <v>2024</v>
      </c>
      <c r="AJ426" t="str">
        <f t="shared" si="95"/>
        <v>OK</v>
      </c>
      <c r="AK426" t="str">
        <f t="shared" si="96"/>
        <v>OK</v>
      </c>
      <c r="AL426" t="str">
        <f t="shared" si="97"/>
        <v>Include</v>
      </c>
      <c r="AM426" t="str">
        <f t="shared" si="88"/>
        <v>Clean</v>
      </c>
    </row>
    <row r="427" spans="1:39">
      <c r="A427" t="s">
        <v>1377</v>
      </c>
      <c r="B427" s="4">
        <v>45561</v>
      </c>
      <c r="C427" s="4">
        <v>45562</v>
      </c>
      <c r="D427" s="6">
        <v>1</v>
      </c>
      <c r="E427" t="s">
        <v>2788</v>
      </c>
      <c r="F427" t="s">
        <v>2788</v>
      </c>
      <c r="G427" t="s">
        <v>2788</v>
      </c>
      <c r="H427" t="s">
        <v>1378</v>
      </c>
      <c r="I427" t="s">
        <v>47</v>
      </c>
      <c r="J427" t="s">
        <v>95</v>
      </c>
      <c r="K427" t="s">
        <v>25</v>
      </c>
      <c r="L427" t="s">
        <v>350</v>
      </c>
      <c r="M427" t="s">
        <v>351</v>
      </c>
      <c r="N427" t="s">
        <v>28</v>
      </c>
      <c r="O427" t="s">
        <v>91</v>
      </c>
      <c r="P427" t="s">
        <v>1379</v>
      </c>
      <c r="Q427" t="s">
        <v>50</v>
      </c>
      <c r="R427">
        <v>2</v>
      </c>
      <c r="S427">
        <v>1065.69</v>
      </c>
      <c r="T427">
        <v>0.1</v>
      </c>
      <c r="U427">
        <v>1918.24</v>
      </c>
      <c r="V427">
        <v>1373.52</v>
      </c>
      <c r="W427">
        <v>544.72</v>
      </c>
      <c r="X427" t="s">
        <v>102</v>
      </c>
      <c r="Y427" t="s">
        <v>68</v>
      </c>
      <c r="Z427" t="str">
        <f t="shared" si="84"/>
        <v>Unique</v>
      </c>
      <c r="AA427" t="str">
        <f t="shared" si="85"/>
        <v>Unique</v>
      </c>
      <c r="AB427" t="str">
        <f t="shared" si="89"/>
        <v>OK</v>
      </c>
      <c r="AC427">
        <f t="shared" si="90"/>
        <v>0.1</v>
      </c>
      <c r="AD427" t="str">
        <f t="shared" si="91"/>
        <v>OK</v>
      </c>
      <c r="AE427">
        <f t="shared" si="92"/>
        <v>1918.2420000000002</v>
      </c>
      <c r="AF427">
        <f t="shared" si="93"/>
        <v>544.72200000000021</v>
      </c>
      <c r="AG427">
        <f t="shared" si="94"/>
        <v>0.2839693844676533</v>
      </c>
      <c r="AH427" t="str">
        <f t="shared" si="86"/>
        <v>September</v>
      </c>
      <c r="AI427">
        <f t="shared" si="87"/>
        <v>2024</v>
      </c>
      <c r="AJ427" t="str">
        <f t="shared" si="95"/>
        <v>OK</v>
      </c>
      <c r="AK427" t="str">
        <f t="shared" si="96"/>
        <v>OK</v>
      </c>
      <c r="AL427" t="str">
        <f t="shared" si="97"/>
        <v>Exclude</v>
      </c>
      <c r="AM427" t="str">
        <f t="shared" si="88"/>
        <v>Clean</v>
      </c>
    </row>
    <row r="428" spans="1:39">
      <c r="A428" t="s">
        <v>1380</v>
      </c>
      <c r="B428" s="4">
        <v>45473</v>
      </c>
      <c r="C428" s="4">
        <v>45474</v>
      </c>
      <c r="D428" s="6">
        <v>1</v>
      </c>
      <c r="E428" t="s">
        <v>2788</v>
      </c>
      <c r="F428" t="s">
        <v>2788</v>
      </c>
      <c r="G428" t="s">
        <v>2788</v>
      </c>
      <c r="H428" t="s">
        <v>1381</v>
      </c>
      <c r="I428" t="s">
        <v>89</v>
      </c>
      <c r="J428" t="s">
        <v>24</v>
      </c>
      <c r="K428" t="s">
        <v>25</v>
      </c>
      <c r="L428" t="s">
        <v>236</v>
      </c>
      <c r="M428" t="s">
        <v>237</v>
      </c>
      <c r="N428" t="s">
        <v>74</v>
      </c>
      <c r="O428" t="s">
        <v>80</v>
      </c>
      <c r="P428" t="s">
        <v>1382</v>
      </c>
      <c r="Q428" t="s">
        <v>44</v>
      </c>
      <c r="R428">
        <v>8</v>
      </c>
      <c r="S428">
        <v>3756.66</v>
      </c>
      <c r="T428">
        <v>0.1</v>
      </c>
      <c r="U428">
        <v>27047.95</v>
      </c>
      <c r="V428">
        <v>18431.330000000002</v>
      </c>
      <c r="W428">
        <v>8616.6200000000008</v>
      </c>
      <c r="X428" t="s">
        <v>32</v>
      </c>
      <c r="Y428" t="s">
        <v>33</v>
      </c>
      <c r="Z428" t="str">
        <f t="shared" si="84"/>
        <v>Unique</v>
      </c>
      <c r="AA428" t="str">
        <f t="shared" si="85"/>
        <v>Unique</v>
      </c>
      <c r="AB428" t="str">
        <f t="shared" si="89"/>
        <v>OK</v>
      </c>
      <c r="AC428">
        <f t="shared" si="90"/>
        <v>0.1</v>
      </c>
      <c r="AD428" t="str">
        <f t="shared" si="91"/>
        <v>OK</v>
      </c>
      <c r="AE428">
        <f t="shared" si="92"/>
        <v>27047.952000000001</v>
      </c>
      <c r="AF428">
        <f t="shared" si="93"/>
        <v>8616.6219999999994</v>
      </c>
      <c r="AG428">
        <f t="shared" si="94"/>
        <v>0.31856837072174626</v>
      </c>
      <c r="AH428" t="str">
        <f t="shared" si="86"/>
        <v>June</v>
      </c>
      <c r="AI428">
        <f t="shared" si="87"/>
        <v>2024</v>
      </c>
      <c r="AJ428" t="str">
        <f t="shared" si="95"/>
        <v>OK</v>
      </c>
      <c r="AK428" t="str">
        <f t="shared" si="96"/>
        <v>OK</v>
      </c>
      <c r="AL428" t="str">
        <f t="shared" si="97"/>
        <v>Include</v>
      </c>
      <c r="AM428" t="str">
        <f t="shared" si="88"/>
        <v>Clean</v>
      </c>
    </row>
    <row r="429" spans="1:39">
      <c r="A429" t="s">
        <v>1383</v>
      </c>
      <c r="B429" s="4">
        <v>45769</v>
      </c>
      <c r="C429" s="4">
        <v>45771</v>
      </c>
      <c r="D429" s="6">
        <v>2</v>
      </c>
      <c r="E429" t="s">
        <v>2788</v>
      </c>
      <c r="F429" t="s">
        <v>2788</v>
      </c>
      <c r="G429" t="s">
        <v>2788</v>
      </c>
      <c r="H429" t="s">
        <v>1384</v>
      </c>
      <c r="I429" t="s">
        <v>47</v>
      </c>
      <c r="J429" t="s">
        <v>90</v>
      </c>
      <c r="K429" t="s">
        <v>2783</v>
      </c>
      <c r="L429" t="s">
        <v>228</v>
      </c>
      <c r="M429" t="s">
        <v>229</v>
      </c>
      <c r="N429" t="s">
        <v>74</v>
      </c>
      <c r="O429" t="s">
        <v>75</v>
      </c>
      <c r="P429" t="s">
        <v>1385</v>
      </c>
      <c r="Q429" t="s">
        <v>59</v>
      </c>
      <c r="R429">
        <v>9</v>
      </c>
      <c r="S429">
        <v>2939.44</v>
      </c>
      <c r="T429">
        <v>0</v>
      </c>
      <c r="U429">
        <v>26454.959999999999</v>
      </c>
      <c r="V429">
        <v>17630.25</v>
      </c>
      <c r="W429">
        <v>8824.7099999999991</v>
      </c>
      <c r="X429" t="s">
        <v>32</v>
      </c>
      <c r="Y429" t="s">
        <v>33</v>
      </c>
      <c r="Z429" t="str">
        <f t="shared" si="84"/>
        <v>Unique</v>
      </c>
      <c r="AA429" t="str">
        <f t="shared" si="85"/>
        <v>Unique</v>
      </c>
      <c r="AB429" t="str">
        <f t="shared" si="89"/>
        <v>OK</v>
      </c>
      <c r="AC429">
        <f t="shared" si="90"/>
        <v>0</v>
      </c>
      <c r="AD429" t="str">
        <f t="shared" si="91"/>
        <v>OK</v>
      </c>
      <c r="AE429">
        <f t="shared" si="92"/>
        <v>26454.959999999999</v>
      </c>
      <c r="AF429">
        <f t="shared" si="93"/>
        <v>8824.7099999999991</v>
      </c>
      <c r="AG429">
        <f t="shared" si="94"/>
        <v>0.33357487594008833</v>
      </c>
      <c r="AH429" t="str">
        <f t="shared" si="86"/>
        <v>April</v>
      </c>
      <c r="AI429">
        <f t="shared" si="87"/>
        <v>2025</v>
      </c>
      <c r="AJ429" t="str">
        <f t="shared" si="95"/>
        <v>OK</v>
      </c>
      <c r="AK429" t="str">
        <f t="shared" si="96"/>
        <v>OK</v>
      </c>
      <c r="AL429" t="str">
        <f t="shared" si="97"/>
        <v>Include</v>
      </c>
      <c r="AM429" t="str">
        <f t="shared" si="88"/>
        <v>Clean</v>
      </c>
    </row>
    <row r="430" spans="1:39">
      <c r="A430" t="s">
        <v>1386</v>
      </c>
      <c r="B430" s="4">
        <v>45731</v>
      </c>
      <c r="C430" s="4">
        <v>45738</v>
      </c>
      <c r="D430" s="6">
        <v>7</v>
      </c>
      <c r="E430" t="s">
        <v>2788</v>
      </c>
      <c r="F430" t="s">
        <v>2788</v>
      </c>
      <c r="G430" t="s">
        <v>2788</v>
      </c>
      <c r="H430" t="s">
        <v>1387</v>
      </c>
      <c r="I430" t="s">
        <v>23</v>
      </c>
      <c r="J430" t="s">
        <v>37</v>
      </c>
      <c r="K430" t="s">
        <v>38</v>
      </c>
      <c r="L430" t="s">
        <v>99</v>
      </c>
      <c r="M430" t="s">
        <v>100</v>
      </c>
      <c r="N430" t="s">
        <v>74</v>
      </c>
      <c r="O430" t="s">
        <v>171</v>
      </c>
      <c r="P430" t="s">
        <v>1388</v>
      </c>
      <c r="Q430" t="s">
        <v>44</v>
      </c>
      <c r="R430">
        <v>2</v>
      </c>
      <c r="S430">
        <v>1235.93</v>
      </c>
      <c r="T430">
        <v>0.25</v>
      </c>
      <c r="U430">
        <v>1853.89</v>
      </c>
      <c r="V430">
        <v>1101.23</v>
      </c>
      <c r="W430">
        <v>752.66</v>
      </c>
      <c r="X430" t="s">
        <v>111</v>
      </c>
      <c r="Y430" t="s">
        <v>68</v>
      </c>
      <c r="Z430" t="str">
        <f t="shared" si="84"/>
        <v>Unique</v>
      </c>
      <c r="AA430" t="str">
        <f t="shared" si="85"/>
        <v>Unique</v>
      </c>
      <c r="AB430" t="str">
        <f t="shared" si="89"/>
        <v>OK</v>
      </c>
      <c r="AC430">
        <f t="shared" si="90"/>
        <v>0.25</v>
      </c>
      <c r="AD430" t="str">
        <f t="shared" si="91"/>
        <v>OK</v>
      </c>
      <c r="AE430">
        <f t="shared" si="92"/>
        <v>1853.895</v>
      </c>
      <c r="AF430">
        <f t="shared" si="93"/>
        <v>752.66499999999996</v>
      </c>
      <c r="AG430">
        <f t="shared" si="94"/>
        <v>0.40599116994220275</v>
      </c>
      <c r="AH430" t="str">
        <f t="shared" si="86"/>
        <v>March</v>
      </c>
      <c r="AI430">
        <f t="shared" si="87"/>
        <v>2025</v>
      </c>
      <c r="AJ430" t="str">
        <f t="shared" si="95"/>
        <v>OK</v>
      </c>
      <c r="AK430" t="str">
        <f t="shared" si="96"/>
        <v>OK</v>
      </c>
      <c r="AL430" t="str">
        <f t="shared" si="97"/>
        <v>Exclude</v>
      </c>
      <c r="AM430" t="str">
        <f t="shared" si="88"/>
        <v>Clean</v>
      </c>
    </row>
    <row r="431" spans="1:39">
      <c r="A431" t="s">
        <v>1389</v>
      </c>
      <c r="B431" s="4">
        <v>45717</v>
      </c>
      <c r="C431" s="4">
        <v>45724</v>
      </c>
      <c r="D431" s="6">
        <v>7</v>
      </c>
      <c r="E431" t="s">
        <v>2788</v>
      </c>
      <c r="F431" t="s">
        <v>2788</v>
      </c>
      <c r="G431" t="s">
        <v>2788</v>
      </c>
      <c r="H431" t="s">
        <v>1390</v>
      </c>
      <c r="I431" t="s">
        <v>79</v>
      </c>
      <c r="J431" t="s">
        <v>95</v>
      </c>
      <c r="K431" t="s">
        <v>25</v>
      </c>
      <c r="L431" t="s">
        <v>26</v>
      </c>
      <c r="M431" t="s">
        <v>27</v>
      </c>
      <c r="N431" t="s">
        <v>74</v>
      </c>
      <c r="O431" t="s">
        <v>80</v>
      </c>
      <c r="P431" t="s">
        <v>1391</v>
      </c>
      <c r="Q431" t="s">
        <v>44</v>
      </c>
      <c r="R431">
        <v>8</v>
      </c>
      <c r="S431">
        <v>2943.1</v>
      </c>
      <c r="T431">
        <v>0.25</v>
      </c>
      <c r="U431">
        <v>17658.599999999999</v>
      </c>
      <c r="V431">
        <v>13842.48</v>
      </c>
      <c r="W431">
        <v>3816.12</v>
      </c>
      <c r="X431" t="s">
        <v>32</v>
      </c>
      <c r="Y431" t="s">
        <v>33</v>
      </c>
      <c r="Z431" t="str">
        <f t="shared" si="84"/>
        <v>Unique</v>
      </c>
      <c r="AA431" t="str">
        <f t="shared" si="85"/>
        <v>Unique</v>
      </c>
      <c r="AB431" t="str">
        <f t="shared" si="89"/>
        <v>OK</v>
      </c>
      <c r="AC431">
        <f t="shared" si="90"/>
        <v>0.25</v>
      </c>
      <c r="AD431" t="str">
        <f t="shared" si="91"/>
        <v>OK</v>
      </c>
      <c r="AE431">
        <f t="shared" si="92"/>
        <v>17658.599999999999</v>
      </c>
      <c r="AF431">
        <f t="shared" si="93"/>
        <v>3816.119999999999</v>
      </c>
      <c r="AG431">
        <f t="shared" si="94"/>
        <v>0.2161054670245659</v>
      </c>
      <c r="AH431" t="str">
        <f t="shared" si="86"/>
        <v>March</v>
      </c>
      <c r="AI431">
        <f t="shared" si="87"/>
        <v>2025</v>
      </c>
      <c r="AJ431" t="str">
        <f t="shared" si="95"/>
        <v>OK</v>
      </c>
      <c r="AK431" t="str">
        <f t="shared" si="96"/>
        <v>OK</v>
      </c>
      <c r="AL431" t="str">
        <f t="shared" si="97"/>
        <v>Include</v>
      </c>
      <c r="AM431" t="str">
        <f t="shared" si="88"/>
        <v>Clean</v>
      </c>
    </row>
    <row r="432" spans="1:39">
      <c r="A432" t="s">
        <v>1392</v>
      </c>
      <c r="B432" s="4">
        <v>45534</v>
      </c>
      <c r="C432" s="4">
        <v>45537</v>
      </c>
      <c r="D432" s="6">
        <v>3</v>
      </c>
      <c r="E432" t="s">
        <v>2788</v>
      </c>
      <c r="F432" t="s">
        <v>2788</v>
      </c>
      <c r="G432" t="s">
        <v>2788</v>
      </c>
      <c r="H432" t="s">
        <v>1393</v>
      </c>
      <c r="I432" t="s">
        <v>79</v>
      </c>
      <c r="J432" t="s">
        <v>37</v>
      </c>
      <c r="K432" t="s">
        <v>25</v>
      </c>
      <c r="L432" t="s">
        <v>236</v>
      </c>
      <c r="M432" t="s">
        <v>237</v>
      </c>
      <c r="N432" t="s">
        <v>28</v>
      </c>
      <c r="O432" t="s">
        <v>29</v>
      </c>
      <c r="P432" t="s">
        <v>1394</v>
      </c>
      <c r="Q432" t="s">
        <v>31</v>
      </c>
      <c r="R432">
        <v>1</v>
      </c>
      <c r="S432">
        <v>4320.84</v>
      </c>
      <c r="T432">
        <v>0.15</v>
      </c>
      <c r="U432">
        <v>3672.71</v>
      </c>
      <c r="V432">
        <v>2714.23</v>
      </c>
      <c r="W432">
        <v>763.38</v>
      </c>
      <c r="X432" t="s">
        <v>32</v>
      </c>
      <c r="Y432" t="s">
        <v>33</v>
      </c>
      <c r="Z432" t="str">
        <f t="shared" si="84"/>
        <v>Unique</v>
      </c>
      <c r="AA432" t="str">
        <f t="shared" si="85"/>
        <v>Unique</v>
      </c>
      <c r="AB432" t="str">
        <f t="shared" si="89"/>
        <v>OK</v>
      </c>
      <c r="AC432">
        <f t="shared" si="90"/>
        <v>0.15</v>
      </c>
      <c r="AD432" t="str">
        <f t="shared" si="91"/>
        <v>OK</v>
      </c>
      <c r="AE432">
        <f t="shared" si="92"/>
        <v>3672.7139999999999</v>
      </c>
      <c r="AF432">
        <f t="shared" si="93"/>
        <v>958.48399999999992</v>
      </c>
      <c r="AG432">
        <f t="shared" si="94"/>
        <v>0.26097430946161337</v>
      </c>
      <c r="AH432" t="str">
        <f t="shared" si="86"/>
        <v>August</v>
      </c>
      <c r="AI432">
        <f t="shared" si="87"/>
        <v>2024</v>
      </c>
      <c r="AJ432" t="str">
        <f t="shared" si="95"/>
        <v>OK</v>
      </c>
      <c r="AK432" t="str">
        <f t="shared" si="96"/>
        <v>Profit Mismatch</v>
      </c>
      <c r="AL432" t="str">
        <f t="shared" si="97"/>
        <v>Include</v>
      </c>
      <c r="AM432" t="str">
        <f t="shared" si="88"/>
        <v>Warning</v>
      </c>
    </row>
    <row r="433" spans="1:39">
      <c r="A433" t="s">
        <v>1395</v>
      </c>
      <c r="B433" s="4">
        <v>45332</v>
      </c>
      <c r="C433" s="4">
        <v>45335</v>
      </c>
      <c r="D433" s="6">
        <v>3</v>
      </c>
      <c r="E433" t="s">
        <v>2788</v>
      </c>
      <c r="F433" t="s">
        <v>2788</v>
      </c>
      <c r="G433" t="s">
        <v>2788</v>
      </c>
      <c r="H433" t="s">
        <v>1396</v>
      </c>
      <c r="I433" t="s">
        <v>23</v>
      </c>
      <c r="J433" t="s">
        <v>95</v>
      </c>
      <c r="K433" t="s">
        <v>63</v>
      </c>
      <c r="L433" t="s">
        <v>190</v>
      </c>
      <c r="M433" t="s">
        <v>191</v>
      </c>
      <c r="N433" t="s">
        <v>74</v>
      </c>
      <c r="O433" t="s">
        <v>274</v>
      </c>
      <c r="P433" t="s">
        <v>1397</v>
      </c>
      <c r="Q433" t="s">
        <v>44</v>
      </c>
      <c r="R433">
        <v>2</v>
      </c>
      <c r="S433">
        <v>4118.45</v>
      </c>
      <c r="T433">
        <v>0.25</v>
      </c>
      <c r="U433">
        <v>6177.67</v>
      </c>
      <c r="V433">
        <v>4520.75</v>
      </c>
      <c r="W433">
        <v>1656.92</v>
      </c>
      <c r="X433" t="s">
        <v>32</v>
      </c>
      <c r="Y433" t="s">
        <v>33</v>
      </c>
      <c r="Z433" t="str">
        <f t="shared" si="84"/>
        <v>Unique</v>
      </c>
      <c r="AA433" t="str">
        <f t="shared" si="85"/>
        <v>Unique</v>
      </c>
      <c r="AB433" t="str">
        <f t="shared" si="89"/>
        <v>OK</v>
      </c>
      <c r="AC433">
        <f t="shared" si="90"/>
        <v>0.25</v>
      </c>
      <c r="AD433" t="str">
        <f t="shared" si="91"/>
        <v>OK</v>
      </c>
      <c r="AE433">
        <f t="shared" si="92"/>
        <v>6177.6749999999993</v>
      </c>
      <c r="AF433">
        <f t="shared" si="93"/>
        <v>1656.9249999999993</v>
      </c>
      <c r="AG433">
        <f t="shared" si="94"/>
        <v>0.26821174632851347</v>
      </c>
      <c r="AH433" t="str">
        <f t="shared" si="86"/>
        <v>February</v>
      </c>
      <c r="AI433">
        <f t="shared" si="87"/>
        <v>2024</v>
      </c>
      <c r="AJ433" t="str">
        <f t="shared" si="95"/>
        <v>OK</v>
      </c>
      <c r="AK433" t="str">
        <f t="shared" si="96"/>
        <v>OK</v>
      </c>
      <c r="AL433" t="str">
        <f t="shared" si="97"/>
        <v>Include</v>
      </c>
      <c r="AM433" t="str">
        <f t="shared" si="88"/>
        <v>Clean</v>
      </c>
    </row>
    <row r="434" spans="1:39">
      <c r="A434" t="s">
        <v>1398</v>
      </c>
      <c r="B434" s="4">
        <v>45533</v>
      </c>
      <c r="C434" s="4">
        <v>45537</v>
      </c>
      <c r="D434" s="6">
        <v>4</v>
      </c>
      <c r="E434" t="s">
        <v>2788</v>
      </c>
      <c r="F434" t="s">
        <v>2788</v>
      </c>
      <c r="G434" t="s">
        <v>2788</v>
      </c>
      <c r="H434" t="s">
        <v>1399</v>
      </c>
      <c r="I434" t="s">
        <v>114</v>
      </c>
      <c r="J434" t="s">
        <v>37</v>
      </c>
      <c r="K434" t="s">
        <v>63</v>
      </c>
      <c r="L434" t="s">
        <v>64</v>
      </c>
      <c r="M434" t="s">
        <v>65</v>
      </c>
      <c r="N434" t="s">
        <v>41</v>
      </c>
      <c r="O434" t="s">
        <v>158</v>
      </c>
      <c r="P434" t="s">
        <v>1400</v>
      </c>
      <c r="Q434" t="s">
        <v>59</v>
      </c>
      <c r="R434">
        <v>6</v>
      </c>
      <c r="S434">
        <v>172.82</v>
      </c>
      <c r="T434">
        <v>0.05</v>
      </c>
      <c r="U434">
        <v>985.07</v>
      </c>
      <c r="V434">
        <v>844.48</v>
      </c>
      <c r="W434">
        <v>140.59</v>
      </c>
      <c r="X434" t="s">
        <v>32</v>
      </c>
      <c r="Y434" t="s">
        <v>33</v>
      </c>
      <c r="Z434" t="str">
        <f t="shared" si="84"/>
        <v>Unique</v>
      </c>
      <c r="AA434" t="str">
        <f t="shared" si="85"/>
        <v>Unique</v>
      </c>
      <c r="AB434" t="str">
        <f t="shared" si="89"/>
        <v>OK</v>
      </c>
      <c r="AC434">
        <f t="shared" si="90"/>
        <v>0.05</v>
      </c>
      <c r="AD434" t="str">
        <f t="shared" si="91"/>
        <v>OK</v>
      </c>
      <c r="AE434">
        <f t="shared" si="92"/>
        <v>985.07400000000007</v>
      </c>
      <c r="AF434">
        <f t="shared" si="93"/>
        <v>140.59400000000005</v>
      </c>
      <c r="AG434">
        <f t="shared" si="94"/>
        <v>0.14272430294576857</v>
      </c>
      <c r="AH434" t="str">
        <f t="shared" si="86"/>
        <v>August</v>
      </c>
      <c r="AI434">
        <f t="shared" si="87"/>
        <v>2024</v>
      </c>
      <c r="AJ434" t="str">
        <f t="shared" si="95"/>
        <v>OK</v>
      </c>
      <c r="AK434" t="str">
        <f t="shared" si="96"/>
        <v>OK</v>
      </c>
      <c r="AL434" t="str">
        <f t="shared" si="97"/>
        <v>Include</v>
      </c>
      <c r="AM434" t="str">
        <f t="shared" si="88"/>
        <v>Clean</v>
      </c>
    </row>
    <row r="435" spans="1:39">
      <c r="A435" t="s">
        <v>1401</v>
      </c>
      <c r="B435" s="4">
        <v>45401</v>
      </c>
      <c r="C435" s="4">
        <v>45402</v>
      </c>
      <c r="D435" s="6">
        <v>1</v>
      </c>
      <c r="E435" t="s">
        <v>2788</v>
      </c>
      <c r="F435" t="s">
        <v>2788</v>
      </c>
      <c r="G435" t="s">
        <v>2788</v>
      </c>
      <c r="H435" t="s">
        <v>1402</v>
      </c>
      <c r="I435" t="s">
        <v>114</v>
      </c>
      <c r="J435" t="s">
        <v>90</v>
      </c>
      <c r="K435" t="s">
        <v>54</v>
      </c>
      <c r="L435" t="s">
        <v>185</v>
      </c>
      <c r="M435" t="s">
        <v>186</v>
      </c>
      <c r="N435" t="s">
        <v>28</v>
      </c>
      <c r="O435" t="s">
        <v>48</v>
      </c>
      <c r="P435" t="s">
        <v>1403</v>
      </c>
      <c r="Q435" t="s">
        <v>31</v>
      </c>
      <c r="R435">
        <v>4</v>
      </c>
      <c r="S435">
        <v>1540.22</v>
      </c>
      <c r="T435">
        <v>0</v>
      </c>
      <c r="U435">
        <v>6160.88</v>
      </c>
      <c r="V435">
        <v>4938.7</v>
      </c>
      <c r="W435">
        <v>1222.18</v>
      </c>
      <c r="X435" t="s">
        <v>102</v>
      </c>
      <c r="Y435" t="s">
        <v>103</v>
      </c>
      <c r="Z435" t="str">
        <f t="shared" si="84"/>
        <v>Unique</v>
      </c>
      <c r="AA435" t="str">
        <f t="shared" si="85"/>
        <v>Unique</v>
      </c>
      <c r="AB435" t="str">
        <f t="shared" si="89"/>
        <v>OK</v>
      </c>
      <c r="AC435">
        <f t="shared" si="90"/>
        <v>0</v>
      </c>
      <c r="AD435" t="str">
        <f t="shared" si="91"/>
        <v>OK</v>
      </c>
      <c r="AE435">
        <f t="shared" si="92"/>
        <v>6160.88</v>
      </c>
      <c r="AF435">
        <f t="shared" si="93"/>
        <v>1222.1800000000003</v>
      </c>
      <c r="AG435">
        <f t="shared" si="94"/>
        <v>0.19837750451234243</v>
      </c>
      <c r="AH435" t="str">
        <f t="shared" si="86"/>
        <v>April</v>
      </c>
      <c r="AI435">
        <f t="shared" si="87"/>
        <v>2024</v>
      </c>
      <c r="AJ435" t="str">
        <f t="shared" si="95"/>
        <v>OK</v>
      </c>
      <c r="AK435" t="str">
        <f t="shared" si="96"/>
        <v>OK</v>
      </c>
      <c r="AL435" t="str">
        <f t="shared" si="97"/>
        <v>Exclude</v>
      </c>
      <c r="AM435" t="str">
        <f t="shared" si="88"/>
        <v>Clean</v>
      </c>
    </row>
    <row r="436" spans="1:39">
      <c r="A436" t="s">
        <v>1404</v>
      </c>
      <c r="B436" s="4">
        <v>45758</v>
      </c>
      <c r="C436" s="4">
        <v>45762</v>
      </c>
      <c r="D436" s="6">
        <v>4</v>
      </c>
      <c r="E436" t="s">
        <v>2788</v>
      </c>
      <c r="F436" t="s">
        <v>2788</v>
      </c>
      <c r="G436" t="s">
        <v>2788</v>
      </c>
      <c r="H436" t="s">
        <v>1405</v>
      </c>
      <c r="I436" t="s">
        <v>36</v>
      </c>
      <c r="J436" t="s">
        <v>95</v>
      </c>
      <c r="K436" t="s">
        <v>25</v>
      </c>
      <c r="L436" t="s">
        <v>136</v>
      </c>
      <c r="M436" t="s">
        <v>137</v>
      </c>
      <c r="N436" t="s">
        <v>74</v>
      </c>
      <c r="O436" t="s">
        <v>75</v>
      </c>
      <c r="P436" t="s">
        <v>1406</v>
      </c>
      <c r="Q436" t="s">
        <v>31</v>
      </c>
      <c r="R436">
        <v>5</v>
      </c>
      <c r="S436">
        <v>652.78</v>
      </c>
      <c r="T436">
        <v>0</v>
      </c>
      <c r="U436">
        <v>3263.9</v>
      </c>
      <c r="V436">
        <v>2068.44</v>
      </c>
      <c r="W436">
        <v>1195.46</v>
      </c>
      <c r="X436" t="s">
        <v>32</v>
      </c>
      <c r="Y436" t="s">
        <v>33</v>
      </c>
      <c r="Z436" t="str">
        <f t="shared" si="84"/>
        <v>Unique</v>
      </c>
      <c r="AA436" t="str">
        <f t="shared" si="85"/>
        <v>Unique</v>
      </c>
      <c r="AB436" t="str">
        <f t="shared" si="89"/>
        <v>OK</v>
      </c>
      <c r="AC436">
        <f t="shared" si="90"/>
        <v>0</v>
      </c>
      <c r="AD436" t="str">
        <f t="shared" si="91"/>
        <v>OK</v>
      </c>
      <c r="AE436">
        <f t="shared" si="92"/>
        <v>3263.8999999999996</v>
      </c>
      <c r="AF436">
        <f t="shared" si="93"/>
        <v>1195.4599999999996</v>
      </c>
      <c r="AG436">
        <f t="shared" si="94"/>
        <v>0.3662673488771101</v>
      </c>
      <c r="AH436" t="str">
        <f t="shared" si="86"/>
        <v>April</v>
      </c>
      <c r="AI436">
        <f t="shared" si="87"/>
        <v>2025</v>
      </c>
      <c r="AJ436" t="str">
        <f t="shared" si="95"/>
        <v>OK</v>
      </c>
      <c r="AK436" t="str">
        <f t="shared" si="96"/>
        <v>OK</v>
      </c>
      <c r="AL436" t="str">
        <f t="shared" si="97"/>
        <v>Include</v>
      </c>
      <c r="AM436" t="str">
        <f t="shared" si="88"/>
        <v>Clean</v>
      </c>
    </row>
    <row r="437" spans="1:39">
      <c r="A437" t="s">
        <v>1407</v>
      </c>
      <c r="B437" s="4">
        <v>45759</v>
      </c>
      <c r="C437" s="4">
        <v>45767</v>
      </c>
      <c r="D437" s="6">
        <v>8</v>
      </c>
      <c r="E437" t="s">
        <v>2788</v>
      </c>
      <c r="F437" t="s">
        <v>2788</v>
      </c>
      <c r="G437" t="s">
        <v>2788</v>
      </c>
      <c r="H437" t="s">
        <v>1408</v>
      </c>
      <c r="I437" t="s">
        <v>264</v>
      </c>
      <c r="J437" t="s">
        <v>95</v>
      </c>
      <c r="K437" t="s">
        <v>25</v>
      </c>
      <c r="L437" t="s">
        <v>350</v>
      </c>
      <c r="M437" t="s">
        <v>351</v>
      </c>
      <c r="N437" t="s">
        <v>74</v>
      </c>
      <c r="O437" t="s">
        <v>274</v>
      </c>
      <c r="P437" t="s">
        <v>1409</v>
      </c>
      <c r="Q437" t="s">
        <v>59</v>
      </c>
      <c r="R437">
        <v>1</v>
      </c>
      <c r="S437">
        <v>2737.71</v>
      </c>
      <c r="T437">
        <v>0.15</v>
      </c>
      <c r="U437">
        <v>2327.0500000000002</v>
      </c>
      <c r="V437">
        <v>1919.42</v>
      </c>
      <c r="W437">
        <v>407.63</v>
      </c>
      <c r="X437" t="s">
        <v>32</v>
      </c>
      <c r="Y437" t="s">
        <v>68</v>
      </c>
      <c r="Z437" t="str">
        <f t="shared" si="84"/>
        <v>Unique</v>
      </c>
      <c r="AA437" t="str">
        <f t="shared" si="85"/>
        <v>Unique</v>
      </c>
      <c r="AB437" t="str">
        <f t="shared" si="89"/>
        <v>OK</v>
      </c>
      <c r="AC437">
        <f t="shared" si="90"/>
        <v>0.15</v>
      </c>
      <c r="AD437" t="str">
        <f t="shared" si="91"/>
        <v>OK</v>
      </c>
      <c r="AE437">
        <f t="shared" si="92"/>
        <v>2327.0535</v>
      </c>
      <c r="AF437">
        <f t="shared" si="93"/>
        <v>407.63349999999991</v>
      </c>
      <c r="AG437">
        <f t="shared" si="94"/>
        <v>0.17517152055163318</v>
      </c>
      <c r="AH437" t="str">
        <f t="shared" si="86"/>
        <v>April</v>
      </c>
      <c r="AI437">
        <f t="shared" si="87"/>
        <v>2025</v>
      </c>
      <c r="AJ437" t="str">
        <f t="shared" si="95"/>
        <v>OK</v>
      </c>
      <c r="AK437" t="str">
        <f t="shared" si="96"/>
        <v>OK</v>
      </c>
      <c r="AL437" t="str">
        <f t="shared" si="97"/>
        <v>Exclude</v>
      </c>
      <c r="AM437" t="str">
        <f t="shared" si="88"/>
        <v>Clean</v>
      </c>
    </row>
    <row r="438" spans="1:39">
      <c r="A438" t="s">
        <v>1410</v>
      </c>
      <c r="B438" s="4">
        <v>45459</v>
      </c>
      <c r="C438" s="4">
        <v>45464</v>
      </c>
      <c r="D438" s="6">
        <v>5</v>
      </c>
      <c r="E438" t="s">
        <v>2788</v>
      </c>
      <c r="F438" t="s">
        <v>2788</v>
      </c>
      <c r="G438" t="s">
        <v>2788</v>
      </c>
      <c r="H438" t="s">
        <v>1411</v>
      </c>
      <c r="I438" t="s">
        <v>79</v>
      </c>
      <c r="J438" t="s">
        <v>24</v>
      </c>
      <c r="K438" t="s">
        <v>54</v>
      </c>
      <c r="L438" t="s">
        <v>185</v>
      </c>
      <c r="M438" t="s">
        <v>186</v>
      </c>
      <c r="N438" t="s">
        <v>41</v>
      </c>
      <c r="O438" t="s">
        <v>57</v>
      </c>
      <c r="P438" t="s">
        <v>1412</v>
      </c>
      <c r="Q438" t="s">
        <v>44</v>
      </c>
      <c r="R438">
        <v>6</v>
      </c>
      <c r="S438">
        <v>1156.78</v>
      </c>
      <c r="T438">
        <v>0.05</v>
      </c>
      <c r="U438">
        <v>6593.65</v>
      </c>
      <c r="V438">
        <v>4359.3900000000003</v>
      </c>
      <c r="W438">
        <v>2234.2600000000002</v>
      </c>
      <c r="X438" t="s">
        <v>32</v>
      </c>
      <c r="Y438" t="s">
        <v>103</v>
      </c>
      <c r="Z438" t="str">
        <f t="shared" si="84"/>
        <v>Unique</v>
      </c>
      <c r="AA438" t="str">
        <f t="shared" si="85"/>
        <v>Unique</v>
      </c>
      <c r="AB438" t="str">
        <f t="shared" si="89"/>
        <v>OK</v>
      </c>
      <c r="AC438">
        <f t="shared" si="90"/>
        <v>0.05</v>
      </c>
      <c r="AD438" t="str">
        <f t="shared" si="91"/>
        <v>OK</v>
      </c>
      <c r="AE438">
        <f t="shared" si="92"/>
        <v>6593.6459999999997</v>
      </c>
      <c r="AF438">
        <f t="shared" si="93"/>
        <v>2234.2559999999994</v>
      </c>
      <c r="AG438">
        <f t="shared" si="94"/>
        <v>0.33884985636171544</v>
      </c>
      <c r="AH438" t="str">
        <f t="shared" si="86"/>
        <v>June</v>
      </c>
      <c r="AI438">
        <f t="shared" si="87"/>
        <v>2024</v>
      </c>
      <c r="AJ438" t="str">
        <f t="shared" si="95"/>
        <v>OK</v>
      </c>
      <c r="AK438" t="str">
        <f t="shared" si="96"/>
        <v>OK</v>
      </c>
      <c r="AL438" t="str">
        <f t="shared" si="97"/>
        <v>Exclude</v>
      </c>
      <c r="AM438" t="str">
        <f t="shared" si="88"/>
        <v>Clean</v>
      </c>
    </row>
    <row r="439" spans="1:39">
      <c r="A439" t="s">
        <v>1413</v>
      </c>
      <c r="B439" s="4">
        <v>45337</v>
      </c>
      <c r="C439" s="4">
        <v>45340</v>
      </c>
      <c r="D439" s="6">
        <v>3</v>
      </c>
      <c r="E439" t="s">
        <v>2788</v>
      </c>
      <c r="F439" t="s">
        <v>2788</v>
      </c>
      <c r="G439" t="s">
        <v>2788</v>
      </c>
      <c r="H439" t="s">
        <v>1414</v>
      </c>
      <c r="I439" t="s">
        <v>89</v>
      </c>
      <c r="J439" t="s">
        <v>37</v>
      </c>
      <c r="K439" t="s">
        <v>54</v>
      </c>
      <c r="L439" t="s">
        <v>185</v>
      </c>
      <c r="M439" t="s">
        <v>186</v>
      </c>
      <c r="N439" t="s">
        <v>74</v>
      </c>
      <c r="O439" t="s">
        <v>75</v>
      </c>
      <c r="P439" t="s">
        <v>1415</v>
      </c>
      <c r="Q439" t="s">
        <v>44</v>
      </c>
      <c r="R439">
        <v>8</v>
      </c>
      <c r="S439">
        <v>379.82</v>
      </c>
      <c r="T439">
        <v>0.05</v>
      </c>
      <c r="U439">
        <v>2886.63</v>
      </c>
      <c r="V439">
        <v>1588.23</v>
      </c>
      <c r="W439">
        <v>1298.4000000000001</v>
      </c>
      <c r="X439" t="s">
        <v>155</v>
      </c>
      <c r="Y439" t="s">
        <v>103</v>
      </c>
      <c r="Z439" t="str">
        <f t="shared" si="84"/>
        <v>Unique</v>
      </c>
      <c r="AA439" t="str">
        <f t="shared" si="85"/>
        <v>Unique</v>
      </c>
      <c r="AB439" t="str">
        <f t="shared" si="89"/>
        <v>OK</v>
      </c>
      <c r="AC439">
        <f t="shared" si="90"/>
        <v>0.05</v>
      </c>
      <c r="AD439" t="str">
        <f t="shared" si="91"/>
        <v>OK</v>
      </c>
      <c r="AE439">
        <f t="shared" si="92"/>
        <v>2886.6319999999996</v>
      </c>
      <c r="AF439">
        <f t="shared" si="93"/>
        <v>1298.4019999999996</v>
      </c>
      <c r="AG439">
        <f t="shared" si="94"/>
        <v>0.44979824238073984</v>
      </c>
      <c r="AH439" t="str">
        <f t="shared" si="86"/>
        <v>February</v>
      </c>
      <c r="AI439">
        <f t="shared" si="87"/>
        <v>2024</v>
      </c>
      <c r="AJ439" t="str">
        <f t="shared" si="95"/>
        <v>OK</v>
      </c>
      <c r="AK439" t="str">
        <f t="shared" si="96"/>
        <v>OK</v>
      </c>
      <c r="AL439" t="str">
        <f t="shared" si="97"/>
        <v>Exclude</v>
      </c>
      <c r="AM439" t="str">
        <f t="shared" si="88"/>
        <v>Clean</v>
      </c>
    </row>
    <row r="440" spans="1:39">
      <c r="A440" t="s">
        <v>1416</v>
      </c>
      <c r="B440" s="4">
        <v>45784</v>
      </c>
      <c r="C440" s="4">
        <v>45782</v>
      </c>
      <c r="D440" s="6">
        <v>-2</v>
      </c>
      <c r="E440" t="s">
        <v>2788</v>
      </c>
      <c r="F440" t="s">
        <v>2788</v>
      </c>
      <c r="G440" t="s">
        <v>2790</v>
      </c>
      <c r="H440" t="s">
        <v>1417</v>
      </c>
      <c r="I440" t="s">
        <v>79</v>
      </c>
      <c r="J440" t="s">
        <v>90</v>
      </c>
      <c r="K440" t="s">
        <v>38</v>
      </c>
      <c r="L440" t="s">
        <v>228</v>
      </c>
      <c r="M440" t="s">
        <v>229</v>
      </c>
      <c r="N440" t="s">
        <v>74</v>
      </c>
      <c r="O440" t="s">
        <v>171</v>
      </c>
      <c r="P440" t="s">
        <v>1418</v>
      </c>
      <c r="Q440" t="s">
        <v>59</v>
      </c>
      <c r="R440">
        <v>1</v>
      </c>
      <c r="S440">
        <v>2266.4699999999998</v>
      </c>
      <c r="T440">
        <v>0.2</v>
      </c>
      <c r="U440">
        <v>1813.18</v>
      </c>
      <c r="V440">
        <v>1363.64</v>
      </c>
      <c r="W440">
        <v>449.54</v>
      </c>
      <c r="X440" t="s">
        <v>32</v>
      </c>
      <c r="Y440" t="s">
        <v>33</v>
      </c>
      <c r="Z440" t="str">
        <f t="shared" si="84"/>
        <v>Unique</v>
      </c>
      <c r="AA440" t="str">
        <f t="shared" si="85"/>
        <v>Unique</v>
      </c>
      <c r="AB440" t="str">
        <f t="shared" si="89"/>
        <v>OK</v>
      </c>
      <c r="AC440">
        <f t="shared" si="90"/>
        <v>0.2</v>
      </c>
      <c r="AD440" t="str">
        <f t="shared" si="91"/>
        <v>OK</v>
      </c>
      <c r="AE440">
        <f t="shared" si="92"/>
        <v>1813.1759999999999</v>
      </c>
      <c r="AF440">
        <f t="shared" si="93"/>
        <v>449.53599999999983</v>
      </c>
      <c r="AG440">
        <f t="shared" si="94"/>
        <v>0.24792739370033567</v>
      </c>
      <c r="AH440" t="str">
        <f t="shared" si="86"/>
        <v>May</v>
      </c>
      <c r="AI440">
        <f t="shared" si="87"/>
        <v>2025</v>
      </c>
      <c r="AJ440" t="str">
        <f t="shared" si="95"/>
        <v>OK</v>
      </c>
      <c r="AK440" t="str">
        <f t="shared" si="96"/>
        <v>OK</v>
      </c>
      <c r="AL440" t="str">
        <f t="shared" si="97"/>
        <v>Include</v>
      </c>
      <c r="AM440" t="str">
        <f t="shared" si="88"/>
        <v>Warning</v>
      </c>
    </row>
    <row r="441" spans="1:39">
      <c r="A441" t="s">
        <v>1419</v>
      </c>
      <c r="B441" s="4">
        <v>45838</v>
      </c>
      <c r="C441" s="4">
        <v>45841</v>
      </c>
      <c r="D441" s="6">
        <v>3</v>
      </c>
      <c r="E441" t="s">
        <v>2788</v>
      </c>
      <c r="F441" t="s">
        <v>2788</v>
      </c>
      <c r="G441" t="s">
        <v>2788</v>
      </c>
      <c r="H441" t="s">
        <v>1420</v>
      </c>
      <c r="I441" t="s">
        <v>128</v>
      </c>
      <c r="J441" t="s">
        <v>95</v>
      </c>
      <c r="K441" t="s">
        <v>63</v>
      </c>
      <c r="L441" t="s">
        <v>190</v>
      </c>
      <c r="M441" t="s">
        <v>191</v>
      </c>
      <c r="N441" t="s">
        <v>28</v>
      </c>
      <c r="O441" t="s">
        <v>124</v>
      </c>
      <c r="P441" t="s">
        <v>1421</v>
      </c>
      <c r="Q441" t="s">
        <v>44</v>
      </c>
      <c r="R441">
        <v>5</v>
      </c>
      <c r="S441">
        <v>665.25</v>
      </c>
      <c r="T441">
        <v>0</v>
      </c>
      <c r="U441">
        <v>3326.25</v>
      </c>
      <c r="V441">
        <v>2689.36</v>
      </c>
      <c r="W441">
        <v>636.89</v>
      </c>
      <c r="X441" t="s">
        <v>102</v>
      </c>
      <c r="Y441" t="s">
        <v>103</v>
      </c>
      <c r="Z441" t="str">
        <f t="shared" si="84"/>
        <v>Unique</v>
      </c>
      <c r="AA441" t="str">
        <f t="shared" si="85"/>
        <v>Unique</v>
      </c>
      <c r="AB441" t="str">
        <f t="shared" si="89"/>
        <v>OK</v>
      </c>
      <c r="AC441">
        <f t="shared" si="90"/>
        <v>0</v>
      </c>
      <c r="AD441" t="str">
        <f t="shared" si="91"/>
        <v>OK</v>
      </c>
      <c r="AE441">
        <f t="shared" si="92"/>
        <v>3326.25</v>
      </c>
      <c r="AF441">
        <f t="shared" si="93"/>
        <v>636.88999999999987</v>
      </c>
      <c r="AG441">
        <f t="shared" si="94"/>
        <v>0.19147388199924836</v>
      </c>
      <c r="AH441" t="str">
        <f t="shared" si="86"/>
        <v>June</v>
      </c>
      <c r="AI441">
        <f t="shared" si="87"/>
        <v>2025</v>
      </c>
      <c r="AJ441" t="str">
        <f t="shared" si="95"/>
        <v>OK</v>
      </c>
      <c r="AK441" t="str">
        <f t="shared" si="96"/>
        <v>OK</v>
      </c>
      <c r="AL441" t="str">
        <f t="shared" si="97"/>
        <v>Exclude</v>
      </c>
      <c r="AM441" t="str">
        <f t="shared" si="88"/>
        <v>Clean</v>
      </c>
    </row>
    <row r="442" spans="1:39">
      <c r="A442" t="s">
        <v>1422</v>
      </c>
      <c r="B442" s="4">
        <v>45384</v>
      </c>
      <c r="C442" s="4">
        <v>45390</v>
      </c>
      <c r="D442" s="6">
        <v>6</v>
      </c>
      <c r="E442" t="s">
        <v>2788</v>
      </c>
      <c r="F442" t="s">
        <v>2788</v>
      </c>
      <c r="G442" t="s">
        <v>2788</v>
      </c>
      <c r="H442" t="s">
        <v>270</v>
      </c>
      <c r="I442" t="s">
        <v>71</v>
      </c>
      <c r="J442" t="s">
        <v>90</v>
      </c>
      <c r="K442" t="s">
        <v>38</v>
      </c>
      <c r="L442" t="s">
        <v>39</v>
      </c>
      <c r="M442" t="s">
        <v>40</v>
      </c>
      <c r="N442" t="s">
        <v>74</v>
      </c>
      <c r="O442" t="s">
        <v>274</v>
      </c>
      <c r="P442" t="s">
        <v>1423</v>
      </c>
      <c r="Q442" t="s">
        <v>31</v>
      </c>
      <c r="R442">
        <v>6</v>
      </c>
      <c r="S442">
        <v>3722.84</v>
      </c>
      <c r="T442">
        <v>0.2</v>
      </c>
      <c r="U442">
        <v>17869.63</v>
      </c>
      <c r="V442">
        <v>12163.8</v>
      </c>
      <c r="W442">
        <v>5705.83</v>
      </c>
      <c r="X442" t="s">
        <v>32</v>
      </c>
      <c r="Y442" t="s">
        <v>33</v>
      </c>
      <c r="Z442" t="str">
        <f t="shared" si="84"/>
        <v>Unique</v>
      </c>
      <c r="AA442" t="str">
        <f t="shared" si="85"/>
        <v>Unique</v>
      </c>
      <c r="AB442" t="str">
        <f t="shared" si="89"/>
        <v>OK</v>
      </c>
      <c r="AC442">
        <f t="shared" si="90"/>
        <v>0.2</v>
      </c>
      <c r="AD442" t="str">
        <f t="shared" si="91"/>
        <v>OK</v>
      </c>
      <c r="AE442">
        <f t="shared" si="92"/>
        <v>17869.632000000001</v>
      </c>
      <c r="AF442">
        <f t="shared" si="93"/>
        <v>5705.8320000000022</v>
      </c>
      <c r="AG442">
        <f t="shared" si="94"/>
        <v>0.31930327384469931</v>
      </c>
      <c r="AH442" t="str">
        <f t="shared" si="86"/>
        <v>April</v>
      </c>
      <c r="AI442">
        <f t="shared" si="87"/>
        <v>2024</v>
      </c>
      <c r="AJ442" t="str">
        <f t="shared" si="95"/>
        <v>OK</v>
      </c>
      <c r="AK442" t="str">
        <f t="shared" si="96"/>
        <v>OK</v>
      </c>
      <c r="AL442" t="str">
        <f t="shared" si="97"/>
        <v>Include</v>
      </c>
      <c r="AM442" t="str">
        <f t="shared" si="88"/>
        <v>Clean</v>
      </c>
    </row>
    <row r="443" spans="1:39">
      <c r="A443" t="s">
        <v>1424</v>
      </c>
      <c r="B443" s="4">
        <v>45568</v>
      </c>
      <c r="C443" s="4">
        <v>45568</v>
      </c>
      <c r="D443" s="6">
        <v>0</v>
      </c>
      <c r="E443" t="s">
        <v>2788</v>
      </c>
      <c r="F443" t="s">
        <v>2788</v>
      </c>
      <c r="G443" t="s">
        <v>2788</v>
      </c>
      <c r="H443" t="s">
        <v>1425</v>
      </c>
      <c r="I443" t="s">
        <v>23</v>
      </c>
      <c r="J443" t="s">
        <v>24</v>
      </c>
      <c r="K443" t="s">
        <v>38</v>
      </c>
      <c r="L443" t="s">
        <v>145</v>
      </c>
      <c r="M443" t="s">
        <v>146</v>
      </c>
      <c r="N443" t="s">
        <v>41</v>
      </c>
      <c r="O443" t="s">
        <v>158</v>
      </c>
      <c r="P443" t="s">
        <v>1426</v>
      </c>
      <c r="Q443" t="s">
        <v>59</v>
      </c>
      <c r="R443">
        <v>6</v>
      </c>
      <c r="S443">
        <v>4217.49</v>
      </c>
      <c r="T443">
        <v>0</v>
      </c>
      <c r="U443">
        <v>25304.94</v>
      </c>
      <c r="V443">
        <v>20771.95</v>
      </c>
      <c r="W443">
        <v>4532.99</v>
      </c>
      <c r="X443" t="s">
        <v>32</v>
      </c>
      <c r="Y443" t="s">
        <v>68</v>
      </c>
      <c r="Z443" t="str">
        <f t="shared" si="84"/>
        <v>Unique</v>
      </c>
      <c r="AA443" t="str">
        <f t="shared" si="85"/>
        <v>Unique</v>
      </c>
      <c r="AB443" t="str">
        <f t="shared" si="89"/>
        <v>OK</v>
      </c>
      <c r="AC443">
        <f t="shared" si="90"/>
        <v>0</v>
      </c>
      <c r="AD443" t="str">
        <f t="shared" si="91"/>
        <v>OK</v>
      </c>
      <c r="AE443">
        <f t="shared" si="92"/>
        <v>25304.94</v>
      </c>
      <c r="AF443">
        <f t="shared" si="93"/>
        <v>4532.989999999998</v>
      </c>
      <c r="AG443">
        <f t="shared" si="94"/>
        <v>0.17913458795002077</v>
      </c>
      <c r="AH443" t="str">
        <f t="shared" si="86"/>
        <v>October</v>
      </c>
      <c r="AI443">
        <f t="shared" si="87"/>
        <v>2024</v>
      </c>
      <c r="AJ443" t="str">
        <f t="shared" si="95"/>
        <v>OK</v>
      </c>
      <c r="AK443" t="str">
        <f t="shared" si="96"/>
        <v>OK</v>
      </c>
      <c r="AL443" t="str">
        <f t="shared" si="97"/>
        <v>Exclude</v>
      </c>
      <c r="AM443" t="str">
        <f t="shared" si="88"/>
        <v>Clean</v>
      </c>
    </row>
    <row r="444" spans="1:39">
      <c r="A444" t="s">
        <v>1427</v>
      </c>
      <c r="B444" s="4">
        <v>45669</v>
      </c>
      <c r="C444" s="4">
        <v>45676</v>
      </c>
      <c r="D444" s="6">
        <v>7</v>
      </c>
      <c r="E444" t="s">
        <v>2788</v>
      </c>
      <c r="F444" t="s">
        <v>2788</v>
      </c>
      <c r="G444" t="s">
        <v>2788</v>
      </c>
      <c r="H444" t="s">
        <v>1428</v>
      </c>
      <c r="I444" t="s">
        <v>128</v>
      </c>
      <c r="J444" t="s">
        <v>24</v>
      </c>
      <c r="K444" t="s">
        <v>38</v>
      </c>
      <c r="L444" t="s">
        <v>228</v>
      </c>
      <c r="M444" t="s">
        <v>229</v>
      </c>
      <c r="N444" t="s">
        <v>41</v>
      </c>
      <c r="O444" t="s">
        <v>42</v>
      </c>
      <c r="P444" t="s">
        <v>1429</v>
      </c>
      <c r="Q444" t="s">
        <v>50</v>
      </c>
      <c r="R444">
        <v>1</v>
      </c>
      <c r="S444">
        <v>1842.31</v>
      </c>
      <c r="T444">
        <v>0</v>
      </c>
      <c r="U444">
        <v>1842.31</v>
      </c>
      <c r="V444">
        <v>1019.17</v>
      </c>
      <c r="W444">
        <v>823.14</v>
      </c>
      <c r="X444" t="s">
        <v>32</v>
      </c>
      <c r="Y444" t="s">
        <v>33</v>
      </c>
      <c r="Z444" t="str">
        <f t="shared" si="84"/>
        <v>Unique</v>
      </c>
      <c r="AA444" t="str">
        <f t="shared" si="85"/>
        <v>Unique</v>
      </c>
      <c r="AB444" t="str">
        <f t="shared" si="89"/>
        <v>OK</v>
      </c>
      <c r="AC444">
        <f t="shared" si="90"/>
        <v>0</v>
      </c>
      <c r="AD444" t="str">
        <f t="shared" si="91"/>
        <v>OK</v>
      </c>
      <c r="AE444">
        <f t="shared" si="92"/>
        <v>1842.31</v>
      </c>
      <c r="AF444">
        <f t="shared" si="93"/>
        <v>823.14</v>
      </c>
      <c r="AG444">
        <f t="shared" si="94"/>
        <v>0.44679777019068451</v>
      </c>
      <c r="AH444" t="str">
        <f t="shared" si="86"/>
        <v>January</v>
      </c>
      <c r="AI444">
        <f t="shared" si="87"/>
        <v>2025</v>
      </c>
      <c r="AJ444" t="str">
        <f t="shared" si="95"/>
        <v>OK</v>
      </c>
      <c r="AK444" t="str">
        <f t="shared" si="96"/>
        <v>OK</v>
      </c>
      <c r="AL444" t="str">
        <f t="shared" si="97"/>
        <v>Include</v>
      </c>
      <c r="AM444" t="str">
        <f t="shared" si="88"/>
        <v>Clean</v>
      </c>
    </row>
    <row r="445" spans="1:39">
      <c r="A445" t="s">
        <v>1430</v>
      </c>
      <c r="B445" s="4">
        <v>45386</v>
      </c>
      <c r="C445" s="4">
        <v>45389</v>
      </c>
      <c r="D445" s="6">
        <v>3</v>
      </c>
      <c r="E445" t="s">
        <v>2788</v>
      </c>
      <c r="F445" t="s">
        <v>2788</v>
      </c>
      <c r="G445" t="s">
        <v>2788</v>
      </c>
      <c r="H445" t="s">
        <v>1431</v>
      </c>
      <c r="I445" t="s">
        <v>141</v>
      </c>
      <c r="J445" t="s">
        <v>95</v>
      </c>
      <c r="K445" t="s">
        <v>38</v>
      </c>
      <c r="L445" t="s">
        <v>39</v>
      </c>
      <c r="M445" t="s">
        <v>40</v>
      </c>
      <c r="N445" t="s">
        <v>41</v>
      </c>
      <c r="O445" t="s">
        <v>57</v>
      </c>
      <c r="P445" t="s">
        <v>1432</v>
      </c>
      <c r="Q445" t="s">
        <v>50</v>
      </c>
      <c r="R445">
        <v>1</v>
      </c>
      <c r="S445">
        <v>3683.75</v>
      </c>
      <c r="T445">
        <v>0.1</v>
      </c>
      <c r="U445">
        <v>3315.38</v>
      </c>
      <c r="V445">
        <v>2347.6799999999998</v>
      </c>
      <c r="W445">
        <v>967.7</v>
      </c>
      <c r="X445" t="s">
        <v>32</v>
      </c>
      <c r="Y445" t="s">
        <v>33</v>
      </c>
      <c r="Z445" t="str">
        <f t="shared" si="84"/>
        <v>Unique</v>
      </c>
      <c r="AA445" t="str">
        <f t="shared" si="85"/>
        <v>Unique</v>
      </c>
      <c r="AB445" t="str">
        <f t="shared" si="89"/>
        <v>OK</v>
      </c>
      <c r="AC445">
        <f t="shared" si="90"/>
        <v>0.1</v>
      </c>
      <c r="AD445" t="str">
        <f t="shared" si="91"/>
        <v>OK</v>
      </c>
      <c r="AE445">
        <f t="shared" si="92"/>
        <v>3315.375</v>
      </c>
      <c r="AF445">
        <f t="shared" si="93"/>
        <v>967.69500000000016</v>
      </c>
      <c r="AG445">
        <f t="shared" si="94"/>
        <v>0.29188100893564084</v>
      </c>
      <c r="AH445" t="str">
        <f t="shared" si="86"/>
        <v>April</v>
      </c>
      <c r="AI445">
        <f t="shared" si="87"/>
        <v>2024</v>
      </c>
      <c r="AJ445" t="str">
        <f t="shared" si="95"/>
        <v>OK</v>
      </c>
      <c r="AK445" t="str">
        <f t="shared" si="96"/>
        <v>OK</v>
      </c>
      <c r="AL445" t="str">
        <f t="shared" si="97"/>
        <v>Include</v>
      </c>
      <c r="AM445" t="str">
        <f t="shared" si="88"/>
        <v>Clean</v>
      </c>
    </row>
    <row r="446" spans="1:39">
      <c r="A446" t="s">
        <v>1433</v>
      </c>
      <c r="B446" s="4">
        <v>45881</v>
      </c>
      <c r="C446" s="4">
        <v>45885</v>
      </c>
      <c r="D446" s="6">
        <v>4</v>
      </c>
      <c r="E446" t="s">
        <v>2788</v>
      </c>
      <c r="F446" t="s">
        <v>2788</v>
      </c>
      <c r="G446" t="s">
        <v>2788</v>
      </c>
      <c r="H446" t="s">
        <v>1434</v>
      </c>
      <c r="I446" t="s">
        <v>62</v>
      </c>
      <c r="J446" t="s">
        <v>24</v>
      </c>
      <c r="K446" t="s">
        <v>38</v>
      </c>
      <c r="L446" t="s">
        <v>166</v>
      </c>
      <c r="M446" t="s">
        <v>167</v>
      </c>
      <c r="N446" t="s">
        <v>74</v>
      </c>
      <c r="O446" t="s">
        <v>75</v>
      </c>
      <c r="P446" t="s">
        <v>1435</v>
      </c>
      <c r="Q446" t="s">
        <v>44</v>
      </c>
      <c r="R446">
        <v>9</v>
      </c>
      <c r="S446">
        <v>2379.2399999999998</v>
      </c>
      <c r="T446">
        <v>0.05</v>
      </c>
      <c r="U446">
        <v>20342.5</v>
      </c>
      <c r="V446">
        <v>12407.51</v>
      </c>
      <c r="W446">
        <v>7934.99</v>
      </c>
      <c r="X446" t="s">
        <v>32</v>
      </c>
      <c r="Y446" t="s">
        <v>33</v>
      </c>
      <c r="Z446" t="str">
        <f t="shared" si="84"/>
        <v>Unique</v>
      </c>
      <c r="AA446" t="str">
        <f t="shared" si="85"/>
        <v>Unique</v>
      </c>
      <c r="AB446" t="str">
        <f t="shared" si="89"/>
        <v>OK</v>
      </c>
      <c r="AC446">
        <f t="shared" si="90"/>
        <v>0.05</v>
      </c>
      <c r="AD446" t="str">
        <f t="shared" si="91"/>
        <v>OK</v>
      </c>
      <c r="AE446">
        <f t="shared" si="92"/>
        <v>20342.501999999997</v>
      </c>
      <c r="AF446">
        <f t="shared" si="93"/>
        <v>7934.9919999999966</v>
      </c>
      <c r="AG446">
        <f t="shared" si="94"/>
        <v>0.39006961877157481</v>
      </c>
      <c r="AH446" t="str">
        <f t="shared" si="86"/>
        <v>August</v>
      </c>
      <c r="AI446">
        <f t="shared" si="87"/>
        <v>2025</v>
      </c>
      <c r="AJ446" t="str">
        <f t="shared" si="95"/>
        <v>OK</v>
      </c>
      <c r="AK446" t="str">
        <f t="shared" si="96"/>
        <v>OK</v>
      </c>
      <c r="AL446" t="str">
        <f t="shared" si="97"/>
        <v>Include</v>
      </c>
      <c r="AM446" t="str">
        <f t="shared" si="88"/>
        <v>Clean</v>
      </c>
    </row>
    <row r="447" spans="1:39">
      <c r="A447" t="s">
        <v>1436</v>
      </c>
      <c r="B447" s="4">
        <v>45421</v>
      </c>
      <c r="C447" s="4">
        <v>45417</v>
      </c>
      <c r="D447" s="6">
        <v>-4</v>
      </c>
      <c r="E447" t="s">
        <v>2788</v>
      </c>
      <c r="F447" t="s">
        <v>2788</v>
      </c>
      <c r="G447" t="s">
        <v>2790</v>
      </c>
      <c r="H447" t="s">
        <v>1437</v>
      </c>
      <c r="I447" t="s">
        <v>53</v>
      </c>
      <c r="J447" t="s">
        <v>24</v>
      </c>
      <c r="K447" t="s">
        <v>38</v>
      </c>
      <c r="L447" t="s">
        <v>166</v>
      </c>
      <c r="M447" t="s">
        <v>167</v>
      </c>
      <c r="N447" t="s">
        <v>41</v>
      </c>
      <c r="O447" t="s">
        <v>158</v>
      </c>
      <c r="P447" t="s">
        <v>1438</v>
      </c>
      <c r="Q447" t="s">
        <v>44</v>
      </c>
      <c r="R447">
        <v>2</v>
      </c>
      <c r="S447">
        <v>2111.23</v>
      </c>
      <c r="T447">
        <v>0.2</v>
      </c>
      <c r="U447">
        <v>3377.97</v>
      </c>
      <c r="V447">
        <v>2496.29</v>
      </c>
      <c r="W447">
        <v>881.68</v>
      </c>
      <c r="X447" t="s">
        <v>32</v>
      </c>
      <c r="Y447" t="s">
        <v>33</v>
      </c>
      <c r="Z447" t="str">
        <f t="shared" si="84"/>
        <v>Unique</v>
      </c>
      <c r="AA447" t="str">
        <f t="shared" si="85"/>
        <v>Unique</v>
      </c>
      <c r="AB447" t="str">
        <f t="shared" si="89"/>
        <v>OK</v>
      </c>
      <c r="AC447">
        <f t="shared" si="90"/>
        <v>0.2</v>
      </c>
      <c r="AD447" t="str">
        <f t="shared" si="91"/>
        <v>OK</v>
      </c>
      <c r="AE447">
        <f t="shared" si="92"/>
        <v>3377.9680000000003</v>
      </c>
      <c r="AF447">
        <f t="shared" si="93"/>
        <v>881.67800000000034</v>
      </c>
      <c r="AG447">
        <f t="shared" si="94"/>
        <v>0.26100839321154029</v>
      </c>
      <c r="AH447" t="str">
        <f t="shared" si="86"/>
        <v>May</v>
      </c>
      <c r="AI447">
        <f t="shared" si="87"/>
        <v>2024</v>
      </c>
      <c r="AJ447" t="str">
        <f t="shared" si="95"/>
        <v>OK</v>
      </c>
      <c r="AK447" t="str">
        <f t="shared" si="96"/>
        <v>OK</v>
      </c>
      <c r="AL447" t="str">
        <f t="shared" si="97"/>
        <v>Include</v>
      </c>
      <c r="AM447" t="str">
        <f t="shared" si="88"/>
        <v>Warning</v>
      </c>
    </row>
    <row r="448" spans="1:39">
      <c r="A448" t="s">
        <v>1439</v>
      </c>
      <c r="B448" s="4">
        <v>45918</v>
      </c>
      <c r="C448" s="4">
        <v>45919</v>
      </c>
      <c r="D448" s="6">
        <v>1</v>
      </c>
      <c r="E448" t="s">
        <v>2788</v>
      </c>
      <c r="F448" t="s">
        <v>2788</v>
      </c>
      <c r="G448" t="s">
        <v>2788</v>
      </c>
      <c r="H448" t="s">
        <v>1440</v>
      </c>
      <c r="I448" t="s">
        <v>132</v>
      </c>
      <c r="J448" t="s">
        <v>95</v>
      </c>
      <c r="K448" t="s">
        <v>54</v>
      </c>
      <c r="L448" t="s">
        <v>84</v>
      </c>
      <c r="M448" t="s">
        <v>85</v>
      </c>
      <c r="N448" t="s">
        <v>28</v>
      </c>
      <c r="O448" t="s">
        <v>124</v>
      </c>
      <c r="P448" t="s">
        <v>1441</v>
      </c>
      <c r="Q448" t="s">
        <v>44</v>
      </c>
      <c r="R448">
        <v>8</v>
      </c>
      <c r="S448">
        <v>4242.51</v>
      </c>
      <c r="T448">
        <v>0</v>
      </c>
      <c r="U448">
        <v>33940.080000000002</v>
      </c>
      <c r="V448">
        <v>23754.19</v>
      </c>
      <c r="W448">
        <v>10185.89</v>
      </c>
      <c r="X448" t="s">
        <v>32</v>
      </c>
      <c r="Y448" t="s">
        <v>33</v>
      </c>
      <c r="Z448" t="str">
        <f t="shared" si="84"/>
        <v>Unique</v>
      </c>
      <c r="AA448" t="str">
        <f t="shared" si="85"/>
        <v>Unique</v>
      </c>
      <c r="AB448" t="str">
        <f t="shared" si="89"/>
        <v>OK</v>
      </c>
      <c r="AC448">
        <f t="shared" si="90"/>
        <v>0</v>
      </c>
      <c r="AD448" t="str">
        <f t="shared" si="91"/>
        <v>OK</v>
      </c>
      <c r="AE448">
        <f t="shared" si="92"/>
        <v>33940.080000000002</v>
      </c>
      <c r="AF448">
        <f t="shared" si="93"/>
        <v>10185.890000000003</v>
      </c>
      <c r="AG448">
        <f t="shared" si="94"/>
        <v>0.30011390662603044</v>
      </c>
      <c r="AH448" t="str">
        <f t="shared" si="86"/>
        <v>September</v>
      </c>
      <c r="AI448">
        <f t="shared" si="87"/>
        <v>2025</v>
      </c>
      <c r="AJ448" t="str">
        <f t="shared" si="95"/>
        <v>OK</v>
      </c>
      <c r="AK448" t="str">
        <f t="shared" si="96"/>
        <v>OK</v>
      </c>
      <c r="AL448" t="str">
        <f t="shared" si="97"/>
        <v>Include</v>
      </c>
      <c r="AM448" t="str">
        <f t="shared" si="88"/>
        <v>Clean</v>
      </c>
    </row>
    <row r="449" spans="1:39">
      <c r="A449" t="s">
        <v>1442</v>
      </c>
      <c r="B449" s="4">
        <v>45879</v>
      </c>
      <c r="C449" s="4">
        <v>45879</v>
      </c>
      <c r="D449" s="6">
        <v>0</v>
      </c>
      <c r="E449" t="s">
        <v>2788</v>
      </c>
      <c r="F449" t="s">
        <v>2788</v>
      </c>
      <c r="G449" t="s">
        <v>2788</v>
      </c>
      <c r="H449" t="s">
        <v>1443</v>
      </c>
      <c r="I449" t="s">
        <v>141</v>
      </c>
      <c r="J449" t="s">
        <v>95</v>
      </c>
      <c r="K449" t="s">
        <v>54</v>
      </c>
      <c r="L449" t="s">
        <v>55</v>
      </c>
      <c r="M449" t="s">
        <v>56</v>
      </c>
      <c r="N449" t="s">
        <v>41</v>
      </c>
      <c r="O449" t="s">
        <v>158</v>
      </c>
      <c r="P449" t="s">
        <v>1444</v>
      </c>
      <c r="Q449" t="s">
        <v>59</v>
      </c>
      <c r="R449">
        <v>6</v>
      </c>
      <c r="S449">
        <v>4288.7</v>
      </c>
      <c r="T449">
        <v>0.15</v>
      </c>
      <c r="U449">
        <v>21872.37</v>
      </c>
      <c r="V449">
        <v>13829.5</v>
      </c>
      <c r="W449">
        <v>8042.87</v>
      </c>
      <c r="X449" t="s">
        <v>111</v>
      </c>
      <c r="Y449" t="s">
        <v>103</v>
      </c>
      <c r="Z449" t="str">
        <f t="shared" si="84"/>
        <v>Unique</v>
      </c>
      <c r="AA449" t="str">
        <f t="shared" si="85"/>
        <v>Unique</v>
      </c>
      <c r="AB449" t="str">
        <f t="shared" si="89"/>
        <v>OK</v>
      </c>
      <c r="AC449">
        <f t="shared" si="90"/>
        <v>0.15</v>
      </c>
      <c r="AD449" t="str">
        <f t="shared" si="91"/>
        <v>OK</v>
      </c>
      <c r="AE449">
        <f t="shared" si="92"/>
        <v>21872.369999999995</v>
      </c>
      <c r="AF449">
        <f t="shared" si="93"/>
        <v>8042.8699999999953</v>
      </c>
      <c r="AG449">
        <f t="shared" si="94"/>
        <v>0.36771826738483288</v>
      </c>
      <c r="AH449" t="str">
        <f t="shared" si="86"/>
        <v>August</v>
      </c>
      <c r="AI449">
        <f t="shared" si="87"/>
        <v>2025</v>
      </c>
      <c r="AJ449" t="str">
        <f t="shared" si="95"/>
        <v>OK</v>
      </c>
      <c r="AK449" t="str">
        <f t="shared" si="96"/>
        <v>OK</v>
      </c>
      <c r="AL449" t="str">
        <f t="shared" si="97"/>
        <v>Exclude</v>
      </c>
      <c r="AM449" t="str">
        <f t="shared" si="88"/>
        <v>Clean</v>
      </c>
    </row>
    <row r="450" spans="1:39">
      <c r="A450" t="s">
        <v>1445</v>
      </c>
      <c r="B450" s="4">
        <v>45306</v>
      </c>
      <c r="C450" s="4">
        <v>45309</v>
      </c>
      <c r="D450" s="6">
        <v>3</v>
      </c>
      <c r="E450" t="s">
        <v>2788</v>
      </c>
      <c r="F450" t="s">
        <v>2788</v>
      </c>
      <c r="G450" t="s">
        <v>2788</v>
      </c>
      <c r="H450" t="s">
        <v>1446</v>
      </c>
      <c r="I450" t="s">
        <v>36</v>
      </c>
      <c r="J450" t="s">
        <v>37</v>
      </c>
      <c r="K450" t="s">
        <v>54</v>
      </c>
      <c r="L450" t="s">
        <v>84</v>
      </c>
      <c r="M450" t="s">
        <v>85</v>
      </c>
      <c r="N450" t="s">
        <v>41</v>
      </c>
      <c r="O450" t="s">
        <v>66</v>
      </c>
      <c r="P450" t="s">
        <v>1447</v>
      </c>
      <c r="Q450" t="s">
        <v>50</v>
      </c>
      <c r="R450">
        <v>2</v>
      </c>
      <c r="S450">
        <v>201.21</v>
      </c>
      <c r="T450">
        <v>0.15</v>
      </c>
      <c r="U450">
        <v>342.06</v>
      </c>
      <c r="V450">
        <v>244.57</v>
      </c>
      <c r="W450">
        <v>97.49</v>
      </c>
      <c r="X450" t="s">
        <v>32</v>
      </c>
      <c r="Y450" t="s">
        <v>33</v>
      </c>
      <c r="Z450" t="str">
        <f t="shared" ref="Z450:Z513" si="98">IF(COUNTIFS($A:$A,A450,$B:$B,B450,$C:$C,C450,$H:$H,H450,$U:$U,U450,$W:$W,W450)&gt;1,"Exact Duplicate","Unique")</f>
        <v>Unique</v>
      </c>
      <c r="AA450" t="str">
        <f t="shared" ref="AA450:AA513" si="99">IF(COUNTIF($A:$A,A450)&gt;1,"Duplicate Order ID","Unique")</f>
        <v>Unique</v>
      </c>
      <c r="AB450" t="str">
        <f t="shared" si="89"/>
        <v>OK</v>
      </c>
      <c r="AC450">
        <f t="shared" si="90"/>
        <v>0.15</v>
      </c>
      <c r="AD450" t="str">
        <f t="shared" si="91"/>
        <v>OK</v>
      </c>
      <c r="AE450">
        <f t="shared" si="92"/>
        <v>342.05700000000002</v>
      </c>
      <c r="AF450">
        <f t="shared" si="93"/>
        <v>97.487000000000023</v>
      </c>
      <c r="AG450">
        <f t="shared" si="94"/>
        <v>0.28500220723446684</v>
      </c>
      <c r="AH450" t="str">
        <f t="shared" ref="AH450:AH513" si="100">IFERROR(TEXT(B450,"mmmm"),"")</f>
        <v>January</v>
      </c>
      <c r="AI450">
        <f t="shared" ref="AI450:AI513" si="101">IFERROR(YEAR(B450),"")</f>
        <v>2024</v>
      </c>
      <c r="AJ450" t="str">
        <f t="shared" si="95"/>
        <v>OK</v>
      </c>
      <c r="AK450" t="str">
        <f t="shared" si="96"/>
        <v>OK</v>
      </c>
      <c r="AL450" t="str">
        <f t="shared" si="97"/>
        <v>Include</v>
      </c>
      <c r="AM450" t="str">
        <f t="shared" ref="AM450:AM513" si="102">IF(OR(E450&lt;&gt;"OK",F450&lt;&gt;"OK",AD450&lt;&gt;"OK",AB450="Conflicting Duplicate"),"Invalid",IF(OR(G450&lt;&gt;"OK",AJ450&lt;&gt;"OK",AK450&lt;&gt;"OK"),"Warning","Clean"))</f>
        <v>Clean</v>
      </c>
    </row>
    <row r="451" spans="1:39">
      <c r="A451" t="s">
        <v>1448</v>
      </c>
      <c r="B451" s="4">
        <v>45449</v>
      </c>
      <c r="C451" s="4">
        <v>45456</v>
      </c>
      <c r="D451" s="6">
        <v>7</v>
      </c>
      <c r="E451" t="s">
        <v>2788</v>
      </c>
      <c r="F451" t="s">
        <v>2788</v>
      </c>
      <c r="G451" t="s">
        <v>2788</v>
      </c>
      <c r="H451" t="s">
        <v>1342</v>
      </c>
      <c r="I451" t="s">
        <v>89</v>
      </c>
      <c r="J451" t="s">
        <v>90</v>
      </c>
      <c r="K451" t="s">
        <v>38</v>
      </c>
      <c r="L451" t="s">
        <v>166</v>
      </c>
      <c r="M451" t="s">
        <v>167</v>
      </c>
      <c r="N451" t="s">
        <v>74</v>
      </c>
      <c r="O451" t="s">
        <v>274</v>
      </c>
      <c r="P451" t="s">
        <v>1449</v>
      </c>
      <c r="Q451" t="s">
        <v>31</v>
      </c>
      <c r="R451">
        <v>6</v>
      </c>
      <c r="S451">
        <v>3270.36</v>
      </c>
      <c r="T451">
        <v>0</v>
      </c>
      <c r="U451">
        <v>19622.16</v>
      </c>
      <c r="V451">
        <v>14271.27</v>
      </c>
      <c r="W451">
        <v>5350.89</v>
      </c>
      <c r="X451" t="s">
        <v>32</v>
      </c>
      <c r="Y451" t="s">
        <v>33</v>
      </c>
      <c r="Z451" t="str">
        <f t="shared" si="98"/>
        <v>Unique</v>
      </c>
      <c r="AA451" t="str">
        <f t="shared" si="99"/>
        <v>Unique</v>
      </c>
      <c r="AB451" t="str">
        <f t="shared" ref="AB451:AB514" si="103">IF(AND(AA451="Duplicate Order ID",Z451&lt;&gt;"Exact Duplicate"),"Conflicting Duplicate","OK")</f>
        <v>OK</v>
      </c>
      <c r="AC451">
        <f t="shared" ref="AC451:AC514" si="104">IF(OR(T451="",ISBLANK(T451)),0,T451)</f>
        <v>0</v>
      </c>
      <c r="AD451" t="str">
        <f t="shared" ref="AD451:AD514" si="105">IF(AC451&lt;0,"Invalid Negative Discount",IF(AC451&gt;1,"Invalid High Discount","OK"))</f>
        <v>OK</v>
      </c>
      <c r="AE451">
        <f t="shared" ref="AE451:AE514" si="106">R451*S451*(1-AC451)</f>
        <v>19622.16</v>
      </c>
      <c r="AF451">
        <f t="shared" ref="AF451:AF514" si="107">AE451-V451</f>
        <v>5350.8899999999994</v>
      </c>
      <c r="AG451">
        <f t="shared" ref="AG451:AG514" si="108">IF(AE451=0,0,AF451/AE451)</f>
        <v>0.27269627808559299</v>
      </c>
      <c r="AH451" t="str">
        <f t="shared" si="100"/>
        <v>June</v>
      </c>
      <c r="AI451">
        <f t="shared" si="101"/>
        <v>2024</v>
      </c>
      <c r="AJ451" t="str">
        <f t="shared" ref="AJ451:AJ514" si="109">IF(ABS(U451-AE451)&gt;1,"Sales Mismatch","OK")</f>
        <v>OK</v>
      </c>
      <c r="AK451" t="str">
        <f t="shared" ref="AK451:AK514" si="110">IF(ABS(W451-AF451)&gt;1,"Profit Mismatch","OK")</f>
        <v>OK</v>
      </c>
      <c r="AL451" t="str">
        <f t="shared" ref="AL451:AL514" si="111">IF(AND(X451="Paid",Y451="Completed"),"Include","Exclude")</f>
        <v>Include</v>
      </c>
      <c r="AM451" t="str">
        <f t="shared" si="102"/>
        <v>Clean</v>
      </c>
    </row>
    <row r="452" spans="1:39">
      <c r="A452" t="s">
        <v>1450</v>
      </c>
      <c r="B452" s="4">
        <v>45820</v>
      </c>
      <c r="C452" s="4">
        <v>45827</v>
      </c>
      <c r="D452" s="6">
        <v>7</v>
      </c>
      <c r="E452" t="s">
        <v>2788</v>
      </c>
      <c r="F452" t="s">
        <v>2788</v>
      </c>
      <c r="G452" t="s">
        <v>2788</v>
      </c>
      <c r="H452" t="s">
        <v>1451</v>
      </c>
      <c r="I452" t="s">
        <v>62</v>
      </c>
      <c r="J452" t="s">
        <v>90</v>
      </c>
      <c r="K452" t="s">
        <v>25</v>
      </c>
      <c r="L452" t="s">
        <v>350</v>
      </c>
      <c r="M452" t="s">
        <v>351</v>
      </c>
      <c r="N452" t="s">
        <v>41</v>
      </c>
      <c r="O452" t="s">
        <v>66</v>
      </c>
      <c r="P452" t="s">
        <v>1452</v>
      </c>
      <c r="Q452" t="s">
        <v>59</v>
      </c>
      <c r="R452">
        <v>9</v>
      </c>
      <c r="S452">
        <v>2278.5700000000002</v>
      </c>
      <c r="T452">
        <v>0.25</v>
      </c>
      <c r="U452">
        <v>15380.35</v>
      </c>
      <c r="V452">
        <v>9907.3700000000008</v>
      </c>
      <c r="W452">
        <v>5472.98</v>
      </c>
      <c r="X452" t="s">
        <v>32</v>
      </c>
      <c r="Y452" t="s">
        <v>33</v>
      </c>
      <c r="Z452" t="str">
        <f t="shared" si="98"/>
        <v>Unique</v>
      </c>
      <c r="AA452" t="str">
        <f t="shared" si="99"/>
        <v>Unique</v>
      </c>
      <c r="AB452" t="str">
        <f t="shared" si="103"/>
        <v>OK</v>
      </c>
      <c r="AC452">
        <f t="shared" si="104"/>
        <v>0.25</v>
      </c>
      <c r="AD452" t="str">
        <f t="shared" si="105"/>
        <v>OK</v>
      </c>
      <c r="AE452">
        <f t="shared" si="106"/>
        <v>15380.3475</v>
      </c>
      <c r="AF452">
        <f t="shared" si="107"/>
        <v>5472.9774999999991</v>
      </c>
      <c r="AG452">
        <f t="shared" si="108"/>
        <v>0.35584225258889624</v>
      </c>
      <c r="AH452" t="str">
        <f t="shared" si="100"/>
        <v>June</v>
      </c>
      <c r="AI452">
        <f t="shared" si="101"/>
        <v>2025</v>
      </c>
      <c r="AJ452" t="str">
        <f t="shared" si="109"/>
        <v>OK</v>
      </c>
      <c r="AK452" t="str">
        <f t="shared" si="110"/>
        <v>OK</v>
      </c>
      <c r="AL452" t="str">
        <f t="shared" si="111"/>
        <v>Include</v>
      </c>
      <c r="AM452" t="str">
        <f t="shared" si="102"/>
        <v>Clean</v>
      </c>
    </row>
    <row r="453" spans="1:39">
      <c r="A453" t="s">
        <v>1453</v>
      </c>
      <c r="B453" s="4">
        <v>45375</v>
      </c>
      <c r="C453" s="4">
        <v>45377</v>
      </c>
      <c r="D453" s="6">
        <v>2</v>
      </c>
      <c r="E453" t="s">
        <v>2788</v>
      </c>
      <c r="F453" t="s">
        <v>2788</v>
      </c>
      <c r="G453" t="s">
        <v>2788</v>
      </c>
      <c r="H453" t="s">
        <v>1454</v>
      </c>
      <c r="I453" t="s">
        <v>141</v>
      </c>
      <c r="J453" t="s">
        <v>37</v>
      </c>
      <c r="K453" t="s">
        <v>25</v>
      </c>
      <c r="L453" t="s">
        <v>236</v>
      </c>
      <c r="M453" t="s">
        <v>237</v>
      </c>
      <c r="N453" t="s">
        <v>28</v>
      </c>
      <c r="O453" t="s">
        <v>29</v>
      </c>
      <c r="P453" t="s">
        <v>1455</v>
      </c>
      <c r="Q453" t="s">
        <v>31</v>
      </c>
      <c r="R453">
        <v>8</v>
      </c>
      <c r="S453">
        <v>1917.64</v>
      </c>
      <c r="T453">
        <v>0.15</v>
      </c>
      <c r="U453">
        <v>13039.95</v>
      </c>
      <c r="V453">
        <v>11127.82</v>
      </c>
      <c r="W453">
        <v>1912.13</v>
      </c>
      <c r="X453" t="s">
        <v>32</v>
      </c>
      <c r="Y453" t="s">
        <v>68</v>
      </c>
      <c r="Z453" t="str">
        <f t="shared" si="98"/>
        <v>Unique</v>
      </c>
      <c r="AA453" t="str">
        <f t="shared" si="99"/>
        <v>Unique</v>
      </c>
      <c r="AB453" t="str">
        <f t="shared" si="103"/>
        <v>OK</v>
      </c>
      <c r="AC453">
        <f t="shared" si="104"/>
        <v>0.15</v>
      </c>
      <c r="AD453" t="str">
        <f t="shared" si="105"/>
        <v>OK</v>
      </c>
      <c r="AE453">
        <f t="shared" si="106"/>
        <v>13039.952000000001</v>
      </c>
      <c r="AF453">
        <f t="shared" si="107"/>
        <v>1912.1320000000014</v>
      </c>
      <c r="AG453">
        <f t="shared" si="108"/>
        <v>0.1466364293365498</v>
      </c>
      <c r="AH453" t="str">
        <f t="shared" si="100"/>
        <v>March</v>
      </c>
      <c r="AI453">
        <f t="shared" si="101"/>
        <v>2024</v>
      </c>
      <c r="AJ453" t="str">
        <f t="shared" si="109"/>
        <v>OK</v>
      </c>
      <c r="AK453" t="str">
        <f t="shared" si="110"/>
        <v>OK</v>
      </c>
      <c r="AL453" t="str">
        <f t="shared" si="111"/>
        <v>Exclude</v>
      </c>
      <c r="AM453" t="str">
        <f t="shared" si="102"/>
        <v>Clean</v>
      </c>
    </row>
    <row r="454" spans="1:39">
      <c r="A454" t="s">
        <v>1456</v>
      </c>
      <c r="B454" s="4">
        <v>45422</v>
      </c>
      <c r="C454" s="4">
        <v>45428</v>
      </c>
      <c r="D454" s="6">
        <v>6</v>
      </c>
      <c r="E454" t="s">
        <v>2788</v>
      </c>
      <c r="F454" t="s">
        <v>2788</v>
      </c>
      <c r="G454" t="s">
        <v>2788</v>
      </c>
      <c r="H454" t="s">
        <v>1457</v>
      </c>
      <c r="I454" t="s">
        <v>162</v>
      </c>
      <c r="J454" t="s">
        <v>95</v>
      </c>
      <c r="K454" t="s">
        <v>38</v>
      </c>
      <c r="L454" t="s">
        <v>228</v>
      </c>
      <c r="M454" t="s">
        <v>229</v>
      </c>
      <c r="N454" t="s">
        <v>74</v>
      </c>
      <c r="O454" t="s">
        <v>75</v>
      </c>
      <c r="P454" t="s">
        <v>1458</v>
      </c>
      <c r="Q454" t="s">
        <v>31</v>
      </c>
      <c r="R454">
        <v>6</v>
      </c>
      <c r="S454">
        <v>2013.33</v>
      </c>
      <c r="T454">
        <v>0.2</v>
      </c>
      <c r="U454">
        <v>9663.98</v>
      </c>
      <c r="V454">
        <v>5628.93</v>
      </c>
      <c r="W454">
        <v>4035.05</v>
      </c>
      <c r="X454" t="s">
        <v>32</v>
      </c>
      <c r="Y454" t="s">
        <v>33</v>
      </c>
      <c r="Z454" t="str">
        <f t="shared" si="98"/>
        <v>Unique</v>
      </c>
      <c r="AA454" t="str">
        <f t="shared" si="99"/>
        <v>Unique</v>
      </c>
      <c r="AB454" t="str">
        <f t="shared" si="103"/>
        <v>OK</v>
      </c>
      <c r="AC454">
        <f t="shared" si="104"/>
        <v>0.2</v>
      </c>
      <c r="AD454" t="str">
        <f t="shared" si="105"/>
        <v>OK</v>
      </c>
      <c r="AE454">
        <f t="shared" si="106"/>
        <v>9663.9840000000004</v>
      </c>
      <c r="AF454">
        <f t="shared" si="107"/>
        <v>4035.0540000000001</v>
      </c>
      <c r="AG454">
        <f t="shared" si="108"/>
        <v>0.41753525254180884</v>
      </c>
      <c r="AH454" t="str">
        <f t="shared" si="100"/>
        <v>May</v>
      </c>
      <c r="AI454">
        <f t="shared" si="101"/>
        <v>2024</v>
      </c>
      <c r="AJ454" t="str">
        <f t="shared" si="109"/>
        <v>OK</v>
      </c>
      <c r="AK454" t="str">
        <f t="shared" si="110"/>
        <v>OK</v>
      </c>
      <c r="AL454" t="str">
        <f t="shared" si="111"/>
        <v>Include</v>
      </c>
      <c r="AM454" t="str">
        <f t="shared" si="102"/>
        <v>Clean</v>
      </c>
    </row>
    <row r="455" spans="1:39">
      <c r="A455" t="s">
        <v>1459</v>
      </c>
      <c r="B455" s="4">
        <v>45780</v>
      </c>
      <c r="C455" s="4">
        <v>45788</v>
      </c>
      <c r="D455" s="6">
        <v>8</v>
      </c>
      <c r="E455" t="s">
        <v>2788</v>
      </c>
      <c r="F455" t="s">
        <v>2788</v>
      </c>
      <c r="G455" t="s">
        <v>2788</v>
      </c>
      <c r="H455" t="s">
        <v>1460</v>
      </c>
      <c r="I455" t="s">
        <v>141</v>
      </c>
      <c r="J455" t="s">
        <v>37</v>
      </c>
      <c r="K455" t="s">
        <v>63</v>
      </c>
      <c r="L455" t="s">
        <v>72</v>
      </c>
      <c r="M455" t="s">
        <v>73</v>
      </c>
      <c r="N455" t="s">
        <v>28</v>
      </c>
      <c r="O455" t="s">
        <v>91</v>
      </c>
      <c r="P455" t="s">
        <v>1461</v>
      </c>
      <c r="Q455" t="s">
        <v>44</v>
      </c>
      <c r="R455">
        <v>5</v>
      </c>
      <c r="S455">
        <v>1483.52</v>
      </c>
      <c r="T455">
        <v>0</v>
      </c>
      <c r="U455">
        <v>7417.6</v>
      </c>
      <c r="V455">
        <v>4955.8599999999997</v>
      </c>
      <c r="W455">
        <v>2461.7399999999998</v>
      </c>
      <c r="X455" t="s">
        <v>32</v>
      </c>
      <c r="Y455" t="s">
        <v>33</v>
      </c>
      <c r="Z455" t="str">
        <f t="shared" si="98"/>
        <v>Unique</v>
      </c>
      <c r="AA455" t="str">
        <f t="shared" si="99"/>
        <v>Unique</v>
      </c>
      <c r="AB455" t="str">
        <f t="shared" si="103"/>
        <v>OK</v>
      </c>
      <c r="AC455">
        <f t="shared" si="104"/>
        <v>0</v>
      </c>
      <c r="AD455" t="str">
        <f t="shared" si="105"/>
        <v>OK</v>
      </c>
      <c r="AE455">
        <f t="shared" si="106"/>
        <v>7417.6</v>
      </c>
      <c r="AF455">
        <f t="shared" si="107"/>
        <v>2461.7400000000007</v>
      </c>
      <c r="AG455">
        <f t="shared" si="108"/>
        <v>0.3318782355478862</v>
      </c>
      <c r="AH455" t="str">
        <f t="shared" si="100"/>
        <v>May</v>
      </c>
      <c r="AI455">
        <f t="shared" si="101"/>
        <v>2025</v>
      </c>
      <c r="AJ455" t="str">
        <f t="shared" si="109"/>
        <v>OK</v>
      </c>
      <c r="AK455" t="str">
        <f t="shared" si="110"/>
        <v>OK</v>
      </c>
      <c r="AL455" t="str">
        <f t="shared" si="111"/>
        <v>Include</v>
      </c>
      <c r="AM455" t="str">
        <f t="shared" si="102"/>
        <v>Clean</v>
      </c>
    </row>
    <row r="456" spans="1:39">
      <c r="A456" t="s">
        <v>1462</v>
      </c>
      <c r="B456" s="4">
        <v>45739</v>
      </c>
      <c r="C456" s="4">
        <v>45744</v>
      </c>
      <c r="D456" s="6">
        <v>5</v>
      </c>
      <c r="E456" t="s">
        <v>2788</v>
      </c>
      <c r="F456" t="s">
        <v>2788</v>
      </c>
      <c r="G456" t="s">
        <v>2788</v>
      </c>
      <c r="H456" t="s">
        <v>1463</v>
      </c>
      <c r="I456" t="s">
        <v>71</v>
      </c>
      <c r="J456" t="s">
        <v>37</v>
      </c>
      <c r="K456" t="s">
        <v>25</v>
      </c>
      <c r="L456" t="s">
        <v>26</v>
      </c>
      <c r="M456" t="s">
        <v>27</v>
      </c>
      <c r="N456" t="s">
        <v>41</v>
      </c>
      <c r="O456" t="s">
        <v>57</v>
      </c>
      <c r="P456" t="s">
        <v>1464</v>
      </c>
      <c r="Q456" t="s">
        <v>59</v>
      </c>
      <c r="R456">
        <v>9</v>
      </c>
      <c r="S456">
        <v>3298</v>
      </c>
      <c r="T456">
        <v>0.15</v>
      </c>
      <c r="U456">
        <v>25229.7</v>
      </c>
      <c r="V456">
        <v>20170.43</v>
      </c>
      <c r="W456">
        <v>5059.2700000000004</v>
      </c>
      <c r="X456" t="s">
        <v>32</v>
      </c>
      <c r="Y456" t="s">
        <v>33</v>
      </c>
      <c r="Z456" t="str">
        <f t="shared" si="98"/>
        <v>Unique</v>
      </c>
      <c r="AA456" t="str">
        <f t="shared" si="99"/>
        <v>Unique</v>
      </c>
      <c r="AB456" t="str">
        <f t="shared" si="103"/>
        <v>OK</v>
      </c>
      <c r="AC456">
        <f t="shared" si="104"/>
        <v>0.15</v>
      </c>
      <c r="AD456" t="str">
        <f t="shared" si="105"/>
        <v>OK</v>
      </c>
      <c r="AE456">
        <f t="shared" si="106"/>
        <v>25229.7</v>
      </c>
      <c r="AF456">
        <f t="shared" si="107"/>
        <v>5059.2700000000004</v>
      </c>
      <c r="AG456">
        <f t="shared" si="108"/>
        <v>0.20052834556098567</v>
      </c>
      <c r="AH456" t="str">
        <f t="shared" si="100"/>
        <v>March</v>
      </c>
      <c r="AI456">
        <f t="shared" si="101"/>
        <v>2025</v>
      </c>
      <c r="AJ456" t="str">
        <f t="shared" si="109"/>
        <v>OK</v>
      </c>
      <c r="AK456" t="str">
        <f t="shared" si="110"/>
        <v>OK</v>
      </c>
      <c r="AL456" t="str">
        <f t="shared" si="111"/>
        <v>Include</v>
      </c>
      <c r="AM456" t="str">
        <f t="shared" si="102"/>
        <v>Clean</v>
      </c>
    </row>
    <row r="457" spans="1:39">
      <c r="A457" t="s">
        <v>1465</v>
      </c>
      <c r="B457" s="4">
        <v>45491</v>
      </c>
      <c r="C457" s="4">
        <v>45495</v>
      </c>
      <c r="D457" s="6">
        <v>4</v>
      </c>
      <c r="E457" t="s">
        <v>2788</v>
      </c>
      <c r="F457" t="s">
        <v>2788</v>
      </c>
      <c r="G457" t="s">
        <v>2788</v>
      </c>
      <c r="H457" t="s">
        <v>1466</v>
      </c>
      <c r="I457" t="s">
        <v>79</v>
      </c>
      <c r="J457" t="s">
        <v>37</v>
      </c>
      <c r="K457" t="s">
        <v>54</v>
      </c>
      <c r="L457" t="s">
        <v>55</v>
      </c>
      <c r="M457" t="s">
        <v>56</v>
      </c>
      <c r="N457" t="s">
        <v>28</v>
      </c>
      <c r="O457" t="s">
        <v>48</v>
      </c>
      <c r="P457" t="s">
        <v>1467</v>
      </c>
      <c r="Q457" t="s">
        <v>59</v>
      </c>
      <c r="R457">
        <v>4</v>
      </c>
      <c r="S457">
        <v>808.77</v>
      </c>
      <c r="T457">
        <v>0</v>
      </c>
      <c r="U457">
        <v>3235.08</v>
      </c>
      <c r="V457">
        <v>1848.6</v>
      </c>
      <c r="W457">
        <v>1386.48</v>
      </c>
      <c r="X457" t="s">
        <v>32</v>
      </c>
      <c r="Y457" t="s">
        <v>33</v>
      </c>
      <c r="Z457" t="str">
        <f t="shared" si="98"/>
        <v>Unique</v>
      </c>
      <c r="AA457" t="str">
        <f t="shared" si="99"/>
        <v>Unique</v>
      </c>
      <c r="AB457" t="str">
        <f t="shared" si="103"/>
        <v>OK</v>
      </c>
      <c r="AC457">
        <f t="shared" si="104"/>
        <v>0</v>
      </c>
      <c r="AD457" t="str">
        <f t="shared" si="105"/>
        <v>OK</v>
      </c>
      <c r="AE457">
        <f t="shared" si="106"/>
        <v>3235.08</v>
      </c>
      <c r="AF457">
        <f t="shared" si="107"/>
        <v>1386.48</v>
      </c>
      <c r="AG457">
        <f t="shared" si="108"/>
        <v>0.42857672762342819</v>
      </c>
      <c r="AH457" t="str">
        <f t="shared" si="100"/>
        <v>July</v>
      </c>
      <c r="AI457">
        <f t="shared" si="101"/>
        <v>2024</v>
      </c>
      <c r="AJ457" t="str">
        <f t="shared" si="109"/>
        <v>OK</v>
      </c>
      <c r="AK457" t="str">
        <f t="shared" si="110"/>
        <v>OK</v>
      </c>
      <c r="AL457" t="str">
        <f t="shared" si="111"/>
        <v>Include</v>
      </c>
      <c r="AM457" t="str">
        <f t="shared" si="102"/>
        <v>Clean</v>
      </c>
    </row>
    <row r="458" spans="1:39">
      <c r="A458" t="s">
        <v>1468</v>
      </c>
      <c r="B458" s="4">
        <v>45342</v>
      </c>
      <c r="C458" s="4">
        <v>45342</v>
      </c>
      <c r="D458" s="6">
        <v>0</v>
      </c>
      <c r="E458" t="s">
        <v>2788</v>
      </c>
      <c r="F458" t="s">
        <v>2788</v>
      </c>
      <c r="G458" t="s">
        <v>2788</v>
      </c>
      <c r="H458" t="s">
        <v>1469</v>
      </c>
      <c r="I458" t="s">
        <v>79</v>
      </c>
      <c r="J458" t="s">
        <v>90</v>
      </c>
      <c r="K458" t="s">
        <v>25</v>
      </c>
      <c r="L458" t="s">
        <v>136</v>
      </c>
      <c r="M458" t="s">
        <v>137</v>
      </c>
      <c r="N458" t="s">
        <v>74</v>
      </c>
      <c r="O458" t="s">
        <v>75</v>
      </c>
      <c r="P458" t="s">
        <v>1470</v>
      </c>
      <c r="Q458" t="s">
        <v>44</v>
      </c>
      <c r="R458">
        <v>5</v>
      </c>
      <c r="S458">
        <v>2604.91</v>
      </c>
      <c r="T458">
        <v>0.15</v>
      </c>
      <c r="U458">
        <v>11070.87</v>
      </c>
      <c r="V458">
        <v>6623.61</v>
      </c>
      <c r="W458">
        <v>4447.26</v>
      </c>
      <c r="X458" t="s">
        <v>32</v>
      </c>
      <c r="Y458" t="s">
        <v>103</v>
      </c>
      <c r="Z458" t="str">
        <f t="shared" si="98"/>
        <v>Unique</v>
      </c>
      <c r="AA458" t="str">
        <f t="shared" si="99"/>
        <v>Unique</v>
      </c>
      <c r="AB458" t="str">
        <f t="shared" si="103"/>
        <v>OK</v>
      </c>
      <c r="AC458">
        <f t="shared" si="104"/>
        <v>0.15</v>
      </c>
      <c r="AD458" t="str">
        <f t="shared" si="105"/>
        <v>OK</v>
      </c>
      <c r="AE458">
        <f t="shared" si="106"/>
        <v>11070.867499999998</v>
      </c>
      <c r="AF458">
        <f t="shared" si="107"/>
        <v>4447.2574999999988</v>
      </c>
      <c r="AG458">
        <f t="shared" si="108"/>
        <v>0.40170813172499803</v>
      </c>
      <c r="AH458" t="str">
        <f t="shared" si="100"/>
        <v>February</v>
      </c>
      <c r="AI458">
        <f t="shared" si="101"/>
        <v>2024</v>
      </c>
      <c r="AJ458" t="str">
        <f t="shared" si="109"/>
        <v>OK</v>
      </c>
      <c r="AK458" t="str">
        <f t="shared" si="110"/>
        <v>OK</v>
      </c>
      <c r="AL458" t="str">
        <f t="shared" si="111"/>
        <v>Exclude</v>
      </c>
      <c r="AM458" t="str">
        <f t="shared" si="102"/>
        <v>Clean</v>
      </c>
    </row>
    <row r="459" spans="1:39">
      <c r="A459" t="s">
        <v>1471</v>
      </c>
      <c r="B459" s="4">
        <v>45416</v>
      </c>
      <c r="C459" s="4">
        <v>45416</v>
      </c>
      <c r="D459" s="6">
        <v>0</v>
      </c>
      <c r="E459" t="s">
        <v>2788</v>
      </c>
      <c r="F459" t="s">
        <v>2788</v>
      </c>
      <c r="G459" t="s">
        <v>2788</v>
      </c>
      <c r="H459" t="s">
        <v>1472</v>
      </c>
      <c r="I459" t="s">
        <v>36</v>
      </c>
      <c r="J459" t="s">
        <v>37</v>
      </c>
      <c r="K459" t="s">
        <v>63</v>
      </c>
      <c r="L459" t="s">
        <v>190</v>
      </c>
      <c r="M459" t="s">
        <v>191</v>
      </c>
      <c r="N459" t="s">
        <v>41</v>
      </c>
      <c r="O459" t="s">
        <v>42</v>
      </c>
      <c r="P459" t="s">
        <v>1473</v>
      </c>
      <c r="Q459" t="s">
        <v>59</v>
      </c>
      <c r="R459">
        <v>7</v>
      </c>
      <c r="S459">
        <v>2851.51</v>
      </c>
      <c r="T459">
        <v>0</v>
      </c>
      <c r="U459">
        <v>19960.57</v>
      </c>
      <c r="V459">
        <v>16603.599999999999</v>
      </c>
      <c r="W459">
        <v>3356.97</v>
      </c>
      <c r="X459" t="s">
        <v>32</v>
      </c>
      <c r="Y459" t="s">
        <v>33</v>
      </c>
      <c r="Z459" t="str">
        <f t="shared" si="98"/>
        <v>Unique</v>
      </c>
      <c r="AA459" t="str">
        <f t="shared" si="99"/>
        <v>Unique</v>
      </c>
      <c r="AB459" t="str">
        <f t="shared" si="103"/>
        <v>OK</v>
      </c>
      <c r="AC459">
        <f t="shared" si="104"/>
        <v>0</v>
      </c>
      <c r="AD459" t="str">
        <f t="shared" si="105"/>
        <v>OK</v>
      </c>
      <c r="AE459">
        <f t="shared" si="106"/>
        <v>19960.57</v>
      </c>
      <c r="AF459">
        <f t="shared" si="107"/>
        <v>3356.9700000000012</v>
      </c>
      <c r="AG459">
        <f t="shared" si="108"/>
        <v>0.1681800670020947</v>
      </c>
      <c r="AH459" t="str">
        <f t="shared" si="100"/>
        <v>May</v>
      </c>
      <c r="AI459">
        <f t="shared" si="101"/>
        <v>2024</v>
      </c>
      <c r="AJ459" t="str">
        <f t="shared" si="109"/>
        <v>OK</v>
      </c>
      <c r="AK459" t="str">
        <f t="shared" si="110"/>
        <v>OK</v>
      </c>
      <c r="AL459" t="str">
        <f t="shared" si="111"/>
        <v>Include</v>
      </c>
      <c r="AM459" t="str">
        <f t="shared" si="102"/>
        <v>Clean</v>
      </c>
    </row>
    <row r="460" spans="1:39">
      <c r="A460" t="s">
        <v>1474</v>
      </c>
      <c r="B460" s="4">
        <v>45332</v>
      </c>
      <c r="C460" s="4">
        <v>45333</v>
      </c>
      <c r="D460" s="6">
        <v>1</v>
      </c>
      <c r="E460" t="s">
        <v>2788</v>
      </c>
      <c r="F460" t="s">
        <v>2788</v>
      </c>
      <c r="G460" t="s">
        <v>2788</v>
      </c>
      <c r="H460" t="s">
        <v>1475</v>
      </c>
      <c r="I460" t="s">
        <v>23</v>
      </c>
      <c r="J460" t="s">
        <v>90</v>
      </c>
      <c r="K460" t="s">
        <v>25</v>
      </c>
      <c r="L460" t="s">
        <v>26</v>
      </c>
      <c r="M460" t="s">
        <v>27</v>
      </c>
      <c r="N460" t="s">
        <v>74</v>
      </c>
      <c r="O460" t="s">
        <v>171</v>
      </c>
      <c r="P460" t="s">
        <v>1476</v>
      </c>
      <c r="Q460" t="s">
        <v>31</v>
      </c>
      <c r="R460">
        <v>3</v>
      </c>
      <c r="S460">
        <v>3183.72</v>
      </c>
      <c r="T460">
        <v>0.1</v>
      </c>
      <c r="U460">
        <v>8596.0400000000009</v>
      </c>
      <c r="V460">
        <v>5378.16</v>
      </c>
      <c r="W460">
        <v>3217.88</v>
      </c>
      <c r="X460" t="s">
        <v>32</v>
      </c>
      <c r="Y460" t="s">
        <v>33</v>
      </c>
      <c r="Z460" t="str">
        <f t="shared" si="98"/>
        <v>Unique</v>
      </c>
      <c r="AA460" t="str">
        <f t="shared" si="99"/>
        <v>Unique</v>
      </c>
      <c r="AB460" t="str">
        <f t="shared" si="103"/>
        <v>OK</v>
      </c>
      <c r="AC460">
        <f t="shared" si="104"/>
        <v>0.1</v>
      </c>
      <c r="AD460" t="str">
        <f t="shared" si="105"/>
        <v>OK</v>
      </c>
      <c r="AE460">
        <f t="shared" si="106"/>
        <v>8596.0439999999999</v>
      </c>
      <c r="AF460">
        <f t="shared" si="107"/>
        <v>3217.884</v>
      </c>
      <c r="AG460">
        <f t="shared" si="108"/>
        <v>0.37434475672762962</v>
      </c>
      <c r="AH460" t="str">
        <f t="shared" si="100"/>
        <v>February</v>
      </c>
      <c r="AI460">
        <f t="shared" si="101"/>
        <v>2024</v>
      </c>
      <c r="AJ460" t="str">
        <f t="shared" si="109"/>
        <v>OK</v>
      </c>
      <c r="AK460" t="str">
        <f t="shared" si="110"/>
        <v>OK</v>
      </c>
      <c r="AL460" t="str">
        <f t="shared" si="111"/>
        <v>Include</v>
      </c>
      <c r="AM460" t="str">
        <f t="shared" si="102"/>
        <v>Clean</v>
      </c>
    </row>
    <row r="461" spans="1:39">
      <c r="A461" t="s">
        <v>1477</v>
      </c>
      <c r="B461" s="4">
        <v>45379</v>
      </c>
      <c r="C461" s="4">
        <v>45386</v>
      </c>
      <c r="D461" s="6">
        <v>7</v>
      </c>
      <c r="E461" t="s">
        <v>2788</v>
      </c>
      <c r="F461" t="s">
        <v>2788</v>
      </c>
      <c r="G461" t="s">
        <v>2788</v>
      </c>
      <c r="H461" t="s">
        <v>1478</v>
      </c>
      <c r="I461" t="s">
        <v>62</v>
      </c>
      <c r="J461" t="s">
        <v>95</v>
      </c>
      <c r="K461" t="s">
        <v>63</v>
      </c>
      <c r="L461" t="s">
        <v>190</v>
      </c>
      <c r="M461" t="s">
        <v>191</v>
      </c>
      <c r="N461" t="s">
        <v>28</v>
      </c>
      <c r="O461" t="s">
        <v>29</v>
      </c>
      <c r="P461" t="s">
        <v>1479</v>
      </c>
      <c r="Q461" t="s">
        <v>50</v>
      </c>
      <c r="R461">
        <v>3</v>
      </c>
      <c r="S461">
        <v>1150.92</v>
      </c>
      <c r="T461">
        <v>0</v>
      </c>
      <c r="U461">
        <v>3452.76</v>
      </c>
      <c r="V461">
        <v>2077.96</v>
      </c>
      <c r="W461">
        <v>1374.8</v>
      </c>
      <c r="X461" t="s">
        <v>32</v>
      </c>
      <c r="Y461" t="s">
        <v>33</v>
      </c>
      <c r="Z461" t="str">
        <f t="shared" si="98"/>
        <v>Unique</v>
      </c>
      <c r="AA461" t="str">
        <f t="shared" si="99"/>
        <v>Unique</v>
      </c>
      <c r="AB461" t="str">
        <f t="shared" si="103"/>
        <v>OK</v>
      </c>
      <c r="AC461">
        <f t="shared" si="104"/>
        <v>0</v>
      </c>
      <c r="AD461" t="str">
        <f t="shared" si="105"/>
        <v>OK</v>
      </c>
      <c r="AE461">
        <f t="shared" si="106"/>
        <v>3452.76</v>
      </c>
      <c r="AF461">
        <f t="shared" si="107"/>
        <v>1374.8000000000002</v>
      </c>
      <c r="AG461">
        <f t="shared" si="108"/>
        <v>0.39817421425178701</v>
      </c>
      <c r="AH461" t="str">
        <f t="shared" si="100"/>
        <v>March</v>
      </c>
      <c r="AI461">
        <f t="shared" si="101"/>
        <v>2024</v>
      </c>
      <c r="AJ461" t="str">
        <f t="shared" si="109"/>
        <v>OK</v>
      </c>
      <c r="AK461" t="str">
        <f t="shared" si="110"/>
        <v>OK</v>
      </c>
      <c r="AL461" t="str">
        <f t="shared" si="111"/>
        <v>Include</v>
      </c>
      <c r="AM461" t="str">
        <f t="shared" si="102"/>
        <v>Clean</v>
      </c>
    </row>
    <row r="462" spans="1:39">
      <c r="A462" t="s">
        <v>1480</v>
      </c>
      <c r="B462" s="4">
        <v>45930</v>
      </c>
      <c r="C462" s="4">
        <v>45936</v>
      </c>
      <c r="D462" s="6">
        <v>6</v>
      </c>
      <c r="E462" t="s">
        <v>2788</v>
      </c>
      <c r="F462" t="s">
        <v>2788</v>
      </c>
      <c r="G462" t="s">
        <v>2788</v>
      </c>
      <c r="H462" t="s">
        <v>1481</v>
      </c>
      <c r="I462" t="s">
        <v>128</v>
      </c>
      <c r="J462" t="s">
        <v>90</v>
      </c>
      <c r="K462" t="s">
        <v>2783</v>
      </c>
      <c r="L462" t="s">
        <v>26</v>
      </c>
      <c r="M462" t="s">
        <v>27</v>
      </c>
      <c r="N462" t="s">
        <v>74</v>
      </c>
      <c r="O462" t="s">
        <v>80</v>
      </c>
      <c r="P462" t="s">
        <v>1482</v>
      </c>
      <c r="Q462" t="s">
        <v>31</v>
      </c>
      <c r="R462">
        <v>9</v>
      </c>
      <c r="S462">
        <v>1359.88</v>
      </c>
      <c r="T462">
        <v>0.05</v>
      </c>
      <c r="U462">
        <v>11626.97</v>
      </c>
      <c r="V462">
        <v>7394.07</v>
      </c>
      <c r="W462">
        <v>4232.8999999999996</v>
      </c>
      <c r="X462" t="s">
        <v>32</v>
      </c>
      <c r="Y462" t="s">
        <v>33</v>
      </c>
      <c r="Z462" t="str">
        <f t="shared" si="98"/>
        <v>Unique</v>
      </c>
      <c r="AA462" t="str">
        <f t="shared" si="99"/>
        <v>Unique</v>
      </c>
      <c r="AB462" t="str">
        <f t="shared" si="103"/>
        <v>OK</v>
      </c>
      <c r="AC462">
        <f t="shared" si="104"/>
        <v>0.05</v>
      </c>
      <c r="AD462" t="str">
        <f t="shared" si="105"/>
        <v>OK</v>
      </c>
      <c r="AE462">
        <f t="shared" si="106"/>
        <v>11626.974000000002</v>
      </c>
      <c r="AF462">
        <f t="shared" si="107"/>
        <v>4232.9040000000023</v>
      </c>
      <c r="AG462">
        <f t="shared" si="108"/>
        <v>0.36405895463428417</v>
      </c>
      <c r="AH462" t="str">
        <f t="shared" si="100"/>
        <v>September</v>
      </c>
      <c r="AI462">
        <f t="shared" si="101"/>
        <v>2025</v>
      </c>
      <c r="AJ462" t="str">
        <f t="shared" si="109"/>
        <v>OK</v>
      </c>
      <c r="AK462" t="str">
        <f t="shared" si="110"/>
        <v>OK</v>
      </c>
      <c r="AL462" t="str">
        <f t="shared" si="111"/>
        <v>Include</v>
      </c>
      <c r="AM462" t="str">
        <f t="shared" si="102"/>
        <v>Clean</v>
      </c>
    </row>
    <row r="463" spans="1:39">
      <c r="A463" t="s">
        <v>1483</v>
      </c>
      <c r="B463" s="4">
        <v>45802</v>
      </c>
      <c r="C463" s="4">
        <v>45803</v>
      </c>
      <c r="D463" s="6">
        <v>1</v>
      </c>
      <c r="E463" t="s">
        <v>2788</v>
      </c>
      <c r="F463" t="s">
        <v>2788</v>
      </c>
      <c r="G463" t="s">
        <v>2788</v>
      </c>
      <c r="H463" t="s">
        <v>1484</v>
      </c>
      <c r="I463" t="s">
        <v>79</v>
      </c>
      <c r="J463" t="s">
        <v>90</v>
      </c>
      <c r="K463" t="s">
        <v>54</v>
      </c>
      <c r="L463" t="s">
        <v>84</v>
      </c>
      <c r="M463" t="s">
        <v>85</v>
      </c>
      <c r="N463" t="s">
        <v>28</v>
      </c>
      <c r="O463" t="s">
        <v>29</v>
      </c>
      <c r="P463" t="s">
        <v>1485</v>
      </c>
      <c r="Q463" t="s">
        <v>59</v>
      </c>
      <c r="R463">
        <v>3</v>
      </c>
      <c r="S463">
        <v>3378.15</v>
      </c>
      <c r="T463">
        <v>0.15</v>
      </c>
      <c r="U463">
        <v>8614.2800000000007</v>
      </c>
      <c r="V463">
        <v>7052.08</v>
      </c>
      <c r="W463">
        <v>1562.2</v>
      </c>
      <c r="X463" t="s">
        <v>32</v>
      </c>
      <c r="Y463" t="s">
        <v>33</v>
      </c>
      <c r="Z463" t="str">
        <f t="shared" si="98"/>
        <v>Unique</v>
      </c>
      <c r="AA463" t="str">
        <f t="shared" si="99"/>
        <v>Unique</v>
      </c>
      <c r="AB463" t="str">
        <f t="shared" si="103"/>
        <v>OK</v>
      </c>
      <c r="AC463">
        <f t="shared" si="104"/>
        <v>0.15</v>
      </c>
      <c r="AD463" t="str">
        <f t="shared" si="105"/>
        <v>OK</v>
      </c>
      <c r="AE463">
        <f t="shared" si="106"/>
        <v>8614.2825000000012</v>
      </c>
      <c r="AF463">
        <f t="shared" si="107"/>
        <v>1562.2025000000012</v>
      </c>
      <c r="AG463">
        <f t="shared" si="108"/>
        <v>0.18135027496486225</v>
      </c>
      <c r="AH463" t="str">
        <f t="shared" si="100"/>
        <v>May</v>
      </c>
      <c r="AI463">
        <f t="shared" si="101"/>
        <v>2025</v>
      </c>
      <c r="AJ463" t="str">
        <f t="shared" si="109"/>
        <v>OK</v>
      </c>
      <c r="AK463" t="str">
        <f t="shared" si="110"/>
        <v>OK</v>
      </c>
      <c r="AL463" t="str">
        <f t="shared" si="111"/>
        <v>Include</v>
      </c>
      <c r="AM463" t="str">
        <f t="shared" si="102"/>
        <v>Clean</v>
      </c>
    </row>
    <row r="464" spans="1:39">
      <c r="A464" t="s">
        <v>1486</v>
      </c>
      <c r="B464" s="4">
        <v>45558</v>
      </c>
      <c r="C464" s="4">
        <v>45560</v>
      </c>
      <c r="D464" s="6">
        <v>2</v>
      </c>
      <c r="E464" t="s">
        <v>2788</v>
      </c>
      <c r="F464" t="s">
        <v>2788</v>
      </c>
      <c r="G464" t="s">
        <v>2788</v>
      </c>
      <c r="H464" t="s">
        <v>1487</v>
      </c>
      <c r="I464" t="s">
        <v>128</v>
      </c>
      <c r="J464" t="s">
        <v>95</v>
      </c>
      <c r="K464" t="s">
        <v>25</v>
      </c>
      <c r="L464" t="s">
        <v>350</v>
      </c>
      <c r="M464" t="s">
        <v>351</v>
      </c>
      <c r="N464" t="s">
        <v>28</v>
      </c>
      <c r="O464" t="s">
        <v>153</v>
      </c>
      <c r="P464" t="s">
        <v>1488</v>
      </c>
      <c r="Q464" t="s">
        <v>50</v>
      </c>
      <c r="R464">
        <v>2</v>
      </c>
      <c r="S464">
        <v>1275.1400000000001</v>
      </c>
      <c r="T464">
        <v>0.2</v>
      </c>
      <c r="U464">
        <v>2040.22</v>
      </c>
      <c r="V464">
        <v>1395.71</v>
      </c>
      <c r="W464">
        <v>644.51</v>
      </c>
      <c r="X464" t="s">
        <v>32</v>
      </c>
      <c r="Y464" t="s">
        <v>33</v>
      </c>
      <c r="Z464" t="str">
        <f t="shared" si="98"/>
        <v>Unique</v>
      </c>
      <c r="AA464" t="str">
        <f t="shared" si="99"/>
        <v>Unique</v>
      </c>
      <c r="AB464" t="str">
        <f t="shared" si="103"/>
        <v>OK</v>
      </c>
      <c r="AC464">
        <f t="shared" si="104"/>
        <v>0.2</v>
      </c>
      <c r="AD464" t="str">
        <f t="shared" si="105"/>
        <v>OK</v>
      </c>
      <c r="AE464">
        <f t="shared" si="106"/>
        <v>2040.2240000000002</v>
      </c>
      <c r="AF464">
        <f t="shared" si="107"/>
        <v>644.51400000000012</v>
      </c>
      <c r="AG464">
        <f t="shared" si="108"/>
        <v>0.31590354784572677</v>
      </c>
      <c r="AH464" t="str">
        <f t="shared" si="100"/>
        <v>September</v>
      </c>
      <c r="AI464">
        <f t="shared" si="101"/>
        <v>2024</v>
      </c>
      <c r="AJ464" t="str">
        <f t="shared" si="109"/>
        <v>OK</v>
      </c>
      <c r="AK464" t="str">
        <f t="shared" si="110"/>
        <v>OK</v>
      </c>
      <c r="AL464" t="str">
        <f t="shared" si="111"/>
        <v>Include</v>
      </c>
      <c r="AM464" t="str">
        <f t="shared" si="102"/>
        <v>Clean</v>
      </c>
    </row>
    <row r="465" spans="1:39">
      <c r="A465" t="s">
        <v>1489</v>
      </c>
      <c r="B465" s="4">
        <v>45695</v>
      </c>
      <c r="C465" s="4">
        <v>45696</v>
      </c>
      <c r="D465" s="6">
        <v>1</v>
      </c>
      <c r="E465" t="s">
        <v>2788</v>
      </c>
      <c r="F465" t="s">
        <v>2788</v>
      </c>
      <c r="G465" t="s">
        <v>2788</v>
      </c>
      <c r="H465" t="s">
        <v>1490</v>
      </c>
      <c r="I465" t="s">
        <v>53</v>
      </c>
      <c r="J465" t="s">
        <v>90</v>
      </c>
      <c r="K465" t="s">
        <v>63</v>
      </c>
      <c r="L465" t="s">
        <v>72</v>
      </c>
      <c r="M465" t="s">
        <v>73</v>
      </c>
      <c r="N465" t="s">
        <v>74</v>
      </c>
      <c r="O465" t="s">
        <v>171</v>
      </c>
      <c r="P465" t="s">
        <v>1491</v>
      </c>
      <c r="Q465" t="s">
        <v>59</v>
      </c>
      <c r="R465">
        <v>4</v>
      </c>
      <c r="S465">
        <v>889.5</v>
      </c>
      <c r="T465">
        <v>0.2</v>
      </c>
      <c r="U465">
        <v>2846.4</v>
      </c>
      <c r="V465">
        <v>2132.37</v>
      </c>
      <c r="W465">
        <v>714.03</v>
      </c>
      <c r="X465" t="s">
        <v>32</v>
      </c>
      <c r="Y465" t="s">
        <v>33</v>
      </c>
      <c r="Z465" t="str">
        <f t="shared" si="98"/>
        <v>Unique</v>
      </c>
      <c r="AA465" t="str">
        <f t="shared" si="99"/>
        <v>Unique</v>
      </c>
      <c r="AB465" t="str">
        <f t="shared" si="103"/>
        <v>OK</v>
      </c>
      <c r="AC465">
        <f t="shared" si="104"/>
        <v>0.2</v>
      </c>
      <c r="AD465" t="str">
        <f t="shared" si="105"/>
        <v>OK</v>
      </c>
      <c r="AE465">
        <f t="shared" si="106"/>
        <v>2846.4</v>
      </c>
      <c r="AF465">
        <f t="shared" si="107"/>
        <v>714.0300000000002</v>
      </c>
      <c r="AG465">
        <f t="shared" si="108"/>
        <v>0.25085370994940986</v>
      </c>
      <c r="AH465" t="str">
        <f t="shared" si="100"/>
        <v>February</v>
      </c>
      <c r="AI465">
        <f t="shared" si="101"/>
        <v>2025</v>
      </c>
      <c r="AJ465" t="str">
        <f t="shared" si="109"/>
        <v>OK</v>
      </c>
      <c r="AK465" t="str">
        <f t="shared" si="110"/>
        <v>OK</v>
      </c>
      <c r="AL465" t="str">
        <f t="shared" si="111"/>
        <v>Include</v>
      </c>
      <c r="AM465" t="str">
        <f t="shared" si="102"/>
        <v>Clean</v>
      </c>
    </row>
    <row r="466" spans="1:39">
      <c r="A466" t="s">
        <v>1492</v>
      </c>
      <c r="B466" s="4">
        <v>45727</v>
      </c>
      <c r="C466" s="4">
        <v>45731</v>
      </c>
      <c r="D466" s="6">
        <v>4</v>
      </c>
      <c r="E466" t="s">
        <v>2788</v>
      </c>
      <c r="F466" t="s">
        <v>2788</v>
      </c>
      <c r="G466" t="s">
        <v>2788</v>
      </c>
      <c r="H466" t="s">
        <v>1493</v>
      </c>
      <c r="I466" t="s">
        <v>53</v>
      </c>
      <c r="J466" t="s">
        <v>90</v>
      </c>
      <c r="K466" t="s">
        <v>38</v>
      </c>
      <c r="L466" t="s">
        <v>145</v>
      </c>
      <c r="M466" t="s">
        <v>146</v>
      </c>
      <c r="N466" t="s">
        <v>28</v>
      </c>
      <c r="O466" t="s">
        <v>29</v>
      </c>
      <c r="P466" t="s">
        <v>1494</v>
      </c>
      <c r="Q466" t="s">
        <v>44</v>
      </c>
      <c r="R466">
        <v>3</v>
      </c>
      <c r="S466">
        <v>3625.08</v>
      </c>
      <c r="T466">
        <v>0.05</v>
      </c>
      <c r="U466">
        <v>10331.48</v>
      </c>
      <c r="V466">
        <v>7131.91</v>
      </c>
      <c r="W466">
        <v>3199.57</v>
      </c>
      <c r="X466" t="s">
        <v>111</v>
      </c>
      <c r="Y466" t="s">
        <v>68</v>
      </c>
      <c r="Z466" t="str">
        <f t="shared" si="98"/>
        <v>Unique</v>
      </c>
      <c r="AA466" t="str">
        <f t="shared" si="99"/>
        <v>Unique</v>
      </c>
      <c r="AB466" t="str">
        <f t="shared" si="103"/>
        <v>OK</v>
      </c>
      <c r="AC466">
        <f t="shared" si="104"/>
        <v>0.05</v>
      </c>
      <c r="AD466" t="str">
        <f t="shared" si="105"/>
        <v>OK</v>
      </c>
      <c r="AE466">
        <f t="shared" si="106"/>
        <v>10331.477999999999</v>
      </c>
      <c r="AF466">
        <f t="shared" si="107"/>
        <v>3199.5679999999993</v>
      </c>
      <c r="AG466">
        <f t="shared" si="108"/>
        <v>0.30969121746181905</v>
      </c>
      <c r="AH466" t="str">
        <f t="shared" si="100"/>
        <v>March</v>
      </c>
      <c r="AI466">
        <f t="shared" si="101"/>
        <v>2025</v>
      </c>
      <c r="AJ466" t="str">
        <f t="shared" si="109"/>
        <v>OK</v>
      </c>
      <c r="AK466" t="str">
        <f t="shared" si="110"/>
        <v>OK</v>
      </c>
      <c r="AL466" t="str">
        <f t="shared" si="111"/>
        <v>Exclude</v>
      </c>
      <c r="AM466" t="str">
        <f t="shared" si="102"/>
        <v>Clean</v>
      </c>
    </row>
    <row r="467" spans="1:39">
      <c r="A467" t="s">
        <v>1495</v>
      </c>
      <c r="B467" s="4">
        <v>45320</v>
      </c>
      <c r="C467" s="4">
        <v>45328</v>
      </c>
      <c r="D467" s="6">
        <v>8</v>
      </c>
      <c r="E467" t="s">
        <v>2788</v>
      </c>
      <c r="F467" t="s">
        <v>2788</v>
      </c>
      <c r="G467" t="s">
        <v>2788</v>
      </c>
      <c r="H467" t="s">
        <v>1496</v>
      </c>
      <c r="I467" t="s">
        <v>128</v>
      </c>
      <c r="J467" t="s">
        <v>37</v>
      </c>
      <c r="K467" t="s">
        <v>63</v>
      </c>
      <c r="L467" t="s">
        <v>72</v>
      </c>
      <c r="M467" t="s">
        <v>73</v>
      </c>
      <c r="N467" t="s">
        <v>28</v>
      </c>
      <c r="O467" t="s">
        <v>91</v>
      </c>
      <c r="P467" t="s">
        <v>1497</v>
      </c>
      <c r="Q467" t="s">
        <v>59</v>
      </c>
      <c r="R467">
        <v>2</v>
      </c>
      <c r="S467">
        <v>1258.9000000000001</v>
      </c>
      <c r="T467">
        <v>0</v>
      </c>
      <c r="U467">
        <v>2517.8000000000002</v>
      </c>
      <c r="V467">
        <v>1478.54</v>
      </c>
      <c r="W467">
        <v>1039.26</v>
      </c>
      <c r="X467" t="s">
        <v>32</v>
      </c>
      <c r="Y467" t="s">
        <v>33</v>
      </c>
      <c r="Z467" t="str">
        <f t="shared" si="98"/>
        <v>Unique</v>
      </c>
      <c r="AA467" t="str">
        <f t="shared" si="99"/>
        <v>Unique</v>
      </c>
      <c r="AB467" t="str">
        <f t="shared" si="103"/>
        <v>OK</v>
      </c>
      <c r="AC467">
        <f t="shared" si="104"/>
        <v>0</v>
      </c>
      <c r="AD467" t="str">
        <f t="shared" si="105"/>
        <v>OK</v>
      </c>
      <c r="AE467">
        <f t="shared" si="106"/>
        <v>2517.8000000000002</v>
      </c>
      <c r="AF467">
        <f t="shared" si="107"/>
        <v>1039.2600000000002</v>
      </c>
      <c r="AG467">
        <f t="shared" si="108"/>
        <v>0.41276511239971408</v>
      </c>
      <c r="AH467" t="str">
        <f t="shared" si="100"/>
        <v>January</v>
      </c>
      <c r="AI467">
        <f t="shared" si="101"/>
        <v>2024</v>
      </c>
      <c r="AJ467" t="str">
        <f t="shared" si="109"/>
        <v>OK</v>
      </c>
      <c r="AK467" t="str">
        <f t="shared" si="110"/>
        <v>OK</v>
      </c>
      <c r="AL467" t="str">
        <f t="shared" si="111"/>
        <v>Include</v>
      </c>
      <c r="AM467" t="str">
        <f t="shared" si="102"/>
        <v>Clean</v>
      </c>
    </row>
    <row r="468" spans="1:39">
      <c r="A468" t="s">
        <v>1498</v>
      </c>
      <c r="B468" s="4">
        <v>45295</v>
      </c>
      <c r="C468" s="4">
        <v>45299</v>
      </c>
      <c r="D468" s="6">
        <v>4</v>
      </c>
      <c r="E468" t="s">
        <v>2788</v>
      </c>
      <c r="F468" t="s">
        <v>2788</v>
      </c>
      <c r="G468" t="s">
        <v>2788</v>
      </c>
      <c r="H468" t="s">
        <v>1499</v>
      </c>
      <c r="I468" t="s">
        <v>36</v>
      </c>
      <c r="J468" t="s">
        <v>37</v>
      </c>
      <c r="K468" t="s">
        <v>38</v>
      </c>
      <c r="L468" t="s">
        <v>145</v>
      </c>
      <c r="M468" t="s">
        <v>146</v>
      </c>
      <c r="N468" t="s">
        <v>74</v>
      </c>
      <c r="O468" t="s">
        <v>75</v>
      </c>
      <c r="P468" t="s">
        <v>1500</v>
      </c>
      <c r="Q468" t="s">
        <v>44</v>
      </c>
      <c r="R468">
        <v>9</v>
      </c>
      <c r="S468">
        <v>1591.96</v>
      </c>
      <c r="T468">
        <v>0.2</v>
      </c>
      <c r="U468">
        <v>11462.11</v>
      </c>
      <c r="V468">
        <v>7105.48</v>
      </c>
      <c r="W468">
        <v>4356.63</v>
      </c>
      <c r="X468" t="s">
        <v>32</v>
      </c>
      <c r="Y468" t="s">
        <v>33</v>
      </c>
      <c r="Z468" t="str">
        <f t="shared" si="98"/>
        <v>Unique</v>
      </c>
      <c r="AA468" t="str">
        <f t="shared" si="99"/>
        <v>Unique</v>
      </c>
      <c r="AB468" t="str">
        <f t="shared" si="103"/>
        <v>OK</v>
      </c>
      <c r="AC468">
        <f t="shared" si="104"/>
        <v>0.2</v>
      </c>
      <c r="AD468" t="str">
        <f t="shared" si="105"/>
        <v>OK</v>
      </c>
      <c r="AE468">
        <f t="shared" si="106"/>
        <v>11462.112000000001</v>
      </c>
      <c r="AF468">
        <f t="shared" si="107"/>
        <v>4356.6320000000014</v>
      </c>
      <c r="AG468">
        <f t="shared" si="108"/>
        <v>0.38008981241851425</v>
      </c>
      <c r="AH468" t="str">
        <f t="shared" si="100"/>
        <v>January</v>
      </c>
      <c r="AI468">
        <f t="shared" si="101"/>
        <v>2024</v>
      </c>
      <c r="AJ468" t="str">
        <f t="shared" si="109"/>
        <v>OK</v>
      </c>
      <c r="AK468" t="str">
        <f t="shared" si="110"/>
        <v>OK</v>
      </c>
      <c r="AL468" t="str">
        <f t="shared" si="111"/>
        <v>Include</v>
      </c>
      <c r="AM468" t="str">
        <f t="shared" si="102"/>
        <v>Clean</v>
      </c>
    </row>
    <row r="469" spans="1:39">
      <c r="A469" t="s">
        <v>1501</v>
      </c>
      <c r="B469" s="4">
        <v>45524</v>
      </c>
      <c r="C469" s="4">
        <v>45525</v>
      </c>
      <c r="D469" s="6">
        <v>1</v>
      </c>
      <c r="E469" t="s">
        <v>2788</v>
      </c>
      <c r="F469" t="s">
        <v>2788</v>
      </c>
      <c r="G469" t="s">
        <v>2788</v>
      </c>
      <c r="H469" t="s">
        <v>1502</v>
      </c>
      <c r="I469" t="s">
        <v>89</v>
      </c>
      <c r="J469" t="s">
        <v>90</v>
      </c>
      <c r="K469" t="s">
        <v>38</v>
      </c>
      <c r="L469" t="s">
        <v>39</v>
      </c>
      <c r="M469" t="s">
        <v>40</v>
      </c>
      <c r="N469" t="s">
        <v>74</v>
      </c>
      <c r="O469" t="s">
        <v>80</v>
      </c>
      <c r="P469" t="s">
        <v>1503</v>
      </c>
      <c r="Q469" t="s">
        <v>50</v>
      </c>
      <c r="R469">
        <v>5</v>
      </c>
      <c r="S469">
        <v>4288.33</v>
      </c>
      <c r="T469">
        <v>0.1</v>
      </c>
      <c r="U469">
        <v>19297.490000000002</v>
      </c>
      <c r="V469">
        <v>15451.66</v>
      </c>
      <c r="W469">
        <v>3845.83</v>
      </c>
      <c r="X469" t="s">
        <v>102</v>
      </c>
      <c r="Y469" t="s">
        <v>68</v>
      </c>
      <c r="Z469" t="str">
        <f t="shared" si="98"/>
        <v>Unique</v>
      </c>
      <c r="AA469" t="str">
        <f t="shared" si="99"/>
        <v>Unique</v>
      </c>
      <c r="AB469" t="str">
        <f t="shared" si="103"/>
        <v>OK</v>
      </c>
      <c r="AC469">
        <f t="shared" si="104"/>
        <v>0.1</v>
      </c>
      <c r="AD469" t="str">
        <f t="shared" si="105"/>
        <v>OK</v>
      </c>
      <c r="AE469">
        <f t="shared" si="106"/>
        <v>19297.485000000001</v>
      </c>
      <c r="AF469">
        <f t="shared" si="107"/>
        <v>3845.8250000000007</v>
      </c>
      <c r="AG469">
        <f t="shared" si="108"/>
        <v>0.1992915138941681</v>
      </c>
      <c r="AH469" t="str">
        <f t="shared" si="100"/>
        <v>August</v>
      </c>
      <c r="AI469">
        <f t="shared" si="101"/>
        <v>2024</v>
      </c>
      <c r="AJ469" t="str">
        <f t="shared" si="109"/>
        <v>OK</v>
      </c>
      <c r="AK469" t="str">
        <f t="shared" si="110"/>
        <v>OK</v>
      </c>
      <c r="AL469" t="str">
        <f t="shared" si="111"/>
        <v>Exclude</v>
      </c>
      <c r="AM469" t="str">
        <f t="shared" si="102"/>
        <v>Clean</v>
      </c>
    </row>
    <row r="470" spans="1:39">
      <c r="A470" t="s">
        <v>1504</v>
      </c>
      <c r="B470" s="4">
        <v>45666</v>
      </c>
      <c r="C470" s="4">
        <v>45664</v>
      </c>
      <c r="D470" s="6">
        <v>-2</v>
      </c>
      <c r="E470" t="s">
        <v>2788</v>
      </c>
      <c r="F470" t="s">
        <v>2788</v>
      </c>
      <c r="G470" t="s">
        <v>2790</v>
      </c>
      <c r="H470" t="s">
        <v>1505</v>
      </c>
      <c r="I470" t="s">
        <v>128</v>
      </c>
      <c r="J470" t="s">
        <v>95</v>
      </c>
      <c r="K470" t="s">
        <v>38</v>
      </c>
      <c r="L470" t="s">
        <v>99</v>
      </c>
      <c r="M470" t="s">
        <v>100</v>
      </c>
      <c r="N470" t="s">
        <v>28</v>
      </c>
      <c r="O470" t="s">
        <v>153</v>
      </c>
      <c r="P470" t="s">
        <v>1506</v>
      </c>
      <c r="Q470" t="s">
        <v>31</v>
      </c>
      <c r="R470">
        <v>3</v>
      </c>
      <c r="S470">
        <v>2188.33</v>
      </c>
      <c r="T470">
        <v>0</v>
      </c>
      <c r="U470">
        <v>6564.99</v>
      </c>
      <c r="V470">
        <v>5407.24</v>
      </c>
      <c r="W470">
        <v>1157.75</v>
      </c>
      <c r="X470" t="s">
        <v>32</v>
      </c>
      <c r="Y470" t="s">
        <v>33</v>
      </c>
      <c r="Z470" t="str">
        <f t="shared" si="98"/>
        <v>Unique</v>
      </c>
      <c r="AA470" t="str">
        <f t="shared" si="99"/>
        <v>Unique</v>
      </c>
      <c r="AB470" t="str">
        <f t="shared" si="103"/>
        <v>OK</v>
      </c>
      <c r="AC470">
        <f t="shared" si="104"/>
        <v>0</v>
      </c>
      <c r="AD470" t="str">
        <f t="shared" si="105"/>
        <v>OK</v>
      </c>
      <c r="AE470">
        <f t="shared" si="106"/>
        <v>6564.99</v>
      </c>
      <c r="AF470">
        <f t="shared" si="107"/>
        <v>1157.75</v>
      </c>
      <c r="AG470">
        <f t="shared" si="108"/>
        <v>0.17635213458055535</v>
      </c>
      <c r="AH470" t="str">
        <f t="shared" si="100"/>
        <v>January</v>
      </c>
      <c r="AI470">
        <f t="shared" si="101"/>
        <v>2025</v>
      </c>
      <c r="AJ470" t="str">
        <f t="shared" si="109"/>
        <v>OK</v>
      </c>
      <c r="AK470" t="str">
        <f t="shared" si="110"/>
        <v>OK</v>
      </c>
      <c r="AL470" t="str">
        <f t="shared" si="111"/>
        <v>Include</v>
      </c>
      <c r="AM470" t="str">
        <f t="shared" si="102"/>
        <v>Warning</v>
      </c>
    </row>
    <row r="471" spans="1:39">
      <c r="A471" t="s">
        <v>1507</v>
      </c>
      <c r="B471" s="4">
        <v>45310</v>
      </c>
      <c r="C471" s="4">
        <v>45316</v>
      </c>
      <c r="D471" s="6">
        <v>6</v>
      </c>
      <c r="E471" t="s">
        <v>2788</v>
      </c>
      <c r="F471" t="s">
        <v>2788</v>
      </c>
      <c r="G471" t="s">
        <v>2788</v>
      </c>
      <c r="H471" t="s">
        <v>1508</v>
      </c>
      <c r="I471" t="s">
        <v>89</v>
      </c>
      <c r="J471" t="s">
        <v>90</v>
      </c>
      <c r="K471" t="s">
        <v>63</v>
      </c>
      <c r="L471" t="s">
        <v>190</v>
      </c>
      <c r="M471" t="s">
        <v>191</v>
      </c>
      <c r="N471" t="s">
        <v>74</v>
      </c>
      <c r="O471" t="s">
        <v>80</v>
      </c>
      <c r="P471" t="s">
        <v>1509</v>
      </c>
      <c r="Q471" t="s">
        <v>50</v>
      </c>
      <c r="R471">
        <v>3</v>
      </c>
      <c r="S471">
        <v>1041.6600000000001</v>
      </c>
      <c r="T471">
        <v>0.1</v>
      </c>
      <c r="U471">
        <v>2812.48</v>
      </c>
      <c r="V471">
        <v>2282.12</v>
      </c>
      <c r="W471">
        <v>530.36</v>
      </c>
      <c r="X471" t="s">
        <v>32</v>
      </c>
      <c r="Y471" t="s">
        <v>33</v>
      </c>
      <c r="Z471" t="str">
        <f t="shared" si="98"/>
        <v>Unique</v>
      </c>
      <c r="AA471" t="str">
        <f t="shared" si="99"/>
        <v>Unique</v>
      </c>
      <c r="AB471" t="str">
        <f t="shared" si="103"/>
        <v>OK</v>
      </c>
      <c r="AC471">
        <f t="shared" si="104"/>
        <v>0.1</v>
      </c>
      <c r="AD471" t="str">
        <f t="shared" si="105"/>
        <v>OK</v>
      </c>
      <c r="AE471">
        <f t="shared" si="106"/>
        <v>2812.4820000000004</v>
      </c>
      <c r="AF471">
        <f t="shared" si="107"/>
        <v>530.36200000000053</v>
      </c>
      <c r="AG471">
        <f t="shared" si="108"/>
        <v>0.18857436243147527</v>
      </c>
      <c r="AH471" t="str">
        <f t="shared" si="100"/>
        <v>January</v>
      </c>
      <c r="AI471">
        <f t="shared" si="101"/>
        <v>2024</v>
      </c>
      <c r="AJ471" t="str">
        <f t="shared" si="109"/>
        <v>OK</v>
      </c>
      <c r="AK471" t="str">
        <f t="shared" si="110"/>
        <v>OK</v>
      </c>
      <c r="AL471" t="str">
        <f t="shared" si="111"/>
        <v>Include</v>
      </c>
      <c r="AM471" t="str">
        <f t="shared" si="102"/>
        <v>Clean</v>
      </c>
    </row>
    <row r="472" spans="1:39">
      <c r="A472" t="s">
        <v>1510</v>
      </c>
      <c r="B472" s="4">
        <v>45501</v>
      </c>
      <c r="C472" s="4">
        <v>45504</v>
      </c>
      <c r="D472" s="6">
        <v>3</v>
      </c>
      <c r="E472" t="s">
        <v>2788</v>
      </c>
      <c r="F472" t="s">
        <v>2788</v>
      </c>
      <c r="G472" t="s">
        <v>2788</v>
      </c>
      <c r="H472" t="s">
        <v>1511</v>
      </c>
      <c r="I472" t="s">
        <v>89</v>
      </c>
      <c r="J472" t="s">
        <v>24</v>
      </c>
      <c r="K472" t="s">
        <v>25</v>
      </c>
      <c r="L472" t="s">
        <v>26</v>
      </c>
      <c r="M472" t="s">
        <v>27</v>
      </c>
      <c r="N472" t="s">
        <v>41</v>
      </c>
      <c r="O472" t="s">
        <v>42</v>
      </c>
      <c r="P472" t="s">
        <v>1512</v>
      </c>
      <c r="Q472" t="s">
        <v>44</v>
      </c>
      <c r="R472">
        <v>2</v>
      </c>
      <c r="S472">
        <v>4424.78</v>
      </c>
      <c r="T472">
        <v>0.2</v>
      </c>
      <c r="U472">
        <v>7079.65</v>
      </c>
      <c r="V472">
        <v>4465.91</v>
      </c>
      <c r="W472">
        <v>2613.7399999999998</v>
      </c>
      <c r="X472" t="s">
        <v>32</v>
      </c>
      <c r="Y472" t="s">
        <v>33</v>
      </c>
      <c r="Z472" t="str">
        <f t="shared" si="98"/>
        <v>Unique</v>
      </c>
      <c r="AA472" t="str">
        <f t="shared" si="99"/>
        <v>Unique</v>
      </c>
      <c r="AB472" t="str">
        <f t="shared" si="103"/>
        <v>OK</v>
      </c>
      <c r="AC472">
        <f t="shared" si="104"/>
        <v>0.2</v>
      </c>
      <c r="AD472" t="str">
        <f t="shared" si="105"/>
        <v>OK</v>
      </c>
      <c r="AE472">
        <f t="shared" si="106"/>
        <v>7079.6480000000001</v>
      </c>
      <c r="AF472">
        <f t="shared" si="107"/>
        <v>2613.7380000000003</v>
      </c>
      <c r="AG472">
        <f t="shared" si="108"/>
        <v>0.36919038912669105</v>
      </c>
      <c r="AH472" t="str">
        <f t="shared" si="100"/>
        <v>July</v>
      </c>
      <c r="AI472">
        <f t="shared" si="101"/>
        <v>2024</v>
      </c>
      <c r="AJ472" t="str">
        <f t="shared" si="109"/>
        <v>OK</v>
      </c>
      <c r="AK472" t="str">
        <f t="shared" si="110"/>
        <v>OK</v>
      </c>
      <c r="AL472" t="str">
        <f t="shared" si="111"/>
        <v>Include</v>
      </c>
      <c r="AM472" t="str">
        <f t="shared" si="102"/>
        <v>Clean</v>
      </c>
    </row>
    <row r="473" spans="1:39">
      <c r="A473" t="s">
        <v>1513</v>
      </c>
      <c r="B473" s="4">
        <v>45333</v>
      </c>
      <c r="C473" s="4">
        <v>45337</v>
      </c>
      <c r="D473" s="6">
        <v>4</v>
      </c>
      <c r="E473" t="s">
        <v>2788</v>
      </c>
      <c r="F473" t="s">
        <v>2788</v>
      </c>
      <c r="G473" t="s">
        <v>2788</v>
      </c>
      <c r="H473" t="s">
        <v>1514</v>
      </c>
      <c r="I473" t="s">
        <v>264</v>
      </c>
      <c r="J473" t="s">
        <v>24</v>
      </c>
      <c r="K473" t="s">
        <v>54</v>
      </c>
      <c r="L473" t="s">
        <v>55</v>
      </c>
      <c r="M473" t="s">
        <v>56</v>
      </c>
      <c r="N473" t="s">
        <v>28</v>
      </c>
      <c r="O473" t="s">
        <v>153</v>
      </c>
      <c r="P473" t="s">
        <v>1515</v>
      </c>
      <c r="Q473" t="s">
        <v>59</v>
      </c>
      <c r="R473">
        <v>3</v>
      </c>
      <c r="S473">
        <v>3019.14</v>
      </c>
      <c r="T473">
        <v>0.25</v>
      </c>
      <c r="U473">
        <v>6793.07</v>
      </c>
      <c r="V473">
        <v>4985.22</v>
      </c>
      <c r="W473">
        <v>1807.85</v>
      </c>
      <c r="X473" t="s">
        <v>32</v>
      </c>
      <c r="Y473" t="s">
        <v>33</v>
      </c>
      <c r="Z473" t="str">
        <f t="shared" si="98"/>
        <v>Unique</v>
      </c>
      <c r="AA473" t="str">
        <f t="shared" si="99"/>
        <v>Unique</v>
      </c>
      <c r="AB473" t="str">
        <f t="shared" si="103"/>
        <v>OK</v>
      </c>
      <c r="AC473">
        <f t="shared" si="104"/>
        <v>0.25</v>
      </c>
      <c r="AD473" t="str">
        <f t="shared" si="105"/>
        <v>OK</v>
      </c>
      <c r="AE473">
        <f t="shared" si="106"/>
        <v>6793.0650000000005</v>
      </c>
      <c r="AF473">
        <f t="shared" si="107"/>
        <v>1807.8450000000003</v>
      </c>
      <c r="AG473">
        <f t="shared" si="108"/>
        <v>0.26613097327936652</v>
      </c>
      <c r="AH473" t="str">
        <f t="shared" si="100"/>
        <v>February</v>
      </c>
      <c r="AI473">
        <f t="shared" si="101"/>
        <v>2024</v>
      </c>
      <c r="AJ473" t="str">
        <f t="shared" si="109"/>
        <v>OK</v>
      </c>
      <c r="AK473" t="str">
        <f t="shared" si="110"/>
        <v>OK</v>
      </c>
      <c r="AL473" t="str">
        <f t="shared" si="111"/>
        <v>Include</v>
      </c>
      <c r="AM473" t="str">
        <f t="shared" si="102"/>
        <v>Clean</v>
      </c>
    </row>
    <row r="474" spans="1:39">
      <c r="A474" t="s">
        <v>1516</v>
      </c>
      <c r="B474" s="4">
        <v>45353</v>
      </c>
      <c r="C474" s="4">
        <v>45358</v>
      </c>
      <c r="D474" s="6">
        <v>5</v>
      </c>
      <c r="E474" t="s">
        <v>2788</v>
      </c>
      <c r="F474" t="s">
        <v>2788</v>
      </c>
      <c r="G474" t="s">
        <v>2788</v>
      </c>
      <c r="H474" t="s">
        <v>1517</v>
      </c>
      <c r="I474" t="s">
        <v>141</v>
      </c>
      <c r="J474" t="s">
        <v>90</v>
      </c>
      <c r="K474" t="s">
        <v>38</v>
      </c>
      <c r="L474" t="s">
        <v>39</v>
      </c>
      <c r="M474" t="s">
        <v>40</v>
      </c>
      <c r="N474" t="s">
        <v>28</v>
      </c>
      <c r="O474" t="s">
        <v>124</v>
      </c>
      <c r="P474" t="s">
        <v>1518</v>
      </c>
      <c r="Q474" t="s">
        <v>59</v>
      </c>
      <c r="R474">
        <v>7</v>
      </c>
      <c r="S474">
        <v>263.45999999999998</v>
      </c>
      <c r="T474">
        <v>0</v>
      </c>
      <c r="U474">
        <v>1844.22</v>
      </c>
      <c r="V474">
        <v>1094.21</v>
      </c>
      <c r="W474">
        <v>750.01</v>
      </c>
      <c r="X474" t="s">
        <v>32</v>
      </c>
      <c r="Y474" t="s">
        <v>33</v>
      </c>
      <c r="Z474" t="str">
        <f t="shared" si="98"/>
        <v>Unique</v>
      </c>
      <c r="AA474" t="str">
        <f t="shared" si="99"/>
        <v>Unique</v>
      </c>
      <c r="AB474" t="str">
        <f t="shared" si="103"/>
        <v>OK</v>
      </c>
      <c r="AC474">
        <f t="shared" si="104"/>
        <v>0</v>
      </c>
      <c r="AD474" t="str">
        <f t="shared" si="105"/>
        <v>OK</v>
      </c>
      <c r="AE474">
        <f t="shared" si="106"/>
        <v>1844.2199999999998</v>
      </c>
      <c r="AF474">
        <f t="shared" si="107"/>
        <v>750.00999999999976</v>
      </c>
      <c r="AG474">
        <f t="shared" si="108"/>
        <v>0.40668141544934977</v>
      </c>
      <c r="AH474" t="str">
        <f t="shared" si="100"/>
        <v>March</v>
      </c>
      <c r="AI474">
        <f t="shared" si="101"/>
        <v>2024</v>
      </c>
      <c r="AJ474" t="str">
        <f t="shared" si="109"/>
        <v>OK</v>
      </c>
      <c r="AK474" t="str">
        <f t="shared" si="110"/>
        <v>OK</v>
      </c>
      <c r="AL474" t="str">
        <f t="shared" si="111"/>
        <v>Include</v>
      </c>
      <c r="AM474" t="str">
        <f t="shared" si="102"/>
        <v>Clean</v>
      </c>
    </row>
    <row r="475" spans="1:39">
      <c r="A475" t="s">
        <v>1519</v>
      </c>
      <c r="B475" s="4">
        <v>45609</v>
      </c>
      <c r="C475" s="4">
        <v>45609</v>
      </c>
      <c r="D475" s="6">
        <v>0</v>
      </c>
      <c r="E475" t="s">
        <v>2788</v>
      </c>
      <c r="F475" t="s">
        <v>2788</v>
      </c>
      <c r="G475" t="s">
        <v>2788</v>
      </c>
      <c r="H475" t="s">
        <v>1520</v>
      </c>
      <c r="I475" t="s">
        <v>114</v>
      </c>
      <c r="J475" t="s">
        <v>24</v>
      </c>
      <c r="K475" t="s">
        <v>63</v>
      </c>
      <c r="L475" t="s">
        <v>190</v>
      </c>
      <c r="M475" t="s">
        <v>191</v>
      </c>
      <c r="N475" t="s">
        <v>74</v>
      </c>
      <c r="O475" t="s">
        <v>80</v>
      </c>
      <c r="P475" t="s">
        <v>1521</v>
      </c>
      <c r="Q475" t="s">
        <v>59</v>
      </c>
      <c r="R475">
        <v>6</v>
      </c>
      <c r="S475">
        <v>191.45</v>
      </c>
      <c r="T475">
        <v>0.2</v>
      </c>
      <c r="U475">
        <v>918.96</v>
      </c>
      <c r="V475">
        <v>554.17999999999995</v>
      </c>
      <c r="W475">
        <v>364.78</v>
      </c>
      <c r="X475" t="s">
        <v>32</v>
      </c>
      <c r="Y475" t="s">
        <v>33</v>
      </c>
      <c r="Z475" t="str">
        <f t="shared" si="98"/>
        <v>Unique</v>
      </c>
      <c r="AA475" t="str">
        <f t="shared" si="99"/>
        <v>Unique</v>
      </c>
      <c r="AB475" t="str">
        <f t="shared" si="103"/>
        <v>OK</v>
      </c>
      <c r="AC475">
        <f t="shared" si="104"/>
        <v>0.2</v>
      </c>
      <c r="AD475" t="str">
        <f t="shared" si="105"/>
        <v>OK</v>
      </c>
      <c r="AE475">
        <f t="shared" si="106"/>
        <v>918.95999999999992</v>
      </c>
      <c r="AF475">
        <f t="shared" si="107"/>
        <v>364.78</v>
      </c>
      <c r="AG475">
        <f t="shared" si="108"/>
        <v>0.39694872464525116</v>
      </c>
      <c r="AH475" t="str">
        <f t="shared" si="100"/>
        <v>November</v>
      </c>
      <c r="AI475">
        <f t="shared" si="101"/>
        <v>2024</v>
      </c>
      <c r="AJ475" t="str">
        <f t="shared" si="109"/>
        <v>OK</v>
      </c>
      <c r="AK475" t="str">
        <f t="shared" si="110"/>
        <v>OK</v>
      </c>
      <c r="AL475" t="str">
        <f t="shared" si="111"/>
        <v>Include</v>
      </c>
      <c r="AM475" t="str">
        <f t="shared" si="102"/>
        <v>Clean</v>
      </c>
    </row>
    <row r="476" spans="1:39">
      <c r="A476" t="s">
        <v>1522</v>
      </c>
      <c r="B476" s="4">
        <v>45446</v>
      </c>
      <c r="C476" s="4">
        <v>45453</v>
      </c>
      <c r="D476" s="6">
        <v>7</v>
      </c>
      <c r="E476" t="s">
        <v>2788</v>
      </c>
      <c r="F476" t="s">
        <v>2788</v>
      </c>
      <c r="G476" t="s">
        <v>2788</v>
      </c>
      <c r="H476" t="s">
        <v>1523</v>
      </c>
      <c r="I476" t="s">
        <v>162</v>
      </c>
      <c r="J476" t="s">
        <v>90</v>
      </c>
      <c r="K476" t="s">
        <v>25</v>
      </c>
      <c r="L476" t="s">
        <v>122</v>
      </c>
      <c r="M476" t="s">
        <v>123</v>
      </c>
      <c r="N476" t="s">
        <v>41</v>
      </c>
      <c r="O476" t="s">
        <v>57</v>
      </c>
      <c r="P476" t="s">
        <v>1524</v>
      </c>
      <c r="Q476" t="s">
        <v>59</v>
      </c>
      <c r="R476">
        <v>3</v>
      </c>
      <c r="S476">
        <v>1633.57</v>
      </c>
      <c r="T476">
        <v>0</v>
      </c>
      <c r="U476">
        <v>4900.71</v>
      </c>
      <c r="V476">
        <v>2713.9</v>
      </c>
      <c r="W476">
        <v>2186.81</v>
      </c>
      <c r="X476" t="s">
        <v>32</v>
      </c>
      <c r="Y476" t="s">
        <v>33</v>
      </c>
      <c r="Z476" t="str">
        <f t="shared" si="98"/>
        <v>Unique</v>
      </c>
      <c r="AA476" t="str">
        <f t="shared" si="99"/>
        <v>Unique</v>
      </c>
      <c r="AB476" t="str">
        <f t="shared" si="103"/>
        <v>OK</v>
      </c>
      <c r="AC476">
        <f t="shared" si="104"/>
        <v>0</v>
      </c>
      <c r="AD476" t="str">
        <f t="shared" si="105"/>
        <v>OK</v>
      </c>
      <c r="AE476">
        <f t="shared" si="106"/>
        <v>4900.71</v>
      </c>
      <c r="AF476">
        <f t="shared" si="107"/>
        <v>2186.81</v>
      </c>
      <c r="AG476">
        <f t="shared" si="108"/>
        <v>0.44622309828575857</v>
      </c>
      <c r="AH476" t="str">
        <f t="shared" si="100"/>
        <v>June</v>
      </c>
      <c r="AI476">
        <f t="shared" si="101"/>
        <v>2024</v>
      </c>
      <c r="AJ476" t="str">
        <f t="shared" si="109"/>
        <v>OK</v>
      </c>
      <c r="AK476" t="str">
        <f t="shared" si="110"/>
        <v>OK</v>
      </c>
      <c r="AL476" t="str">
        <f t="shared" si="111"/>
        <v>Include</v>
      </c>
      <c r="AM476" t="str">
        <f t="shared" si="102"/>
        <v>Clean</v>
      </c>
    </row>
    <row r="477" spans="1:39">
      <c r="A477" t="s">
        <v>1525</v>
      </c>
      <c r="B477" s="4">
        <v>45717</v>
      </c>
      <c r="C477" s="4">
        <v>45724</v>
      </c>
      <c r="D477" s="6">
        <v>7</v>
      </c>
      <c r="E477" t="s">
        <v>2788</v>
      </c>
      <c r="F477" t="s">
        <v>2788</v>
      </c>
      <c r="G477" t="s">
        <v>2788</v>
      </c>
      <c r="H477" t="s">
        <v>1526</v>
      </c>
      <c r="I477" t="s">
        <v>71</v>
      </c>
      <c r="J477" t="s">
        <v>24</v>
      </c>
      <c r="K477" t="s">
        <v>38</v>
      </c>
      <c r="L477" t="s">
        <v>99</v>
      </c>
      <c r="M477" t="s">
        <v>100</v>
      </c>
      <c r="N477" t="s">
        <v>41</v>
      </c>
      <c r="O477" t="s">
        <v>66</v>
      </c>
      <c r="P477" t="s">
        <v>1527</v>
      </c>
      <c r="Q477" t="s">
        <v>44</v>
      </c>
      <c r="R477">
        <v>8</v>
      </c>
      <c r="S477">
        <v>3378.82</v>
      </c>
      <c r="T477">
        <v>0.25</v>
      </c>
      <c r="U477">
        <v>20272.919999999998</v>
      </c>
      <c r="V477">
        <v>15873.38</v>
      </c>
      <c r="W477">
        <v>4399.54</v>
      </c>
      <c r="X477" t="s">
        <v>111</v>
      </c>
      <c r="Y477" t="s">
        <v>103</v>
      </c>
      <c r="Z477" t="str">
        <f t="shared" si="98"/>
        <v>Unique</v>
      </c>
      <c r="AA477" t="str">
        <f t="shared" si="99"/>
        <v>Unique</v>
      </c>
      <c r="AB477" t="str">
        <f t="shared" si="103"/>
        <v>OK</v>
      </c>
      <c r="AC477">
        <f t="shared" si="104"/>
        <v>0.25</v>
      </c>
      <c r="AD477" t="str">
        <f t="shared" si="105"/>
        <v>OK</v>
      </c>
      <c r="AE477">
        <f t="shared" si="106"/>
        <v>20272.920000000002</v>
      </c>
      <c r="AF477">
        <f t="shared" si="107"/>
        <v>4399.5400000000027</v>
      </c>
      <c r="AG477">
        <f t="shared" si="108"/>
        <v>0.21701560505344086</v>
      </c>
      <c r="AH477" t="str">
        <f t="shared" si="100"/>
        <v>March</v>
      </c>
      <c r="AI477">
        <f t="shared" si="101"/>
        <v>2025</v>
      </c>
      <c r="AJ477" t="str">
        <f t="shared" si="109"/>
        <v>OK</v>
      </c>
      <c r="AK477" t="str">
        <f t="shared" si="110"/>
        <v>OK</v>
      </c>
      <c r="AL477" t="str">
        <f t="shared" si="111"/>
        <v>Exclude</v>
      </c>
      <c r="AM477" t="str">
        <f t="shared" si="102"/>
        <v>Clean</v>
      </c>
    </row>
    <row r="478" spans="1:39">
      <c r="A478" t="s">
        <v>1528</v>
      </c>
      <c r="B478" s="4">
        <v>45419</v>
      </c>
      <c r="C478" s="4">
        <v>45426</v>
      </c>
      <c r="D478" s="6">
        <v>7</v>
      </c>
      <c r="E478" t="s">
        <v>2788</v>
      </c>
      <c r="F478" t="s">
        <v>2788</v>
      </c>
      <c r="G478" t="s">
        <v>2788</v>
      </c>
      <c r="H478" t="s">
        <v>1529</v>
      </c>
      <c r="I478" t="s">
        <v>132</v>
      </c>
      <c r="J478" t="s">
        <v>37</v>
      </c>
      <c r="K478" t="s">
        <v>25</v>
      </c>
      <c r="L478" t="s">
        <v>26</v>
      </c>
      <c r="M478" t="s">
        <v>27</v>
      </c>
      <c r="N478" t="s">
        <v>28</v>
      </c>
      <c r="O478" t="s">
        <v>124</v>
      </c>
      <c r="P478" t="s">
        <v>1530</v>
      </c>
      <c r="Q478" t="s">
        <v>50</v>
      </c>
      <c r="R478">
        <v>3</v>
      </c>
      <c r="S478">
        <v>383.58</v>
      </c>
      <c r="T478">
        <v>0.1</v>
      </c>
      <c r="U478">
        <v>1035.67</v>
      </c>
      <c r="V478">
        <v>595.41999999999996</v>
      </c>
      <c r="W478">
        <v>440.25</v>
      </c>
      <c r="X478" t="s">
        <v>32</v>
      </c>
      <c r="Y478" t="s">
        <v>33</v>
      </c>
      <c r="Z478" t="str">
        <f t="shared" si="98"/>
        <v>Unique</v>
      </c>
      <c r="AA478" t="str">
        <f t="shared" si="99"/>
        <v>Unique</v>
      </c>
      <c r="AB478" t="str">
        <f t="shared" si="103"/>
        <v>OK</v>
      </c>
      <c r="AC478">
        <f t="shared" si="104"/>
        <v>0.1</v>
      </c>
      <c r="AD478" t="str">
        <f t="shared" si="105"/>
        <v>OK</v>
      </c>
      <c r="AE478">
        <f t="shared" si="106"/>
        <v>1035.6659999999999</v>
      </c>
      <c r="AF478">
        <f t="shared" si="107"/>
        <v>440.24599999999998</v>
      </c>
      <c r="AG478">
        <f t="shared" si="108"/>
        <v>0.42508492120046426</v>
      </c>
      <c r="AH478" t="str">
        <f t="shared" si="100"/>
        <v>May</v>
      </c>
      <c r="AI478">
        <f t="shared" si="101"/>
        <v>2024</v>
      </c>
      <c r="AJ478" t="str">
        <f t="shared" si="109"/>
        <v>OK</v>
      </c>
      <c r="AK478" t="str">
        <f t="shared" si="110"/>
        <v>OK</v>
      </c>
      <c r="AL478" t="str">
        <f t="shared" si="111"/>
        <v>Include</v>
      </c>
      <c r="AM478" t="str">
        <f t="shared" si="102"/>
        <v>Clean</v>
      </c>
    </row>
    <row r="479" spans="1:39">
      <c r="A479" t="s">
        <v>1531</v>
      </c>
      <c r="B479" s="4">
        <v>45892</v>
      </c>
      <c r="C479" s="4">
        <v>45897</v>
      </c>
      <c r="D479" s="6">
        <v>5</v>
      </c>
      <c r="E479" t="s">
        <v>2788</v>
      </c>
      <c r="F479" t="s">
        <v>2788</v>
      </c>
      <c r="G479" t="s">
        <v>2788</v>
      </c>
      <c r="H479" t="s">
        <v>1532</v>
      </c>
      <c r="I479" t="s">
        <v>71</v>
      </c>
      <c r="J479" t="s">
        <v>90</v>
      </c>
      <c r="K479" t="s">
        <v>63</v>
      </c>
      <c r="L479" t="s">
        <v>180</v>
      </c>
      <c r="M479" t="s">
        <v>181</v>
      </c>
      <c r="N479" t="s">
        <v>41</v>
      </c>
      <c r="O479" t="s">
        <v>66</v>
      </c>
      <c r="P479" t="s">
        <v>1533</v>
      </c>
      <c r="Q479" t="s">
        <v>59</v>
      </c>
      <c r="R479">
        <v>6</v>
      </c>
      <c r="S479">
        <v>2193.23</v>
      </c>
      <c r="T479">
        <v>0.1</v>
      </c>
      <c r="U479">
        <v>11843.44</v>
      </c>
      <c r="V479">
        <v>9356.8799999999992</v>
      </c>
      <c r="W479">
        <v>2486.56</v>
      </c>
      <c r="X479" t="s">
        <v>32</v>
      </c>
      <c r="Y479" t="s">
        <v>68</v>
      </c>
      <c r="Z479" t="str">
        <f t="shared" si="98"/>
        <v>Unique</v>
      </c>
      <c r="AA479" t="str">
        <f t="shared" si="99"/>
        <v>Unique</v>
      </c>
      <c r="AB479" t="str">
        <f t="shared" si="103"/>
        <v>OK</v>
      </c>
      <c r="AC479">
        <f t="shared" si="104"/>
        <v>0.1</v>
      </c>
      <c r="AD479" t="str">
        <f t="shared" si="105"/>
        <v>OK</v>
      </c>
      <c r="AE479">
        <f t="shared" si="106"/>
        <v>11843.442000000001</v>
      </c>
      <c r="AF479">
        <f t="shared" si="107"/>
        <v>2486.5620000000017</v>
      </c>
      <c r="AG479">
        <f t="shared" si="108"/>
        <v>0.20995264721184953</v>
      </c>
      <c r="AH479" t="str">
        <f t="shared" si="100"/>
        <v>August</v>
      </c>
      <c r="AI479">
        <f t="shared" si="101"/>
        <v>2025</v>
      </c>
      <c r="AJ479" t="str">
        <f t="shared" si="109"/>
        <v>OK</v>
      </c>
      <c r="AK479" t="str">
        <f t="shared" si="110"/>
        <v>OK</v>
      </c>
      <c r="AL479" t="str">
        <f t="shared" si="111"/>
        <v>Exclude</v>
      </c>
      <c r="AM479" t="str">
        <f t="shared" si="102"/>
        <v>Clean</v>
      </c>
    </row>
    <row r="480" spans="1:39">
      <c r="A480" t="s">
        <v>1534</v>
      </c>
      <c r="B480" s="4">
        <v>45452</v>
      </c>
      <c r="C480" s="4">
        <v>45456</v>
      </c>
      <c r="D480" s="6">
        <v>4</v>
      </c>
      <c r="E480" t="s">
        <v>2788</v>
      </c>
      <c r="F480" t="s">
        <v>2788</v>
      </c>
      <c r="G480" t="s">
        <v>2788</v>
      </c>
      <c r="H480" t="s">
        <v>1535</v>
      </c>
      <c r="I480" t="s">
        <v>36</v>
      </c>
      <c r="J480" t="s">
        <v>95</v>
      </c>
      <c r="K480" t="s">
        <v>2783</v>
      </c>
      <c r="L480" t="s">
        <v>136</v>
      </c>
      <c r="M480" t="s">
        <v>137</v>
      </c>
      <c r="N480" t="s">
        <v>74</v>
      </c>
      <c r="O480" t="s">
        <v>274</v>
      </c>
      <c r="P480" t="s">
        <v>1536</v>
      </c>
      <c r="Q480" t="s">
        <v>44</v>
      </c>
      <c r="R480">
        <v>7</v>
      </c>
      <c r="S480">
        <v>4079.71</v>
      </c>
      <c r="T480">
        <v>0.1</v>
      </c>
      <c r="U480">
        <v>25702.17</v>
      </c>
      <c r="V480">
        <v>14571.48</v>
      </c>
      <c r="W480">
        <v>11130.69</v>
      </c>
      <c r="X480" t="s">
        <v>102</v>
      </c>
      <c r="Y480" t="s">
        <v>103</v>
      </c>
      <c r="Z480" t="str">
        <f t="shared" si="98"/>
        <v>Unique</v>
      </c>
      <c r="AA480" t="str">
        <f t="shared" si="99"/>
        <v>Unique</v>
      </c>
      <c r="AB480" t="str">
        <f t="shared" si="103"/>
        <v>OK</v>
      </c>
      <c r="AC480">
        <f t="shared" si="104"/>
        <v>0.1</v>
      </c>
      <c r="AD480" t="str">
        <f t="shared" si="105"/>
        <v>OK</v>
      </c>
      <c r="AE480">
        <f t="shared" si="106"/>
        <v>25702.173000000003</v>
      </c>
      <c r="AF480">
        <f t="shared" si="107"/>
        <v>11130.693000000003</v>
      </c>
      <c r="AG480">
        <f t="shared" si="108"/>
        <v>0.43306427826160854</v>
      </c>
      <c r="AH480" t="str">
        <f t="shared" si="100"/>
        <v>June</v>
      </c>
      <c r="AI480">
        <f t="shared" si="101"/>
        <v>2024</v>
      </c>
      <c r="AJ480" t="str">
        <f t="shared" si="109"/>
        <v>OK</v>
      </c>
      <c r="AK480" t="str">
        <f t="shared" si="110"/>
        <v>OK</v>
      </c>
      <c r="AL480" t="str">
        <f t="shared" si="111"/>
        <v>Exclude</v>
      </c>
      <c r="AM480" t="str">
        <f t="shared" si="102"/>
        <v>Clean</v>
      </c>
    </row>
    <row r="481" spans="1:39">
      <c r="A481" t="s">
        <v>1537</v>
      </c>
      <c r="B481" s="4">
        <v>45345</v>
      </c>
      <c r="C481" s="4">
        <v>45342</v>
      </c>
      <c r="D481" s="6">
        <v>-3</v>
      </c>
      <c r="E481" t="s">
        <v>2788</v>
      </c>
      <c r="F481" t="s">
        <v>2788</v>
      </c>
      <c r="G481" t="s">
        <v>2790</v>
      </c>
      <c r="H481" t="s">
        <v>1538</v>
      </c>
      <c r="I481" t="s">
        <v>53</v>
      </c>
      <c r="J481" t="s">
        <v>90</v>
      </c>
      <c r="K481" t="s">
        <v>38</v>
      </c>
      <c r="L481" t="s">
        <v>39</v>
      </c>
      <c r="M481" t="s">
        <v>40</v>
      </c>
      <c r="N481" t="s">
        <v>41</v>
      </c>
      <c r="O481" t="s">
        <v>66</v>
      </c>
      <c r="P481" t="s">
        <v>1539</v>
      </c>
      <c r="Q481" t="s">
        <v>31</v>
      </c>
      <c r="R481">
        <v>1</v>
      </c>
      <c r="S481">
        <v>2202.5500000000002</v>
      </c>
      <c r="U481">
        <v>1651.91</v>
      </c>
      <c r="V481">
        <v>1034.57</v>
      </c>
      <c r="W481">
        <v>617.34</v>
      </c>
      <c r="X481" t="s">
        <v>32</v>
      </c>
      <c r="Y481" t="s">
        <v>33</v>
      </c>
      <c r="Z481" t="str">
        <f t="shared" si="98"/>
        <v>Unique</v>
      </c>
      <c r="AA481" t="str">
        <f t="shared" si="99"/>
        <v>Unique</v>
      </c>
      <c r="AB481" t="str">
        <f t="shared" si="103"/>
        <v>OK</v>
      </c>
      <c r="AC481">
        <f t="shared" si="104"/>
        <v>0</v>
      </c>
      <c r="AD481" t="str">
        <f t="shared" si="105"/>
        <v>OK</v>
      </c>
      <c r="AE481">
        <f t="shared" si="106"/>
        <v>2202.5500000000002</v>
      </c>
      <c r="AF481">
        <f t="shared" si="107"/>
        <v>1167.9800000000002</v>
      </c>
      <c r="AG481">
        <f t="shared" si="108"/>
        <v>0.53028535107035035</v>
      </c>
      <c r="AH481" t="str">
        <f t="shared" si="100"/>
        <v>February</v>
      </c>
      <c r="AI481">
        <f t="shared" si="101"/>
        <v>2024</v>
      </c>
      <c r="AJ481" t="str">
        <f t="shared" si="109"/>
        <v>Sales Mismatch</v>
      </c>
      <c r="AK481" t="str">
        <f t="shared" si="110"/>
        <v>Profit Mismatch</v>
      </c>
      <c r="AL481" t="str">
        <f t="shared" si="111"/>
        <v>Include</v>
      </c>
      <c r="AM481" t="str">
        <f t="shared" si="102"/>
        <v>Warning</v>
      </c>
    </row>
    <row r="482" spans="1:39">
      <c r="A482" t="s">
        <v>1540</v>
      </c>
      <c r="B482" s="4">
        <v>45662</v>
      </c>
      <c r="C482" s="4">
        <v>45666</v>
      </c>
      <c r="D482" s="6">
        <v>4</v>
      </c>
      <c r="E482" t="s">
        <v>2788</v>
      </c>
      <c r="F482" t="s">
        <v>2788</v>
      </c>
      <c r="G482" t="s">
        <v>2788</v>
      </c>
      <c r="H482" t="s">
        <v>1541</v>
      </c>
      <c r="I482" t="s">
        <v>79</v>
      </c>
      <c r="J482" t="s">
        <v>37</v>
      </c>
      <c r="K482" t="s">
        <v>54</v>
      </c>
      <c r="L482" t="s">
        <v>247</v>
      </c>
      <c r="M482" t="s">
        <v>248</v>
      </c>
      <c r="N482" t="s">
        <v>28</v>
      </c>
      <c r="O482" t="s">
        <v>124</v>
      </c>
      <c r="P482" t="s">
        <v>1542</v>
      </c>
      <c r="Q482" t="s">
        <v>2783</v>
      </c>
      <c r="R482">
        <v>5</v>
      </c>
      <c r="S482">
        <v>905.16</v>
      </c>
      <c r="T482">
        <v>0</v>
      </c>
      <c r="U482">
        <v>4525.8</v>
      </c>
      <c r="V482">
        <v>2714.51</v>
      </c>
      <c r="W482">
        <v>1811.29</v>
      </c>
      <c r="X482" t="s">
        <v>32</v>
      </c>
      <c r="Y482" t="s">
        <v>33</v>
      </c>
      <c r="Z482" t="str">
        <f t="shared" si="98"/>
        <v>Unique</v>
      </c>
      <c r="AA482" t="str">
        <f t="shared" si="99"/>
        <v>Unique</v>
      </c>
      <c r="AB482" t="str">
        <f t="shared" si="103"/>
        <v>OK</v>
      </c>
      <c r="AC482">
        <f t="shared" si="104"/>
        <v>0</v>
      </c>
      <c r="AD482" t="str">
        <f t="shared" si="105"/>
        <v>OK</v>
      </c>
      <c r="AE482">
        <f t="shared" si="106"/>
        <v>4525.8</v>
      </c>
      <c r="AF482">
        <f t="shared" si="107"/>
        <v>1811.29</v>
      </c>
      <c r="AG482">
        <f t="shared" si="108"/>
        <v>0.40021432674886204</v>
      </c>
      <c r="AH482" t="str">
        <f t="shared" si="100"/>
        <v>January</v>
      </c>
      <c r="AI482">
        <f t="shared" si="101"/>
        <v>2025</v>
      </c>
      <c r="AJ482" t="str">
        <f t="shared" si="109"/>
        <v>OK</v>
      </c>
      <c r="AK482" t="str">
        <f t="shared" si="110"/>
        <v>OK</v>
      </c>
      <c r="AL482" t="str">
        <f t="shared" si="111"/>
        <v>Include</v>
      </c>
      <c r="AM482" t="str">
        <f t="shared" si="102"/>
        <v>Clean</v>
      </c>
    </row>
    <row r="483" spans="1:39">
      <c r="A483" t="s">
        <v>1543</v>
      </c>
      <c r="B483" s="4">
        <v>45813</v>
      </c>
      <c r="C483" s="4">
        <v>45821</v>
      </c>
      <c r="D483" s="6">
        <v>8</v>
      </c>
      <c r="E483" t="s">
        <v>2788</v>
      </c>
      <c r="F483" t="s">
        <v>2788</v>
      </c>
      <c r="G483" t="s">
        <v>2788</v>
      </c>
      <c r="H483" t="s">
        <v>1544</v>
      </c>
      <c r="I483" t="s">
        <v>47</v>
      </c>
      <c r="J483" t="s">
        <v>24</v>
      </c>
      <c r="K483" t="s">
        <v>25</v>
      </c>
      <c r="L483" t="s">
        <v>136</v>
      </c>
      <c r="M483" t="s">
        <v>137</v>
      </c>
      <c r="N483" t="s">
        <v>74</v>
      </c>
      <c r="O483" t="s">
        <v>274</v>
      </c>
      <c r="P483" t="s">
        <v>1545</v>
      </c>
      <c r="Q483" t="s">
        <v>44</v>
      </c>
      <c r="R483">
        <v>4</v>
      </c>
      <c r="S483">
        <v>2793.88</v>
      </c>
      <c r="T483" t="s">
        <v>767</v>
      </c>
      <c r="U483">
        <v>10616.74</v>
      </c>
      <c r="V483">
        <v>6353.59</v>
      </c>
      <c r="W483">
        <v>4263.1499999999996</v>
      </c>
      <c r="X483" t="s">
        <v>32</v>
      </c>
      <c r="Y483" t="s">
        <v>33</v>
      </c>
      <c r="Z483" t="str">
        <f t="shared" si="98"/>
        <v>Unique</v>
      </c>
      <c r="AA483" t="str">
        <f t="shared" si="99"/>
        <v>Unique</v>
      </c>
      <c r="AB483" t="str">
        <f t="shared" si="103"/>
        <v>OK</v>
      </c>
      <c r="AC483" t="str">
        <f t="shared" si="104"/>
        <v>85%</v>
      </c>
      <c r="AD483" t="str">
        <f t="shared" si="105"/>
        <v>Invalid High Discount</v>
      </c>
      <c r="AE483">
        <f t="shared" si="106"/>
        <v>1676.3280000000002</v>
      </c>
      <c r="AF483">
        <f t="shared" si="107"/>
        <v>-4677.2619999999997</v>
      </c>
      <c r="AG483">
        <f t="shared" si="108"/>
        <v>-2.7901830667983827</v>
      </c>
      <c r="AH483" t="str">
        <f t="shared" si="100"/>
        <v>June</v>
      </c>
      <c r="AI483">
        <f t="shared" si="101"/>
        <v>2025</v>
      </c>
      <c r="AJ483" t="str">
        <f t="shared" si="109"/>
        <v>Sales Mismatch</v>
      </c>
      <c r="AK483" t="str">
        <f t="shared" si="110"/>
        <v>Profit Mismatch</v>
      </c>
      <c r="AL483" t="str">
        <f t="shared" si="111"/>
        <v>Include</v>
      </c>
      <c r="AM483" t="str">
        <f t="shared" si="102"/>
        <v>Invalid</v>
      </c>
    </row>
    <row r="484" spans="1:39">
      <c r="A484" t="s">
        <v>1546</v>
      </c>
      <c r="B484" s="4">
        <v>45495</v>
      </c>
      <c r="C484" s="4">
        <v>45495</v>
      </c>
      <c r="D484" s="6">
        <v>0</v>
      </c>
      <c r="E484" t="s">
        <v>2788</v>
      </c>
      <c r="F484" t="s">
        <v>2788</v>
      </c>
      <c r="G484" t="s">
        <v>2788</v>
      </c>
      <c r="H484" t="s">
        <v>1547</v>
      </c>
      <c r="I484" t="s">
        <v>114</v>
      </c>
      <c r="J484" t="s">
        <v>24</v>
      </c>
      <c r="K484" t="s">
        <v>54</v>
      </c>
      <c r="L484" t="s">
        <v>175</v>
      </c>
      <c r="M484" t="s">
        <v>176</v>
      </c>
      <c r="N484" t="s">
        <v>74</v>
      </c>
      <c r="O484" t="s">
        <v>75</v>
      </c>
      <c r="P484" t="s">
        <v>1548</v>
      </c>
      <c r="Q484" t="s">
        <v>31</v>
      </c>
      <c r="R484">
        <v>3</v>
      </c>
      <c r="S484">
        <v>1286.22</v>
      </c>
      <c r="T484">
        <v>0.25</v>
      </c>
      <c r="U484">
        <v>2893.99</v>
      </c>
      <c r="V484">
        <v>1856.03</v>
      </c>
      <c r="W484">
        <v>1037.96</v>
      </c>
      <c r="X484" t="s">
        <v>32</v>
      </c>
      <c r="Y484" t="s">
        <v>33</v>
      </c>
      <c r="Z484" t="str">
        <f t="shared" si="98"/>
        <v>Unique</v>
      </c>
      <c r="AA484" t="str">
        <f t="shared" si="99"/>
        <v>Unique</v>
      </c>
      <c r="AB484" t="str">
        <f t="shared" si="103"/>
        <v>OK</v>
      </c>
      <c r="AC484">
        <f t="shared" si="104"/>
        <v>0.25</v>
      </c>
      <c r="AD484" t="str">
        <f t="shared" si="105"/>
        <v>OK</v>
      </c>
      <c r="AE484">
        <f t="shared" si="106"/>
        <v>2893.9949999999999</v>
      </c>
      <c r="AF484">
        <f t="shared" si="107"/>
        <v>1037.9649999999999</v>
      </c>
      <c r="AG484">
        <f t="shared" si="108"/>
        <v>0.35866164247001114</v>
      </c>
      <c r="AH484" t="str">
        <f t="shared" si="100"/>
        <v>July</v>
      </c>
      <c r="AI484">
        <f t="shared" si="101"/>
        <v>2024</v>
      </c>
      <c r="AJ484" t="str">
        <f t="shared" si="109"/>
        <v>OK</v>
      </c>
      <c r="AK484" t="str">
        <f t="shared" si="110"/>
        <v>OK</v>
      </c>
      <c r="AL484" t="str">
        <f t="shared" si="111"/>
        <v>Include</v>
      </c>
      <c r="AM484" t="str">
        <f t="shared" si="102"/>
        <v>Clean</v>
      </c>
    </row>
    <row r="485" spans="1:39">
      <c r="A485" t="s">
        <v>1549</v>
      </c>
      <c r="B485" s="4">
        <v>45651</v>
      </c>
      <c r="C485" s="4">
        <v>45651</v>
      </c>
      <c r="D485" s="6">
        <v>0</v>
      </c>
      <c r="E485" t="s">
        <v>2788</v>
      </c>
      <c r="F485" t="s">
        <v>2788</v>
      </c>
      <c r="G485" t="s">
        <v>2788</v>
      </c>
      <c r="H485" t="s">
        <v>1550</v>
      </c>
      <c r="I485" t="s">
        <v>36</v>
      </c>
      <c r="J485" t="s">
        <v>90</v>
      </c>
      <c r="K485" t="s">
        <v>38</v>
      </c>
      <c r="L485" t="s">
        <v>145</v>
      </c>
      <c r="M485" t="s">
        <v>146</v>
      </c>
      <c r="N485" t="s">
        <v>74</v>
      </c>
      <c r="O485" t="s">
        <v>80</v>
      </c>
      <c r="P485" t="s">
        <v>1551</v>
      </c>
      <c r="Q485" t="s">
        <v>59</v>
      </c>
      <c r="R485">
        <v>1</v>
      </c>
      <c r="S485">
        <v>829.66</v>
      </c>
      <c r="T485">
        <v>0.15</v>
      </c>
      <c r="U485">
        <v>705.21</v>
      </c>
      <c r="V485">
        <v>438.32</v>
      </c>
      <c r="W485">
        <v>266.89</v>
      </c>
      <c r="X485" t="s">
        <v>32</v>
      </c>
      <c r="Y485" t="s">
        <v>33</v>
      </c>
      <c r="Z485" t="str">
        <f t="shared" si="98"/>
        <v>Unique</v>
      </c>
      <c r="AA485" t="str">
        <f t="shared" si="99"/>
        <v>Unique</v>
      </c>
      <c r="AB485" t="str">
        <f t="shared" si="103"/>
        <v>OK</v>
      </c>
      <c r="AC485">
        <f t="shared" si="104"/>
        <v>0.15</v>
      </c>
      <c r="AD485" t="str">
        <f t="shared" si="105"/>
        <v>OK</v>
      </c>
      <c r="AE485">
        <f t="shared" si="106"/>
        <v>705.2109999999999</v>
      </c>
      <c r="AF485">
        <f t="shared" si="107"/>
        <v>266.89099999999991</v>
      </c>
      <c r="AG485">
        <f t="shared" si="108"/>
        <v>0.37845552607659261</v>
      </c>
      <c r="AH485" t="str">
        <f t="shared" si="100"/>
        <v>December</v>
      </c>
      <c r="AI485">
        <f t="shared" si="101"/>
        <v>2024</v>
      </c>
      <c r="AJ485" t="str">
        <f t="shared" si="109"/>
        <v>OK</v>
      </c>
      <c r="AK485" t="str">
        <f t="shared" si="110"/>
        <v>OK</v>
      </c>
      <c r="AL485" t="str">
        <f t="shared" si="111"/>
        <v>Include</v>
      </c>
      <c r="AM485" t="str">
        <f t="shared" si="102"/>
        <v>Clean</v>
      </c>
    </row>
    <row r="486" spans="1:39">
      <c r="A486" t="s">
        <v>1552</v>
      </c>
      <c r="B486" s="4">
        <v>45654</v>
      </c>
      <c r="C486" s="4">
        <v>45657</v>
      </c>
      <c r="D486" s="6">
        <v>3</v>
      </c>
      <c r="E486" t="s">
        <v>2788</v>
      </c>
      <c r="F486" t="s">
        <v>2788</v>
      </c>
      <c r="G486" t="s">
        <v>2788</v>
      </c>
      <c r="H486" t="s">
        <v>1553</v>
      </c>
      <c r="I486" t="s">
        <v>36</v>
      </c>
      <c r="J486" t="s">
        <v>37</v>
      </c>
      <c r="K486" t="s">
        <v>54</v>
      </c>
      <c r="L486" t="s">
        <v>84</v>
      </c>
      <c r="M486" t="s">
        <v>85</v>
      </c>
      <c r="N486" t="s">
        <v>41</v>
      </c>
      <c r="O486" t="s">
        <v>57</v>
      </c>
      <c r="P486" t="s">
        <v>1554</v>
      </c>
      <c r="Q486" t="s">
        <v>50</v>
      </c>
      <c r="R486">
        <v>6</v>
      </c>
      <c r="S486">
        <v>3641.22</v>
      </c>
      <c r="T486">
        <v>0.25</v>
      </c>
      <c r="U486">
        <v>16385.490000000002</v>
      </c>
      <c r="V486">
        <v>13679.24</v>
      </c>
      <c r="W486">
        <v>2706.25</v>
      </c>
      <c r="X486" t="s">
        <v>32</v>
      </c>
      <c r="Y486" t="s">
        <v>33</v>
      </c>
      <c r="Z486" t="str">
        <f t="shared" si="98"/>
        <v>Unique</v>
      </c>
      <c r="AA486" t="str">
        <f t="shared" si="99"/>
        <v>Unique</v>
      </c>
      <c r="AB486" t="str">
        <f t="shared" si="103"/>
        <v>OK</v>
      </c>
      <c r="AC486">
        <f t="shared" si="104"/>
        <v>0.25</v>
      </c>
      <c r="AD486" t="str">
        <f t="shared" si="105"/>
        <v>OK</v>
      </c>
      <c r="AE486">
        <f t="shared" si="106"/>
        <v>16385.489999999998</v>
      </c>
      <c r="AF486">
        <f t="shared" si="107"/>
        <v>2706.2499999999982</v>
      </c>
      <c r="AG486">
        <f t="shared" si="108"/>
        <v>0.16516137143289572</v>
      </c>
      <c r="AH486" t="str">
        <f t="shared" si="100"/>
        <v>December</v>
      </c>
      <c r="AI486">
        <f t="shared" si="101"/>
        <v>2024</v>
      </c>
      <c r="AJ486" t="str">
        <f t="shared" si="109"/>
        <v>OK</v>
      </c>
      <c r="AK486" t="str">
        <f t="shared" si="110"/>
        <v>OK</v>
      </c>
      <c r="AL486" t="str">
        <f t="shared" si="111"/>
        <v>Include</v>
      </c>
      <c r="AM486" t="str">
        <f t="shared" si="102"/>
        <v>Clean</v>
      </c>
    </row>
    <row r="487" spans="1:39">
      <c r="A487" t="s">
        <v>1555</v>
      </c>
      <c r="B487" s="4">
        <v>45679</v>
      </c>
      <c r="C487" s="4">
        <v>45680</v>
      </c>
      <c r="D487" s="6">
        <v>1</v>
      </c>
      <c r="E487" t="s">
        <v>2788</v>
      </c>
      <c r="F487" t="s">
        <v>2788</v>
      </c>
      <c r="G487" t="s">
        <v>2788</v>
      </c>
      <c r="H487" t="s">
        <v>1556</v>
      </c>
      <c r="I487" t="s">
        <v>118</v>
      </c>
      <c r="J487" t="s">
        <v>90</v>
      </c>
      <c r="K487" t="s">
        <v>63</v>
      </c>
      <c r="L487" t="s">
        <v>190</v>
      </c>
      <c r="M487" t="s">
        <v>191</v>
      </c>
      <c r="N487" t="s">
        <v>41</v>
      </c>
      <c r="O487" t="s">
        <v>158</v>
      </c>
      <c r="P487" t="s">
        <v>1557</v>
      </c>
      <c r="Q487" t="s">
        <v>59</v>
      </c>
      <c r="R487">
        <v>4</v>
      </c>
      <c r="S487">
        <v>2555.19</v>
      </c>
      <c r="T487">
        <v>0.25</v>
      </c>
      <c r="U487">
        <v>7665.57</v>
      </c>
      <c r="V487">
        <v>5595.6</v>
      </c>
      <c r="W487">
        <v>2069.9699999999998</v>
      </c>
      <c r="X487" t="s">
        <v>32</v>
      </c>
      <c r="Y487" t="s">
        <v>33</v>
      </c>
      <c r="Z487" t="str">
        <f t="shared" si="98"/>
        <v>Unique</v>
      </c>
      <c r="AA487" t="str">
        <f t="shared" si="99"/>
        <v>Unique</v>
      </c>
      <c r="AB487" t="str">
        <f t="shared" si="103"/>
        <v>OK</v>
      </c>
      <c r="AC487">
        <f t="shared" si="104"/>
        <v>0.25</v>
      </c>
      <c r="AD487" t="str">
        <f t="shared" si="105"/>
        <v>OK</v>
      </c>
      <c r="AE487">
        <f t="shared" si="106"/>
        <v>7665.57</v>
      </c>
      <c r="AF487">
        <f t="shared" si="107"/>
        <v>2069.9699999999993</v>
      </c>
      <c r="AG487">
        <f t="shared" si="108"/>
        <v>0.27003471366121495</v>
      </c>
      <c r="AH487" t="str">
        <f t="shared" si="100"/>
        <v>January</v>
      </c>
      <c r="AI487">
        <f t="shared" si="101"/>
        <v>2025</v>
      </c>
      <c r="AJ487" t="str">
        <f t="shared" si="109"/>
        <v>OK</v>
      </c>
      <c r="AK487" t="str">
        <f t="shared" si="110"/>
        <v>OK</v>
      </c>
      <c r="AL487" t="str">
        <f t="shared" si="111"/>
        <v>Include</v>
      </c>
      <c r="AM487" t="str">
        <f t="shared" si="102"/>
        <v>Clean</v>
      </c>
    </row>
    <row r="488" spans="1:39">
      <c r="A488" t="s">
        <v>1558</v>
      </c>
      <c r="B488" s="4">
        <v>45830</v>
      </c>
      <c r="C488" s="4">
        <v>45834</v>
      </c>
      <c r="D488" s="6">
        <v>4</v>
      </c>
      <c r="E488" t="s">
        <v>2788</v>
      </c>
      <c r="F488" t="s">
        <v>2788</v>
      </c>
      <c r="G488" t="s">
        <v>2788</v>
      </c>
      <c r="H488" t="s">
        <v>1559</v>
      </c>
      <c r="I488" t="s">
        <v>118</v>
      </c>
      <c r="J488" t="s">
        <v>90</v>
      </c>
      <c r="K488" t="s">
        <v>63</v>
      </c>
      <c r="L488" t="s">
        <v>190</v>
      </c>
      <c r="M488" t="s">
        <v>191</v>
      </c>
      <c r="N488" t="s">
        <v>41</v>
      </c>
      <c r="O488" t="s">
        <v>42</v>
      </c>
      <c r="P488" t="s">
        <v>1560</v>
      </c>
      <c r="Q488" t="s">
        <v>59</v>
      </c>
      <c r="R488">
        <v>3</v>
      </c>
      <c r="S488">
        <v>1946.18</v>
      </c>
      <c r="T488">
        <v>0.2</v>
      </c>
      <c r="U488">
        <v>4670.83</v>
      </c>
      <c r="V488">
        <v>3166.49</v>
      </c>
      <c r="W488">
        <v>1504.34</v>
      </c>
      <c r="X488" t="s">
        <v>32</v>
      </c>
      <c r="Y488" t="s">
        <v>33</v>
      </c>
      <c r="Z488" t="str">
        <f t="shared" si="98"/>
        <v>Unique</v>
      </c>
      <c r="AA488" t="str">
        <f t="shared" si="99"/>
        <v>Unique</v>
      </c>
      <c r="AB488" t="str">
        <f t="shared" si="103"/>
        <v>OK</v>
      </c>
      <c r="AC488">
        <f t="shared" si="104"/>
        <v>0.2</v>
      </c>
      <c r="AD488" t="str">
        <f t="shared" si="105"/>
        <v>OK</v>
      </c>
      <c r="AE488">
        <f t="shared" si="106"/>
        <v>4670.8320000000003</v>
      </c>
      <c r="AF488">
        <f t="shared" si="107"/>
        <v>1504.3420000000006</v>
      </c>
      <c r="AG488">
        <f t="shared" si="108"/>
        <v>0.3220715281560117</v>
      </c>
      <c r="AH488" t="str">
        <f t="shared" si="100"/>
        <v>June</v>
      </c>
      <c r="AI488">
        <f t="shared" si="101"/>
        <v>2025</v>
      </c>
      <c r="AJ488" t="str">
        <f t="shared" si="109"/>
        <v>OK</v>
      </c>
      <c r="AK488" t="str">
        <f t="shared" si="110"/>
        <v>OK</v>
      </c>
      <c r="AL488" t="str">
        <f t="shared" si="111"/>
        <v>Include</v>
      </c>
      <c r="AM488" t="str">
        <f t="shared" si="102"/>
        <v>Clean</v>
      </c>
    </row>
    <row r="489" spans="1:39">
      <c r="A489" t="s">
        <v>1561</v>
      </c>
      <c r="B489" s="4">
        <v>45818</v>
      </c>
      <c r="C489" s="4">
        <v>45825</v>
      </c>
      <c r="D489" s="6">
        <v>7</v>
      </c>
      <c r="E489" t="s">
        <v>2788</v>
      </c>
      <c r="F489" t="s">
        <v>2788</v>
      </c>
      <c r="G489" t="s">
        <v>2788</v>
      </c>
      <c r="H489" t="s">
        <v>1562</v>
      </c>
      <c r="I489" t="s">
        <v>118</v>
      </c>
      <c r="J489" t="s">
        <v>90</v>
      </c>
      <c r="K489" t="s">
        <v>54</v>
      </c>
      <c r="L489" t="s">
        <v>55</v>
      </c>
      <c r="M489" t="s">
        <v>56</v>
      </c>
      <c r="N489" t="s">
        <v>41</v>
      </c>
      <c r="O489" t="s">
        <v>57</v>
      </c>
      <c r="P489" t="s">
        <v>1563</v>
      </c>
      <c r="Q489" t="s">
        <v>59</v>
      </c>
      <c r="R489">
        <v>5</v>
      </c>
      <c r="S489">
        <v>1231.0999999999999</v>
      </c>
      <c r="T489">
        <v>0</v>
      </c>
      <c r="U489">
        <v>6155.5</v>
      </c>
      <c r="V489">
        <v>4282.09</v>
      </c>
      <c r="W489">
        <v>1873.41</v>
      </c>
      <c r="X489" t="s">
        <v>102</v>
      </c>
      <c r="Y489" t="s">
        <v>103</v>
      </c>
      <c r="Z489" t="str">
        <f t="shared" si="98"/>
        <v>Unique</v>
      </c>
      <c r="AA489" t="str">
        <f t="shared" si="99"/>
        <v>Unique</v>
      </c>
      <c r="AB489" t="str">
        <f t="shared" si="103"/>
        <v>OK</v>
      </c>
      <c r="AC489">
        <f t="shared" si="104"/>
        <v>0</v>
      </c>
      <c r="AD489" t="str">
        <f t="shared" si="105"/>
        <v>OK</v>
      </c>
      <c r="AE489">
        <f t="shared" si="106"/>
        <v>6155.5</v>
      </c>
      <c r="AF489">
        <f t="shared" si="107"/>
        <v>1873.4099999999999</v>
      </c>
      <c r="AG489">
        <f t="shared" si="108"/>
        <v>0.3043473316546178</v>
      </c>
      <c r="AH489" t="str">
        <f t="shared" si="100"/>
        <v>June</v>
      </c>
      <c r="AI489">
        <f t="shared" si="101"/>
        <v>2025</v>
      </c>
      <c r="AJ489" t="str">
        <f t="shared" si="109"/>
        <v>OK</v>
      </c>
      <c r="AK489" t="str">
        <f t="shared" si="110"/>
        <v>OK</v>
      </c>
      <c r="AL489" t="str">
        <f t="shared" si="111"/>
        <v>Exclude</v>
      </c>
      <c r="AM489" t="str">
        <f t="shared" si="102"/>
        <v>Clean</v>
      </c>
    </row>
    <row r="490" spans="1:39">
      <c r="A490" t="s">
        <v>1564</v>
      </c>
      <c r="B490" s="4">
        <v>45579</v>
      </c>
      <c r="C490" s="4">
        <v>45585</v>
      </c>
      <c r="D490" s="6">
        <v>6</v>
      </c>
      <c r="E490" t="s">
        <v>2788</v>
      </c>
      <c r="F490" t="s">
        <v>2788</v>
      </c>
      <c r="G490" t="s">
        <v>2788</v>
      </c>
      <c r="H490" t="s">
        <v>1565</v>
      </c>
      <c r="I490" t="s">
        <v>89</v>
      </c>
      <c r="J490" t="s">
        <v>37</v>
      </c>
      <c r="K490" t="s">
        <v>25</v>
      </c>
      <c r="L490" t="s">
        <v>26</v>
      </c>
      <c r="M490" t="s">
        <v>27</v>
      </c>
      <c r="N490" t="s">
        <v>41</v>
      </c>
      <c r="O490" t="s">
        <v>42</v>
      </c>
      <c r="P490" t="s">
        <v>1566</v>
      </c>
      <c r="Q490" t="s">
        <v>44</v>
      </c>
      <c r="R490">
        <v>7</v>
      </c>
      <c r="S490">
        <v>1547.6</v>
      </c>
      <c r="T490">
        <v>0.2</v>
      </c>
      <c r="U490">
        <v>8666.56</v>
      </c>
      <c r="V490">
        <v>5967.44</v>
      </c>
      <c r="W490">
        <v>2699.12</v>
      </c>
      <c r="X490" t="s">
        <v>32</v>
      </c>
      <c r="Y490" t="s">
        <v>33</v>
      </c>
      <c r="Z490" t="str">
        <f t="shared" si="98"/>
        <v>Unique</v>
      </c>
      <c r="AA490" t="str">
        <f t="shared" si="99"/>
        <v>Unique</v>
      </c>
      <c r="AB490" t="str">
        <f t="shared" si="103"/>
        <v>OK</v>
      </c>
      <c r="AC490">
        <f t="shared" si="104"/>
        <v>0.2</v>
      </c>
      <c r="AD490" t="str">
        <f t="shared" si="105"/>
        <v>OK</v>
      </c>
      <c r="AE490">
        <f t="shared" si="106"/>
        <v>8666.56</v>
      </c>
      <c r="AF490">
        <f t="shared" si="107"/>
        <v>2699.12</v>
      </c>
      <c r="AG490">
        <f t="shared" si="108"/>
        <v>0.31144075619392242</v>
      </c>
      <c r="AH490" t="str">
        <f t="shared" si="100"/>
        <v>October</v>
      </c>
      <c r="AI490">
        <f t="shared" si="101"/>
        <v>2024</v>
      </c>
      <c r="AJ490" t="str">
        <f t="shared" si="109"/>
        <v>OK</v>
      </c>
      <c r="AK490" t="str">
        <f t="shared" si="110"/>
        <v>OK</v>
      </c>
      <c r="AL490" t="str">
        <f t="shared" si="111"/>
        <v>Include</v>
      </c>
      <c r="AM490" t="str">
        <f t="shared" si="102"/>
        <v>Clean</v>
      </c>
    </row>
    <row r="491" spans="1:39">
      <c r="A491" t="s">
        <v>1567</v>
      </c>
      <c r="B491" s="4">
        <v>45329</v>
      </c>
      <c r="C491" s="4">
        <v>45334</v>
      </c>
      <c r="D491" s="6">
        <v>5</v>
      </c>
      <c r="E491" t="s">
        <v>2788</v>
      </c>
      <c r="F491" t="s">
        <v>2788</v>
      </c>
      <c r="G491" t="s">
        <v>2788</v>
      </c>
      <c r="H491" t="s">
        <v>1568</v>
      </c>
      <c r="I491" t="s">
        <v>53</v>
      </c>
      <c r="J491" t="s">
        <v>95</v>
      </c>
      <c r="K491" t="s">
        <v>38</v>
      </c>
      <c r="L491" t="s">
        <v>99</v>
      </c>
      <c r="M491" t="s">
        <v>100</v>
      </c>
      <c r="N491" t="s">
        <v>74</v>
      </c>
      <c r="O491" t="s">
        <v>75</v>
      </c>
      <c r="P491" t="s">
        <v>1569</v>
      </c>
      <c r="Q491" t="s">
        <v>31</v>
      </c>
      <c r="R491">
        <v>1</v>
      </c>
      <c r="S491">
        <v>452.19</v>
      </c>
      <c r="T491">
        <v>0.2</v>
      </c>
      <c r="U491">
        <v>361.75</v>
      </c>
      <c r="V491">
        <v>262.52999999999997</v>
      </c>
      <c r="W491">
        <v>99.22</v>
      </c>
      <c r="X491" t="s">
        <v>32</v>
      </c>
      <c r="Y491" t="s">
        <v>33</v>
      </c>
      <c r="Z491" t="str">
        <f t="shared" si="98"/>
        <v>Unique</v>
      </c>
      <c r="AA491" t="str">
        <f t="shared" si="99"/>
        <v>Unique</v>
      </c>
      <c r="AB491" t="str">
        <f t="shared" si="103"/>
        <v>OK</v>
      </c>
      <c r="AC491">
        <f t="shared" si="104"/>
        <v>0.2</v>
      </c>
      <c r="AD491" t="str">
        <f t="shared" si="105"/>
        <v>OK</v>
      </c>
      <c r="AE491">
        <f t="shared" si="106"/>
        <v>361.75200000000001</v>
      </c>
      <c r="AF491">
        <f t="shared" si="107"/>
        <v>99.222000000000037</v>
      </c>
      <c r="AG491">
        <f t="shared" si="108"/>
        <v>0.27428182843495003</v>
      </c>
      <c r="AH491" t="str">
        <f t="shared" si="100"/>
        <v>February</v>
      </c>
      <c r="AI491">
        <f t="shared" si="101"/>
        <v>2024</v>
      </c>
      <c r="AJ491" t="str">
        <f t="shared" si="109"/>
        <v>OK</v>
      </c>
      <c r="AK491" t="str">
        <f t="shared" si="110"/>
        <v>OK</v>
      </c>
      <c r="AL491" t="str">
        <f t="shared" si="111"/>
        <v>Include</v>
      </c>
      <c r="AM491" t="str">
        <f t="shared" si="102"/>
        <v>Clean</v>
      </c>
    </row>
    <row r="492" spans="1:39">
      <c r="A492" t="s">
        <v>1570</v>
      </c>
      <c r="B492" s="4">
        <v>45551</v>
      </c>
      <c r="C492" s="4">
        <v>45554</v>
      </c>
      <c r="D492" s="6">
        <v>3</v>
      </c>
      <c r="E492" t="s">
        <v>2788</v>
      </c>
      <c r="F492" t="s">
        <v>2788</v>
      </c>
      <c r="G492" t="s">
        <v>2788</v>
      </c>
      <c r="H492" t="s">
        <v>1571</v>
      </c>
      <c r="I492" t="s">
        <v>89</v>
      </c>
      <c r="J492" t="s">
        <v>24</v>
      </c>
      <c r="K492" t="s">
        <v>63</v>
      </c>
      <c r="L492" t="s">
        <v>26</v>
      </c>
      <c r="M492" t="s">
        <v>109</v>
      </c>
      <c r="N492" t="s">
        <v>28</v>
      </c>
      <c r="O492" t="s">
        <v>153</v>
      </c>
      <c r="P492" t="s">
        <v>1572</v>
      </c>
      <c r="Q492" t="s">
        <v>50</v>
      </c>
      <c r="R492">
        <v>7</v>
      </c>
      <c r="S492">
        <v>406.42</v>
      </c>
      <c r="T492">
        <v>0.15</v>
      </c>
      <c r="U492">
        <v>2418.1999999999998</v>
      </c>
      <c r="V492">
        <v>1613.82</v>
      </c>
      <c r="W492">
        <v>804.38</v>
      </c>
      <c r="X492" t="s">
        <v>32</v>
      </c>
      <c r="Y492" t="s">
        <v>33</v>
      </c>
      <c r="Z492" t="str">
        <f t="shared" si="98"/>
        <v>Unique</v>
      </c>
      <c r="AA492" t="str">
        <f t="shared" si="99"/>
        <v>Unique</v>
      </c>
      <c r="AB492" t="str">
        <f t="shared" si="103"/>
        <v>OK</v>
      </c>
      <c r="AC492">
        <f t="shared" si="104"/>
        <v>0.15</v>
      </c>
      <c r="AD492" t="str">
        <f t="shared" si="105"/>
        <v>OK</v>
      </c>
      <c r="AE492">
        <f t="shared" si="106"/>
        <v>2418.1990000000001</v>
      </c>
      <c r="AF492">
        <f t="shared" si="107"/>
        <v>804.37900000000013</v>
      </c>
      <c r="AG492">
        <f t="shared" si="108"/>
        <v>0.33263556886757462</v>
      </c>
      <c r="AH492" t="str">
        <f t="shared" si="100"/>
        <v>September</v>
      </c>
      <c r="AI492">
        <f t="shared" si="101"/>
        <v>2024</v>
      </c>
      <c r="AJ492" t="str">
        <f t="shared" si="109"/>
        <v>OK</v>
      </c>
      <c r="AK492" t="str">
        <f t="shared" si="110"/>
        <v>OK</v>
      </c>
      <c r="AL492" t="str">
        <f t="shared" si="111"/>
        <v>Include</v>
      </c>
      <c r="AM492" t="str">
        <f t="shared" si="102"/>
        <v>Clean</v>
      </c>
    </row>
    <row r="493" spans="1:39">
      <c r="A493" t="s">
        <v>1573</v>
      </c>
      <c r="B493" s="4">
        <v>45776</v>
      </c>
      <c r="C493" s="4">
        <v>45777</v>
      </c>
      <c r="D493" s="6">
        <v>1</v>
      </c>
      <c r="E493" t="s">
        <v>2788</v>
      </c>
      <c r="F493" t="s">
        <v>2788</v>
      </c>
      <c r="G493" t="s">
        <v>2788</v>
      </c>
      <c r="H493" t="s">
        <v>1574</v>
      </c>
      <c r="I493" t="s">
        <v>36</v>
      </c>
      <c r="J493" t="s">
        <v>90</v>
      </c>
      <c r="K493" t="s">
        <v>54</v>
      </c>
      <c r="L493" t="s">
        <v>185</v>
      </c>
      <c r="M493" t="s">
        <v>186</v>
      </c>
      <c r="N493" t="s">
        <v>74</v>
      </c>
      <c r="O493" t="s">
        <v>75</v>
      </c>
      <c r="P493" t="s">
        <v>1575</v>
      </c>
      <c r="Q493" t="s">
        <v>59</v>
      </c>
      <c r="R493">
        <v>4</v>
      </c>
      <c r="S493">
        <v>606.58000000000004</v>
      </c>
      <c r="T493">
        <v>0.2</v>
      </c>
      <c r="U493">
        <v>1941.06</v>
      </c>
      <c r="V493">
        <v>1207.42</v>
      </c>
      <c r="W493">
        <v>733.64</v>
      </c>
      <c r="X493" t="s">
        <v>32</v>
      </c>
      <c r="Y493" t="s">
        <v>33</v>
      </c>
      <c r="Z493" t="str">
        <f t="shared" si="98"/>
        <v>Unique</v>
      </c>
      <c r="AA493" t="str">
        <f t="shared" si="99"/>
        <v>Unique</v>
      </c>
      <c r="AB493" t="str">
        <f t="shared" si="103"/>
        <v>OK</v>
      </c>
      <c r="AC493">
        <f t="shared" si="104"/>
        <v>0.2</v>
      </c>
      <c r="AD493" t="str">
        <f t="shared" si="105"/>
        <v>OK</v>
      </c>
      <c r="AE493">
        <f t="shared" si="106"/>
        <v>1941.0560000000003</v>
      </c>
      <c r="AF493">
        <f t="shared" si="107"/>
        <v>733.63600000000019</v>
      </c>
      <c r="AG493">
        <f t="shared" si="108"/>
        <v>0.37795715321969076</v>
      </c>
      <c r="AH493" t="str">
        <f t="shared" si="100"/>
        <v>April</v>
      </c>
      <c r="AI493">
        <f t="shared" si="101"/>
        <v>2025</v>
      </c>
      <c r="AJ493" t="str">
        <f t="shared" si="109"/>
        <v>OK</v>
      </c>
      <c r="AK493" t="str">
        <f t="shared" si="110"/>
        <v>OK</v>
      </c>
      <c r="AL493" t="str">
        <f t="shared" si="111"/>
        <v>Include</v>
      </c>
      <c r="AM493" t="str">
        <f t="shared" si="102"/>
        <v>Clean</v>
      </c>
    </row>
    <row r="494" spans="1:39">
      <c r="A494" t="s">
        <v>1576</v>
      </c>
      <c r="B494" s="4">
        <v>45836</v>
      </c>
      <c r="C494" s="4">
        <v>45840</v>
      </c>
      <c r="D494" s="6">
        <v>4</v>
      </c>
      <c r="E494" t="s">
        <v>2788</v>
      </c>
      <c r="F494" t="s">
        <v>2788</v>
      </c>
      <c r="G494" t="s">
        <v>2788</v>
      </c>
      <c r="H494" t="s">
        <v>1577</v>
      </c>
      <c r="I494" t="s">
        <v>62</v>
      </c>
      <c r="J494" t="s">
        <v>90</v>
      </c>
      <c r="K494" t="s">
        <v>54</v>
      </c>
      <c r="L494" t="s">
        <v>84</v>
      </c>
      <c r="M494" t="s">
        <v>85</v>
      </c>
      <c r="N494" t="s">
        <v>28</v>
      </c>
      <c r="O494" t="s">
        <v>124</v>
      </c>
      <c r="P494" t="s">
        <v>1578</v>
      </c>
      <c r="Q494" t="s">
        <v>31</v>
      </c>
      <c r="R494">
        <v>2</v>
      </c>
      <c r="S494">
        <v>2725.44</v>
      </c>
      <c r="T494">
        <v>0.25</v>
      </c>
      <c r="U494">
        <v>4088.16</v>
      </c>
      <c r="V494">
        <v>3205.68</v>
      </c>
      <c r="W494">
        <v>882.48</v>
      </c>
      <c r="X494" t="s">
        <v>32</v>
      </c>
      <c r="Y494" t="s">
        <v>33</v>
      </c>
      <c r="Z494" t="str">
        <f t="shared" si="98"/>
        <v>Unique</v>
      </c>
      <c r="AA494" t="str">
        <f t="shared" si="99"/>
        <v>Unique</v>
      </c>
      <c r="AB494" t="str">
        <f t="shared" si="103"/>
        <v>OK</v>
      </c>
      <c r="AC494">
        <f t="shared" si="104"/>
        <v>0.25</v>
      </c>
      <c r="AD494" t="str">
        <f t="shared" si="105"/>
        <v>OK</v>
      </c>
      <c r="AE494">
        <f t="shared" si="106"/>
        <v>4088.16</v>
      </c>
      <c r="AF494">
        <f t="shared" si="107"/>
        <v>882.48</v>
      </c>
      <c r="AG494">
        <f t="shared" si="108"/>
        <v>0.21586239286133616</v>
      </c>
      <c r="AH494" t="str">
        <f t="shared" si="100"/>
        <v>June</v>
      </c>
      <c r="AI494">
        <f t="shared" si="101"/>
        <v>2025</v>
      </c>
      <c r="AJ494" t="str">
        <f t="shared" si="109"/>
        <v>OK</v>
      </c>
      <c r="AK494" t="str">
        <f t="shared" si="110"/>
        <v>OK</v>
      </c>
      <c r="AL494" t="str">
        <f t="shared" si="111"/>
        <v>Include</v>
      </c>
      <c r="AM494" t="str">
        <f t="shared" si="102"/>
        <v>Clean</v>
      </c>
    </row>
    <row r="495" spans="1:39">
      <c r="A495" t="s">
        <v>1579</v>
      </c>
      <c r="B495" s="4">
        <v>45701</v>
      </c>
      <c r="C495" s="4">
        <v>45701</v>
      </c>
      <c r="D495" s="6">
        <v>0</v>
      </c>
      <c r="E495" t="s">
        <v>2788</v>
      </c>
      <c r="F495" t="s">
        <v>2788</v>
      </c>
      <c r="G495" t="s">
        <v>2788</v>
      </c>
      <c r="H495" t="s">
        <v>1580</v>
      </c>
      <c r="I495" t="s">
        <v>264</v>
      </c>
      <c r="J495" t="s">
        <v>90</v>
      </c>
      <c r="K495" t="s">
        <v>38</v>
      </c>
      <c r="L495" t="s">
        <v>39</v>
      </c>
      <c r="M495" t="s">
        <v>40</v>
      </c>
      <c r="N495" t="s">
        <v>28</v>
      </c>
      <c r="O495" t="s">
        <v>29</v>
      </c>
      <c r="P495" t="s">
        <v>1581</v>
      </c>
      <c r="Q495" t="s">
        <v>31</v>
      </c>
      <c r="R495">
        <v>7</v>
      </c>
      <c r="S495">
        <v>2296.6999999999998</v>
      </c>
      <c r="T495">
        <v>0.05</v>
      </c>
      <c r="U495">
        <v>15273.05</v>
      </c>
      <c r="V495">
        <v>11088.76</v>
      </c>
      <c r="W495">
        <v>4184.29</v>
      </c>
      <c r="X495" t="s">
        <v>32</v>
      </c>
      <c r="Y495" t="s">
        <v>33</v>
      </c>
      <c r="Z495" t="str">
        <f t="shared" si="98"/>
        <v>Unique</v>
      </c>
      <c r="AA495" t="str">
        <f t="shared" si="99"/>
        <v>Unique</v>
      </c>
      <c r="AB495" t="str">
        <f t="shared" si="103"/>
        <v>OK</v>
      </c>
      <c r="AC495">
        <f t="shared" si="104"/>
        <v>0.05</v>
      </c>
      <c r="AD495" t="str">
        <f t="shared" si="105"/>
        <v>OK</v>
      </c>
      <c r="AE495">
        <f t="shared" si="106"/>
        <v>15273.054999999997</v>
      </c>
      <c r="AF495">
        <f t="shared" si="107"/>
        <v>4184.2949999999964</v>
      </c>
      <c r="AG495">
        <f t="shared" si="108"/>
        <v>0.27396581757873573</v>
      </c>
      <c r="AH495" t="str">
        <f t="shared" si="100"/>
        <v>February</v>
      </c>
      <c r="AI495">
        <f t="shared" si="101"/>
        <v>2025</v>
      </c>
      <c r="AJ495" t="str">
        <f t="shared" si="109"/>
        <v>OK</v>
      </c>
      <c r="AK495" t="str">
        <f t="shared" si="110"/>
        <v>OK</v>
      </c>
      <c r="AL495" t="str">
        <f t="shared" si="111"/>
        <v>Include</v>
      </c>
      <c r="AM495" t="str">
        <f t="shared" si="102"/>
        <v>Clean</v>
      </c>
    </row>
    <row r="496" spans="1:39">
      <c r="A496" t="s">
        <v>1582</v>
      </c>
      <c r="B496" s="4">
        <v>45610</v>
      </c>
      <c r="C496" s="4">
        <v>45618</v>
      </c>
      <c r="D496" s="6">
        <v>8</v>
      </c>
      <c r="E496" t="s">
        <v>2788</v>
      </c>
      <c r="F496" t="s">
        <v>2788</v>
      </c>
      <c r="G496" t="s">
        <v>2788</v>
      </c>
      <c r="H496" t="s">
        <v>1583</v>
      </c>
      <c r="I496" t="s">
        <v>47</v>
      </c>
      <c r="J496" t="s">
        <v>24</v>
      </c>
      <c r="K496" t="s">
        <v>63</v>
      </c>
      <c r="L496" t="s">
        <v>72</v>
      </c>
      <c r="M496" t="s">
        <v>73</v>
      </c>
      <c r="N496" t="s">
        <v>74</v>
      </c>
      <c r="O496" t="s">
        <v>171</v>
      </c>
      <c r="P496" t="s">
        <v>1584</v>
      </c>
      <c r="Q496" t="s">
        <v>59</v>
      </c>
      <c r="R496">
        <v>3</v>
      </c>
      <c r="S496">
        <v>671.68</v>
      </c>
      <c r="T496">
        <v>-0.13</v>
      </c>
      <c r="U496">
        <v>1712.78</v>
      </c>
      <c r="V496">
        <v>1569.38</v>
      </c>
      <c r="W496">
        <v>360.66</v>
      </c>
      <c r="X496" t="s">
        <v>155</v>
      </c>
      <c r="Y496" t="s">
        <v>68</v>
      </c>
      <c r="Z496" t="str">
        <f t="shared" si="98"/>
        <v>Unique</v>
      </c>
      <c r="AA496" t="str">
        <f t="shared" si="99"/>
        <v>Unique</v>
      </c>
      <c r="AB496" t="str">
        <f t="shared" si="103"/>
        <v>OK</v>
      </c>
      <c r="AC496">
        <f t="shared" si="104"/>
        <v>-0.13</v>
      </c>
      <c r="AD496" t="str">
        <f t="shared" si="105"/>
        <v>Invalid Negative Discount</v>
      </c>
      <c r="AE496">
        <f t="shared" si="106"/>
        <v>2276.9951999999998</v>
      </c>
      <c r="AF496">
        <f t="shared" si="107"/>
        <v>707.61519999999973</v>
      </c>
      <c r="AG496">
        <f t="shared" si="108"/>
        <v>0.31076710218800629</v>
      </c>
      <c r="AH496" t="str">
        <f t="shared" si="100"/>
        <v>November</v>
      </c>
      <c r="AI496">
        <f t="shared" si="101"/>
        <v>2024</v>
      </c>
      <c r="AJ496" t="str">
        <f t="shared" si="109"/>
        <v>Sales Mismatch</v>
      </c>
      <c r="AK496" t="str">
        <f t="shared" si="110"/>
        <v>Profit Mismatch</v>
      </c>
      <c r="AL496" t="str">
        <f t="shared" si="111"/>
        <v>Exclude</v>
      </c>
      <c r="AM496" t="str">
        <f t="shared" si="102"/>
        <v>Invalid</v>
      </c>
    </row>
    <row r="497" spans="1:39">
      <c r="A497" t="s">
        <v>1585</v>
      </c>
      <c r="B497" s="4">
        <v>45421</v>
      </c>
      <c r="C497" s="4">
        <v>45427</v>
      </c>
      <c r="D497" s="6">
        <v>6</v>
      </c>
      <c r="E497" t="s">
        <v>2788</v>
      </c>
      <c r="F497" t="s">
        <v>2788</v>
      </c>
      <c r="G497" t="s">
        <v>2788</v>
      </c>
      <c r="H497" t="s">
        <v>1586</v>
      </c>
      <c r="I497" t="s">
        <v>36</v>
      </c>
      <c r="J497" t="s">
        <v>37</v>
      </c>
      <c r="K497" t="s">
        <v>38</v>
      </c>
      <c r="L497" t="s">
        <v>166</v>
      </c>
      <c r="M497" t="s">
        <v>167</v>
      </c>
      <c r="N497" t="s">
        <v>74</v>
      </c>
      <c r="O497" t="s">
        <v>171</v>
      </c>
      <c r="P497" t="s">
        <v>1587</v>
      </c>
      <c r="Q497" t="s">
        <v>31</v>
      </c>
      <c r="R497">
        <v>4</v>
      </c>
      <c r="S497">
        <v>995.98</v>
      </c>
      <c r="T497">
        <v>0.05</v>
      </c>
      <c r="U497">
        <v>3784.72</v>
      </c>
      <c r="V497">
        <v>2419.2399999999998</v>
      </c>
      <c r="W497">
        <v>1365.48</v>
      </c>
      <c r="X497" t="s">
        <v>102</v>
      </c>
      <c r="Y497" t="s">
        <v>103</v>
      </c>
      <c r="Z497" t="str">
        <f t="shared" si="98"/>
        <v>Unique</v>
      </c>
      <c r="AA497" t="str">
        <f t="shared" si="99"/>
        <v>Unique</v>
      </c>
      <c r="AB497" t="str">
        <f t="shared" si="103"/>
        <v>OK</v>
      </c>
      <c r="AC497">
        <f t="shared" si="104"/>
        <v>0.05</v>
      </c>
      <c r="AD497" t="str">
        <f t="shared" si="105"/>
        <v>OK</v>
      </c>
      <c r="AE497">
        <f t="shared" si="106"/>
        <v>3784.7239999999997</v>
      </c>
      <c r="AF497">
        <f t="shared" si="107"/>
        <v>1365.4839999999999</v>
      </c>
      <c r="AG497">
        <f t="shared" si="108"/>
        <v>0.36078826355633858</v>
      </c>
      <c r="AH497" t="str">
        <f t="shared" si="100"/>
        <v>May</v>
      </c>
      <c r="AI497">
        <f t="shared" si="101"/>
        <v>2024</v>
      </c>
      <c r="AJ497" t="str">
        <f t="shared" si="109"/>
        <v>OK</v>
      </c>
      <c r="AK497" t="str">
        <f t="shared" si="110"/>
        <v>OK</v>
      </c>
      <c r="AL497" t="str">
        <f t="shared" si="111"/>
        <v>Exclude</v>
      </c>
      <c r="AM497" t="str">
        <f t="shared" si="102"/>
        <v>Clean</v>
      </c>
    </row>
    <row r="498" spans="1:39">
      <c r="A498" t="s">
        <v>1588</v>
      </c>
      <c r="B498" s="4">
        <v>45842</v>
      </c>
      <c r="C498" s="4">
        <v>45844</v>
      </c>
      <c r="D498" s="6">
        <v>2</v>
      </c>
      <c r="E498" t="s">
        <v>2788</v>
      </c>
      <c r="F498" t="s">
        <v>2788</v>
      </c>
      <c r="G498" t="s">
        <v>2788</v>
      </c>
      <c r="H498" t="s">
        <v>1589</v>
      </c>
      <c r="I498" t="s">
        <v>264</v>
      </c>
      <c r="J498" t="s">
        <v>37</v>
      </c>
      <c r="K498" t="s">
        <v>38</v>
      </c>
      <c r="L498" t="s">
        <v>228</v>
      </c>
      <c r="M498" t="s">
        <v>229</v>
      </c>
      <c r="N498" t="s">
        <v>41</v>
      </c>
      <c r="O498" t="s">
        <v>66</v>
      </c>
      <c r="P498" t="s">
        <v>1590</v>
      </c>
      <c r="Q498" t="s">
        <v>31</v>
      </c>
      <c r="R498">
        <v>2</v>
      </c>
      <c r="S498">
        <v>3686.42</v>
      </c>
      <c r="T498">
        <v>0.1</v>
      </c>
      <c r="U498">
        <v>6635.56</v>
      </c>
      <c r="V498">
        <v>3652.91</v>
      </c>
      <c r="W498">
        <v>2982.65</v>
      </c>
      <c r="X498" t="s">
        <v>32</v>
      </c>
      <c r="Y498" t="s">
        <v>33</v>
      </c>
      <c r="Z498" t="str">
        <f t="shared" si="98"/>
        <v>Unique</v>
      </c>
      <c r="AA498" t="str">
        <f t="shared" si="99"/>
        <v>Unique</v>
      </c>
      <c r="AB498" t="str">
        <f t="shared" si="103"/>
        <v>OK</v>
      </c>
      <c r="AC498">
        <f t="shared" si="104"/>
        <v>0.1</v>
      </c>
      <c r="AD498" t="str">
        <f t="shared" si="105"/>
        <v>OK</v>
      </c>
      <c r="AE498">
        <f t="shared" si="106"/>
        <v>6635.5560000000005</v>
      </c>
      <c r="AF498">
        <f t="shared" si="107"/>
        <v>2982.6460000000006</v>
      </c>
      <c r="AG498">
        <f t="shared" si="108"/>
        <v>0.44949451108543131</v>
      </c>
      <c r="AH498" t="str">
        <f t="shared" si="100"/>
        <v>July</v>
      </c>
      <c r="AI498">
        <f t="shared" si="101"/>
        <v>2025</v>
      </c>
      <c r="AJ498" t="str">
        <f t="shared" si="109"/>
        <v>OK</v>
      </c>
      <c r="AK498" t="str">
        <f t="shared" si="110"/>
        <v>OK</v>
      </c>
      <c r="AL498" t="str">
        <f t="shared" si="111"/>
        <v>Include</v>
      </c>
      <c r="AM498" t="str">
        <f t="shared" si="102"/>
        <v>Clean</v>
      </c>
    </row>
    <row r="499" spans="1:39">
      <c r="A499" t="s">
        <v>1591</v>
      </c>
      <c r="B499" s="4">
        <v>45533</v>
      </c>
      <c r="C499" s="4">
        <v>45533</v>
      </c>
      <c r="D499" s="6">
        <v>0</v>
      </c>
      <c r="E499" t="s">
        <v>2788</v>
      </c>
      <c r="F499" t="s">
        <v>2788</v>
      </c>
      <c r="G499" t="s">
        <v>2788</v>
      </c>
      <c r="H499" t="s">
        <v>1592</v>
      </c>
      <c r="I499" t="s">
        <v>132</v>
      </c>
      <c r="J499" t="s">
        <v>37</v>
      </c>
      <c r="K499" t="s">
        <v>25</v>
      </c>
      <c r="L499" t="s">
        <v>136</v>
      </c>
      <c r="M499" t="s">
        <v>137</v>
      </c>
      <c r="N499" t="s">
        <v>74</v>
      </c>
      <c r="O499" t="s">
        <v>75</v>
      </c>
      <c r="P499" t="s">
        <v>1593</v>
      </c>
      <c r="Q499" t="s">
        <v>31</v>
      </c>
      <c r="R499">
        <v>1</v>
      </c>
      <c r="S499">
        <v>3106.88</v>
      </c>
      <c r="T499">
        <v>0.2</v>
      </c>
      <c r="U499">
        <v>2485.5</v>
      </c>
      <c r="V499">
        <v>2028.43</v>
      </c>
      <c r="W499">
        <v>457.07</v>
      </c>
      <c r="X499" t="s">
        <v>32</v>
      </c>
      <c r="Y499" t="s">
        <v>68</v>
      </c>
      <c r="Z499" t="str">
        <f t="shared" si="98"/>
        <v>Unique</v>
      </c>
      <c r="AA499" t="str">
        <f t="shared" si="99"/>
        <v>Unique</v>
      </c>
      <c r="AB499" t="str">
        <f t="shared" si="103"/>
        <v>OK</v>
      </c>
      <c r="AC499">
        <f t="shared" si="104"/>
        <v>0.2</v>
      </c>
      <c r="AD499" t="str">
        <f t="shared" si="105"/>
        <v>OK</v>
      </c>
      <c r="AE499">
        <f t="shared" si="106"/>
        <v>2485.5040000000004</v>
      </c>
      <c r="AF499">
        <f t="shared" si="107"/>
        <v>457.0740000000003</v>
      </c>
      <c r="AG499">
        <f t="shared" si="108"/>
        <v>0.18389590199814615</v>
      </c>
      <c r="AH499" t="str">
        <f t="shared" si="100"/>
        <v>August</v>
      </c>
      <c r="AI499">
        <f t="shared" si="101"/>
        <v>2024</v>
      </c>
      <c r="AJ499" t="str">
        <f t="shared" si="109"/>
        <v>OK</v>
      </c>
      <c r="AK499" t="str">
        <f t="shared" si="110"/>
        <v>OK</v>
      </c>
      <c r="AL499" t="str">
        <f t="shared" si="111"/>
        <v>Exclude</v>
      </c>
      <c r="AM499" t="str">
        <f t="shared" si="102"/>
        <v>Clean</v>
      </c>
    </row>
    <row r="500" spans="1:39">
      <c r="A500" t="s">
        <v>1594</v>
      </c>
      <c r="B500" s="4">
        <v>45907</v>
      </c>
      <c r="C500" s="4">
        <v>45910</v>
      </c>
      <c r="D500" s="6">
        <v>3</v>
      </c>
      <c r="E500" t="s">
        <v>2788</v>
      </c>
      <c r="F500" t="s">
        <v>2788</v>
      </c>
      <c r="G500" t="s">
        <v>2788</v>
      </c>
      <c r="H500" t="s">
        <v>1595</v>
      </c>
      <c r="I500" t="s">
        <v>23</v>
      </c>
      <c r="J500" t="s">
        <v>24</v>
      </c>
      <c r="K500" t="s">
        <v>25</v>
      </c>
      <c r="L500" t="s">
        <v>122</v>
      </c>
      <c r="M500" t="s">
        <v>123</v>
      </c>
      <c r="N500" t="s">
        <v>41</v>
      </c>
      <c r="O500" t="s">
        <v>66</v>
      </c>
      <c r="P500" t="s">
        <v>1596</v>
      </c>
      <c r="Q500" t="s">
        <v>44</v>
      </c>
      <c r="R500">
        <v>2</v>
      </c>
      <c r="S500">
        <v>447.55</v>
      </c>
      <c r="T500">
        <v>0.05</v>
      </c>
      <c r="U500">
        <v>850.35</v>
      </c>
      <c r="V500">
        <v>600.98</v>
      </c>
      <c r="W500">
        <v>249.37</v>
      </c>
      <c r="X500" t="s">
        <v>102</v>
      </c>
      <c r="Y500" t="s">
        <v>68</v>
      </c>
      <c r="Z500" t="str">
        <f t="shared" si="98"/>
        <v>Unique</v>
      </c>
      <c r="AA500" t="str">
        <f t="shared" si="99"/>
        <v>Unique</v>
      </c>
      <c r="AB500" t="str">
        <f t="shared" si="103"/>
        <v>OK</v>
      </c>
      <c r="AC500">
        <f t="shared" si="104"/>
        <v>0.05</v>
      </c>
      <c r="AD500" t="str">
        <f t="shared" si="105"/>
        <v>OK</v>
      </c>
      <c r="AE500">
        <f t="shared" si="106"/>
        <v>850.34500000000003</v>
      </c>
      <c r="AF500">
        <f t="shared" si="107"/>
        <v>249.36500000000001</v>
      </c>
      <c r="AG500">
        <f t="shared" si="108"/>
        <v>0.29325156260106194</v>
      </c>
      <c r="AH500" t="str">
        <f t="shared" si="100"/>
        <v>September</v>
      </c>
      <c r="AI500">
        <f t="shared" si="101"/>
        <v>2025</v>
      </c>
      <c r="AJ500" t="str">
        <f t="shared" si="109"/>
        <v>OK</v>
      </c>
      <c r="AK500" t="str">
        <f t="shared" si="110"/>
        <v>OK</v>
      </c>
      <c r="AL500" t="str">
        <f t="shared" si="111"/>
        <v>Exclude</v>
      </c>
      <c r="AM500" t="str">
        <f t="shared" si="102"/>
        <v>Clean</v>
      </c>
    </row>
    <row r="501" spans="1:39">
      <c r="A501" t="s">
        <v>1597</v>
      </c>
      <c r="B501" s="4">
        <v>45648</v>
      </c>
      <c r="C501" s="4">
        <v>45652</v>
      </c>
      <c r="D501" s="6">
        <v>4</v>
      </c>
      <c r="E501" t="s">
        <v>2788</v>
      </c>
      <c r="F501" t="s">
        <v>2788</v>
      </c>
      <c r="G501" t="s">
        <v>2788</v>
      </c>
      <c r="H501" t="s">
        <v>1598</v>
      </c>
      <c r="I501" t="s">
        <v>118</v>
      </c>
      <c r="J501" t="s">
        <v>95</v>
      </c>
      <c r="K501" t="s">
        <v>25</v>
      </c>
      <c r="L501" t="s">
        <v>136</v>
      </c>
      <c r="M501" t="s">
        <v>137</v>
      </c>
      <c r="N501" t="s">
        <v>41</v>
      </c>
      <c r="O501" t="s">
        <v>66</v>
      </c>
      <c r="P501" t="s">
        <v>1599</v>
      </c>
      <c r="Q501" t="s">
        <v>59</v>
      </c>
      <c r="R501">
        <v>9</v>
      </c>
      <c r="S501">
        <v>1110.8699999999999</v>
      </c>
      <c r="U501">
        <v>7498.37</v>
      </c>
      <c r="V501">
        <v>6059.07</v>
      </c>
      <c r="W501">
        <v>1439.3</v>
      </c>
      <c r="X501" t="s">
        <v>32</v>
      </c>
      <c r="Y501" t="s">
        <v>68</v>
      </c>
      <c r="Z501" t="str">
        <f t="shared" si="98"/>
        <v>Unique</v>
      </c>
      <c r="AA501" t="str">
        <f t="shared" si="99"/>
        <v>Unique</v>
      </c>
      <c r="AB501" t="str">
        <f t="shared" si="103"/>
        <v>OK</v>
      </c>
      <c r="AC501">
        <f t="shared" si="104"/>
        <v>0</v>
      </c>
      <c r="AD501" t="str">
        <f t="shared" si="105"/>
        <v>OK</v>
      </c>
      <c r="AE501">
        <f t="shared" si="106"/>
        <v>9997.8299999999981</v>
      </c>
      <c r="AF501">
        <f t="shared" si="107"/>
        <v>3938.7599999999984</v>
      </c>
      <c r="AG501">
        <f t="shared" si="108"/>
        <v>0.3939614896432525</v>
      </c>
      <c r="AH501" t="str">
        <f t="shared" si="100"/>
        <v>December</v>
      </c>
      <c r="AI501">
        <f t="shared" si="101"/>
        <v>2024</v>
      </c>
      <c r="AJ501" t="str">
        <f t="shared" si="109"/>
        <v>Sales Mismatch</v>
      </c>
      <c r="AK501" t="str">
        <f t="shared" si="110"/>
        <v>Profit Mismatch</v>
      </c>
      <c r="AL501" t="str">
        <f t="shared" si="111"/>
        <v>Exclude</v>
      </c>
      <c r="AM501" t="str">
        <f t="shared" si="102"/>
        <v>Warning</v>
      </c>
    </row>
    <row r="502" spans="1:39">
      <c r="A502" t="s">
        <v>1600</v>
      </c>
      <c r="B502" s="4">
        <v>45429</v>
      </c>
      <c r="C502" s="4">
        <v>45434</v>
      </c>
      <c r="D502" s="6">
        <v>5</v>
      </c>
      <c r="E502" t="s">
        <v>2788</v>
      </c>
      <c r="F502" t="s">
        <v>2788</v>
      </c>
      <c r="G502" t="s">
        <v>2788</v>
      </c>
      <c r="H502" t="s">
        <v>1601</v>
      </c>
      <c r="I502" t="s">
        <v>132</v>
      </c>
      <c r="J502" t="s">
        <v>24</v>
      </c>
      <c r="K502" t="s">
        <v>54</v>
      </c>
      <c r="L502" t="s">
        <v>185</v>
      </c>
      <c r="M502" t="s">
        <v>186</v>
      </c>
      <c r="N502" t="s">
        <v>74</v>
      </c>
      <c r="O502" t="s">
        <v>171</v>
      </c>
      <c r="P502" t="s">
        <v>1602</v>
      </c>
      <c r="Q502" t="s">
        <v>44</v>
      </c>
      <c r="R502">
        <v>9</v>
      </c>
      <c r="S502">
        <v>3795.99</v>
      </c>
      <c r="T502" t="s">
        <v>767</v>
      </c>
      <c r="U502">
        <v>34163.910000000003</v>
      </c>
      <c r="V502">
        <v>28577.15</v>
      </c>
      <c r="W502">
        <v>5586.76</v>
      </c>
      <c r="X502" t="s">
        <v>32</v>
      </c>
      <c r="Y502" t="s">
        <v>33</v>
      </c>
      <c r="Z502" t="str">
        <f t="shared" si="98"/>
        <v>Unique</v>
      </c>
      <c r="AA502" t="str">
        <f t="shared" si="99"/>
        <v>Unique</v>
      </c>
      <c r="AB502" t="str">
        <f t="shared" si="103"/>
        <v>OK</v>
      </c>
      <c r="AC502" t="str">
        <f t="shared" si="104"/>
        <v>85%</v>
      </c>
      <c r="AD502" t="str">
        <f t="shared" si="105"/>
        <v>Invalid High Discount</v>
      </c>
      <c r="AE502">
        <f t="shared" si="106"/>
        <v>5124.5865000000003</v>
      </c>
      <c r="AF502">
        <f t="shared" si="107"/>
        <v>-23452.5635</v>
      </c>
      <c r="AG502">
        <f t="shared" si="108"/>
        <v>-4.5764791949555343</v>
      </c>
      <c r="AH502" t="str">
        <f t="shared" si="100"/>
        <v>May</v>
      </c>
      <c r="AI502">
        <f t="shared" si="101"/>
        <v>2024</v>
      </c>
      <c r="AJ502" t="str">
        <f t="shared" si="109"/>
        <v>Sales Mismatch</v>
      </c>
      <c r="AK502" t="str">
        <f t="shared" si="110"/>
        <v>Profit Mismatch</v>
      </c>
      <c r="AL502" t="str">
        <f t="shared" si="111"/>
        <v>Include</v>
      </c>
      <c r="AM502" t="str">
        <f t="shared" si="102"/>
        <v>Invalid</v>
      </c>
    </row>
    <row r="503" spans="1:39">
      <c r="A503" t="s">
        <v>1603</v>
      </c>
      <c r="B503" s="4">
        <v>45515</v>
      </c>
      <c r="C503" s="4">
        <v>45521</v>
      </c>
      <c r="D503" s="6">
        <v>6</v>
      </c>
      <c r="E503" t="s">
        <v>2788</v>
      </c>
      <c r="F503" t="s">
        <v>2788</v>
      </c>
      <c r="G503" t="s">
        <v>2788</v>
      </c>
      <c r="H503" t="s">
        <v>808</v>
      </c>
      <c r="I503" t="s">
        <v>79</v>
      </c>
      <c r="J503" t="s">
        <v>24</v>
      </c>
      <c r="K503" t="s">
        <v>38</v>
      </c>
      <c r="L503" t="s">
        <v>228</v>
      </c>
      <c r="M503" t="s">
        <v>229</v>
      </c>
      <c r="N503" t="s">
        <v>28</v>
      </c>
      <c r="O503" t="s">
        <v>48</v>
      </c>
      <c r="P503" t="s">
        <v>1604</v>
      </c>
      <c r="Q503" t="s">
        <v>31</v>
      </c>
      <c r="R503">
        <v>6</v>
      </c>
      <c r="S503">
        <v>3497.54</v>
      </c>
      <c r="T503">
        <v>0.15</v>
      </c>
      <c r="U503">
        <v>17837.45</v>
      </c>
      <c r="V503">
        <v>13627.02</v>
      </c>
      <c r="W503">
        <v>4210.43</v>
      </c>
      <c r="X503" t="s">
        <v>32</v>
      </c>
      <c r="Y503" t="s">
        <v>33</v>
      </c>
      <c r="Z503" t="str">
        <f t="shared" si="98"/>
        <v>Unique</v>
      </c>
      <c r="AA503" t="str">
        <f t="shared" si="99"/>
        <v>Unique</v>
      </c>
      <c r="AB503" t="str">
        <f t="shared" si="103"/>
        <v>OK</v>
      </c>
      <c r="AC503">
        <f t="shared" si="104"/>
        <v>0.15</v>
      </c>
      <c r="AD503" t="str">
        <f t="shared" si="105"/>
        <v>OK</v>
      </c>
      <c r="AE503">
        <f t="shared" si="106"/>
        <v>17837.453999999998</v>
      </c>
      <c r="AF503">
        <f t="shared" si="107"/>
        <v>4210.4339999999975</v>
      </c>
      <c r="AG503">
        <f t="shared" si="108"/>
        <v>0.23604456106796395</v>
      </c>
      <c r="AH503" t="str">
        <f t="shared" si="100"/>
        <v>August</v>
      </c>
      <c r="AI503">
        <f t="shared" si="101"/>
        <v>2024</v>
      </c>
      <c r="AJ503" t="str">
        <f t="shared" si="109"/>
        <v>OK</v>
      </c>
      <c r="AK503" t="str">
        <f t="shared" si="110"/>
        <v>OK</v>
      </c>
      <c r="AL503" t="str">
        <f t="shared" si="111"/>
        <v>Include</v>
      </c>
      <c r="AM503" t="str">
        <f t="shared" si="102"/>
        <v>Clean</v>
      </c>
    </row>
    <row r="504" spans="1:39">
      <c r="A504" t="s">
        <v>1605</v>
      </c>
      <c r="B504" s="4">
        <v>45383</v>
      </c>
      <c r="C504" s="4">
        <v>45391</v>
      </c>
      <c r="D504" s="6">
        <v>8</v>
      </c>
      <c r="E504" t="s">
        <v>2788</v>
      </c>
      <c r="F504" t="s">
        <v>2788</v>
      </c>
      <c r="G504" t="s">
        <v>2788</v>
      </c>
      <c r="H504" t="s">
        <v>1606</v>
      </c>
      <c r="I504" t="s">
        <v>114</v>
      </c>
      <c r="J504" t="s">
        <v>37</v>
      </c>
      <c r="K504" t="s">
        <v>38</v>
      </c>
      <c r="L504" t="s">
        <v>39</v>
      </c>
      <c r="M504" t="s">
        <v>40</v>
      </c>
      <c r="N504" t="s">
        <v>74</v>
      </c>
      <c r="O504" t="s">
        <v>80</v>
      </c>
      <c r="P504" t="s">
        <v>1607</v>
      </c>
      <c r="Q504" t="s">
        <v>31</v>
      </c>
      <c r="R504">
        <v>6</v>
      </c>
      <c r="S504">
        <v>826.93</v>
      </c>
      <c r="T504">
        <v>0.1</v>
      </c>
      <c r="U504">
        <v>4465.42</v>
      </c>
      <c r="V504">
        <v>3377.1</v>
      </c>
      <c r="W504">
        <v>1088.32</v>
      </c>
      <c r="X504" t="s">
        <v>32</v>
      </c>
      <c r="Y504" t="s">
        <v>33</v>
      </c>
      <c r="Z504" t="str">
        <f t="shared" si="98"/>
        <v>Exact Duplicate</v>
      </c>
      <c r="AA504" t="str">
        <f t="shared" si="99"/>
        <v>Duplicate Order ID</v>
      </c>
      <c r="AB504" t="str">
        <f t="shared" si="103"/>
        <v>OK</v>
      </c>
      <c r="AC504">
        <f t="shared" si="104"/>
        <v>0.1</v>
      </c>
      <c r="AD504" t="str">
        <f t="shared" si="105"/>
        <v>OK</v>
      </c>
      <c r="AE504">
        <f t="shared" si="106"/>
        <v>4465.4220000000005</v>
      </c>
      <c r="AF504">
        <f t="shared" si="107"/>
        <v>1088.3220000000006</v>
      </c>
      <c r="AG504">
        <f t="shared" si="108"/>
        <v>0.24372209390288319</v>
      </c>
      <c r="AH504" t="str">
        <f t="shared" si="100"/>
        <v>April</v>
      </c>
      <c r="AI504">
        <f t="shared" si="101"/>
        <v>2024</v>
      </c>
      <c r="AJ504" t="str">
        <f t="shared" si="109"/>
        <v>OK</v>
      </c>
      <c r="AK504" t="str">
        <f t="shared" si="110"/>
        <v>OK</v>
      </c>
      <c r="AL504" t="str">
        <f t="shared" si="111"/>
        <v>Include</v>
      </c>
      <c r="AM504" t="str">
        <f t="shared" si="102"/>
        <v>Clean</v>
      </c>
    </row>
    <row r="505" spans="1:39">
      <c r="A505" t="s">
        <v>1608</v>
      </c>
      <c r="B505" s="4">
        <v>45563</v>
      </c>
      <c r="C505" s="4">
        <v>45570</v>
      </c>
      <c r="D505" s="6">
        <v>7</v>
      </c>
      <c r="E505" t="s">
        <v>2788</v>
      </c>
      <c r="F505" t="s">
        <v>2788</v>
      </c>
      <c r="G505" t="s">
        <v>2788</v>
      </c>
      <c r="H505" t="s">
        <v>1609</v>
      </c>
      <c r="I505" t="s">
        <v>128</v>
      </c>
      <c r="J505" t="s">
        <v>24</v>
      </c>
      <c r="K505" t="s">
        <v>54</v>
      </c>
      <c r="L505" t="s">
        <v>247</v>
      </c>
      <c r="M505" t="s">
        <v>248</v>
      </c>
      <c r="N505" t="s">
        <v>74</v>
      </c>
      <c r="O505" t="s">
        <v>171</v>
      </c>
      <c r="P505" t="s">
        <v>1610</v>
      </c>
      <c r="Q505" t="s">
        <v>59</v>
      </c>
      <c r="R505">
        <v>7</v>
      </c>
      <c r="S505">
        <v>1681.6</v>
      </c>
      <c r="T505">
        <v>0.1</v>
      </c>
      <c r="U505">
        <v>10594.08</v>
      </c>
      <c r="V505">
        <v>7160.31</v>
      </c>
      <c r="W505">
        <v>3433.77</v>
      </c>
      <c r="X505" t="s">
        <v>32</v>
      </c>
      <c r="Y505" t="s">
        <v>33</v>
      </c>
      <c r="Z505" t="str">
        <f t="shared" si="98"/>
        <v>Unique</v>
      </c>
      <c r="AA505" t="str">
        <f t="shared" si="99"/>
        <v>Unique</v>
      </c>
      <c r="AB505" t="str">
        <f t="shared" si="103"/>
        <v>OK</v>
      </c>
      <c r="AC505">
        <f t="shared" si="104"/>
        <v>0.1</v>
      </c>
      <c r="AD505" t="str">
        <f t="shared" si="105"/>
        <v>OK</v>
      </c>
      <c r="AE505">
        <f t="shared" si="106"/>
        <v>10594.08</v>
      </c>
      <c r="AF505">
        <f t="shared" si="107"/>
        <v>3433.7699999999995</v>
      </c>
      <c r="AG505">
        <f t="shared" si="108"/>
        <v>0.32412158488514337</v>
      </c>
      <c r="AH505" t="str">
        <f t="shared" si="100"/>
        <v>September</v>
      </c>
      <c r="AI505">
        <f t="shared" si="101"/>
        <v>2024</v>
      </c>
      <c r="AJ505" t="str">
        <f t="shared" si="109"/>
        <v>OK</v>
      </c>
      <c r="AK505" t="str">
        <f t="shared" si="110"/>
        <v>OK</v>
      </c>
      <c r="AL505" t="str">
        <f t="shared" si="111"/>
        <v>Include</v>
      </c>
      <c r="AM505" t="str">
        <f t="shared" si="102"/>
        <v>Clean</v>
      </c>
    </row>
    <row r="506" spans="1:39">
      <c r="A506" t="s">
        <v>1611</v>
      </c>
      <c r="B506" s="4">
        <v>45700</v>
      </c>
      <c r="C506" s="4">
        <v>45705</v>
      </c>
      <c r="D506" s="6">
        <v>5</v>
      </c>
      <c r="E506" t="s">
        <v>2788</v>
      </c>
      <c r="F506" t="s">
        <v>2788</v>
      </c>
      <c r="G506" t="s">
        <v>2788</v>
      </c>
      <c r="H506" t="s">
        <v>1612</v>
      </c>
      <c r="I506" t="s">
        <v>53</v>
      </c>
      <c r="J506" t="s">
        <v>90</v>
      </c>
      <c r="K506" t="s">
        <v>63</v>
      </c>
      <c r="L506" t="s">
        <v>180</v>
      </c>
      <c r="M506" t="s">
        <v>181</v>
      </c>
      <c r="N506" t="s">
        <v>28</v>
      </c>
      <c r="O506" t="s">
        <v>48</v>
      </c>
      <c r="P506" t="s">
        <v>1613</v>
      </c>
      <c r="Q506" t="s">
        <v>59</v>
      </c>
      <c r="R506">
        <v>4</v>
      </c>
      <c r="S506">
        <v>4328.12</v>
      </c>
      <c r="T506">
        <v>0</v>
      </c>
      <c r="U506">
        <v>17312.48</v>
      </c>
      <c r="V506">
        <v>14424.22</v>
      </c>
      <c r="W506">
        <v>2888.26</v>
      </c>
      <c r="X506" t="s">
        <v>32</v>
      </c>
      <c r="Y506" t="s">
        <v>33</v>
      </c>
      <c r="Z506" t="str">
        <f t="shared" si="98"/>
        <v>Unique</v>
      </c>
      <c r="AA506" t="str">
        <f t="shared" si="99"/>
        <v>Unique</v>
      </c>
      <c r="AB506" t="str">
        <f t="shared" si="103"/>
        <v>OK</v>
      </c>
      <c r="AC506">
        <f t="shared" si="104"/>
        <v>0</v>
      </c>
      <c r="AD506" t="str">
        <f t="shared" si="105"/>
        <v>OK</v>
      </c>
      <c r="AE506">
        <f t="shared" si="106"/>
        <v>17312.48</v>
      </c>
      <c r="AF506">
        <f t="shared" si="107"/>
        <v>2888.26</v>
      </c>
      <c r="AG506">
        <f t="shared" si="108"/>
        <v>0.16683109525613893</v>
      </c>
      <c r="AH506" t="str">
        <f t="shared" si="100"/>
        <v>February</v>
      </c>
      <c r="AI506">
        <f t="shared" si="101"/>
        <v>2025</v>
      </c>
      <c r="AJ506" t="str">
        <f t="shared" si="109"/>
        <v>OK</v>
      </c>
      <c r="AK506" t="str">
        <f t="shared" si="110"/>
        <v>OK</v>
      </c>
      <c r="AL506" t="str">
        <f t="shared" si="111"/>
        <v>Include</v>
      </c>
      <c r="AM506" t="str">
        <f t="shared" si="102"/>
        <v>Clean</v>
      </c>
    </row>
    <row r="507" spans="1:39">
      <c r="A507" t="s">
        <v>1614</v>
      </c>
      <c r="B507" s="4">
        <v>45605</v>
      </c>
      <c r="C507" s="4">
        <v>45610</v>
      </c>
      <c r="D507" s="6">
        <v>5</v>
      </c>
      <c r="E507" t="s">
        <v>2788</v>
      </c>
      <c r="F507" t="s">
        <v>2788</v>
      </c>
      <c r="G507" t="s">
        <v>2788</v>
      </c>
      <c r="H507" t="s">
        <v>1615</v>
      </c>
      <c r="I507" t="s">
        <v>79</v>
      </c>
      <c r="J507" t="s">
        <v>90</v>
      </c>
      <c r="K507" t="s">
        <v>63</v>
      </c>
      <c r="L507" t="s">
        <v>72</v>
      </c>
      <c r="M507" t="s">
        <v>73</v>
      </c>
      <c r="N507" t="s">
        <v>28</v>
      </c>
      <c r="O507" t="s">
        <v>48</v>
      </c>
      <c r="P507" t="s">
        <v>1616</v>
      </c>
      <c r="Q507" t="s">
        <v>50</v>
      </c>
      <c r="R507">
        <v>9</v>
      </c>
      <c r="S507">
        <v>2438.29</v>
      </c>
      <c r="T507">
        <v>0.2</v>
      </c>
      <c r="U507">
        <v>17555.689999999999</v>
      </c>
      <c r="V507">
        <v>13293.2</v>
      </c>
      <c r="W507">
        <v>4262.49</v>
      </c>
      <c r="X507" t="s">
        <v>32</v>
      </c>
      <c r="Y507" t="s">
        <v>68</v>
      </c>
      <c r="Z507" t="str">
        <f t="shared" si="98"/>
        <v>Unique</v>
      </c>
      <c r="AA507" t="str">
        <f t="shared" si="99"/>
        <v>Unique</v>
      </c>
      <c r="AB507" t="str">
        <f t="shared" si="103"/>
        <v>OK</v>
      </c>
      <c r="AC507">
        <f t="shared" si="104"/>
        <v>0.2</v>
      </c>
      <c r="AD507" t="str">
        <f t="shared" si="105"/>
        <v>OK</v>
      </c>
      <c r="AE507">
        <f t="shared" si="106"/>
        <v>17555.688000000002</v>
      </c>
      <c r="AF507">
        <f t="shared" si="107"/>
        <v>4262.4880000000012</v>
      </c>
      <c r="AG507">
        <f t="shared" si="108"/>
        <v>0.24279811762432785</v>
      </c>
      <c r="AH507" t="str">
        <f t="shared" si="100"/>
        <v>November</v>
      </c>
      <c r="AI507">
        <f t="shared" si="101"/>
        <v>2024</v>
      </c>
      <c r="AJ507" t="str">
        <f t="shared" si="109"/>
        <v>OK</v>
      </c>
      <c r="AK507" t="str">
        <f t="shared" si="110"/>
        <v>OK</v>
      </c>
      <c r="AL507" t="str">
        <f t="shared" si="111"/>
        <v>Exclude</v>
      </c>
      <c r="AM507" t="str">
        <f t="shared" si="102"/>
        <v>Clean</v>
      </c>
    </row>
    <row r="508" spans="1:39">
      <c r="A508" t="s">
        <v>1617</v>
      </c>
      <c r="B508" s="4">
        <v>45641</v>
      </c>
      <c r="C508" s="4">
        <v>45641</v>
      </c>
      <c r="D508" s="6">
        <v>0</v>
      </c>
      <c r="E508" t="s">
        <v>2788</v>
      </c>
      <c r="F508" t="s">
        <v>2788</v>
      </c>
      <c r="G508" t="s">
        <v>2788</v>
      </c>
      <c r="H508" t="s">
        <v>1618</v>
      </c>
      <c r="I508" t="s">
        <v>128</v>
      </c>
      <c r="J508" t="s">
        <v>37</v>
      </c>
      <c r="K508" t="s">
        <v>25</v>
      </c>
      <c r="L508" t="s">
        <v>122</v>
      </c>
      <c r="M508" t="s">
        <v>123</v>
      </c>
      <c r="N508" t="s">
        <v>41</v>
      </c>
      <c r="O508" t="s">
        <v>57</v>
      </c>
      <c r="P508" t="s">
        <v>1619</v>
      </c>
      <c r="Q508" t="s">
        <v>50</v>
      </c>
      <c r="R508">
        <v>2</v>
      </c>
      <c r="S508">
        <v>669.8</v>
      </c>
      <c r="T508">
        <v>0.1</v>
      </c>
      <c r="U508">
        <v>1205.6400000000001</v>
      </c>
      <c r="V508">
        <v>842.07</v>
      </c>
      <c r="W508">
        <v>363.57</v>
      </c>
      <c r="X508" t="s">
        <v>102</v>
      </c>
      <c r="Y508" t="s">
        <v>103</v>
      </c>
      <c r="Z508" t="str">
        <f t="shared" si="98"/>
        <v>Unique</v>
      </c>
      <c r="AA508" t="str">
        <f t="shared" si="99"/>
        <v>Unique</v>
      </c>
      <c r="AB508" t="str">
        <f t="shared" si="103"/>
        <v>OK</v>
      </c>
      <c r="AC508">
        <f t="shared" si="104"/>
        <v>0.1</v>
      </c>
      <c r="AD508" t="str">
        <f t="shared" si="105"/>
        <v>OK</v>
      </c>
      <c r="AE508">
        <f t="shared" si="106"/>
        <v>1205.6399999999999</v>
      </c>
      <c r="AF508">
        <f t="shared" si="107"/>
        <v>363.56999999999982</v>
      </c>
      <c r="AG508">
        <f t="shared" si="108"/>
        <v>0.30155767890912699</v>
      </c>
      <c r="AH508" t="str">
        <f t="shared" si="100"/>
        <v>December</v>
      </c>
      <c r="AI508">
        <f t="shared" si="101"/>
        <v>2024</v>
      </c>
      <c r="AJ508" t="str">
        <f t="shared" si="109"/>
        <v>OK</v>
      </c>
      <c r="AK508" t="str">
        <f t="shared" si="110"/>
        <v>OK</v>
      </c>
      <c r="AL508" t="str">
        <f t="shared" si="111"/>
        <v>Exclude</v>
      </c>
      <c r="AM508" t="str">
        <f t="shared" si="102"/>
        <v>Clean</v>
      </c>
    </row>
    <row r="509" spans="1:39">
      <c r="A509" t="s">
        <v>1620</v>
      </c>
      <c r="B509" s="4">
        <v>45762</v>
      </c>
      <c r="C509" s="4">
        <v>45769</v>
      </c>
      <c r="D509" s="6">
        <v>7</v>
      </c>
      <c r="E509" t="s">
        <v>2788</v>
      </c>
      <c r="F509" t="s">
        <v>2788</v>
      </c>
      <c r="G509" t="s">
        <v>2788</v>
      </c>
      <c r="H509" t="s">
        <v>1621</v>
      </c>
      <c r="I509" t="s">
        <v>47</v>
      </c>
      <c r="J509" t="s">
        <v>37</v>
      </c>
      <c r="K509" t="s">
        <v>25</v>
      </c>
      <c r="L509" t="s">
        <v>236</v>
      </c>
      <c r="M509" t="s">
        <v>237</v>
      </c>
      <c r="N509" t="s">
        <v>28</v>
      </c>
      <c r="O509" t="s">
        <v>153</v>
      </c>
      <c r="P509" t="s">
        <v>1622</v>
      </c>
      <c r="Q509" t="s">
        <v>44</v>
      </c>
      <c r="R509">
        <v>4</v>
      </c>
      <c r="S509">
        <v>2990.42</v>
      </c>
      <c r="T509">
        <v>0.25</v>
      </c>
      <c r="U509">
        <v>8971.26</v>
      </c>
      <c r="V509">
        <v>6814.35</v>
      </c>
      <c r="W509">
        <v>2156.91</v>
      </c>
      <c r="X509" t="s">
        <v>32</v>
      </c>
      <c r="Y509" t="s">
        <v>33</v>
      </c>
      <c r="Z509" t="str">
        <f t="shared" si="98"/>
        <v>Unique</v>
      </c>
      <c r="AA509" t="str">
        <f t="shared" si="99"/>
        <v>Unique</v>
      </c>
      <c r="AB509" t="str">
        <f t="shared" si="103"/>
        <v>OK</v>
      </c>
      <c r="AC509">
        <f t="shared" si="104"/>
        <v>0.25</v>
      </c>
      <c r="AD509" t="str">
        <f t="shared" si="105"/>
        <v>OK</v>
      </c>
      <c r="AE509">
        <f t="shared" si="106"/>
        <v>8971.26</v>
      </c>
      <c r="AF509">
        <f t="shared" si="107"/>
        <v>2156.91</v>
      </c>
      <c r="AG509">
        <f t="shared" si="108"/>
        <v>0.24042442198754688</v>
      </c>
      <c r="AH509" t="str">
        <f t="shared" si="100"/>
        <v>April</v>
      </c>
      <c r="AI509">
        <f t="shared" si="101"/>
        <v>2025</v>
      </c>
      <c r="AJ509" t="str">
        <f t="shared" si="109"/>
        <v>OK</v>
      </c>
      <c r="AK509" t="str">
        <f t="shared" si="110"/>
        <v>OK</v>
      </c>
      <c r="AL509" t="str">
        <f t="shared" si="111"/>
        <v>Include</v>
      </c>
      <c r="AM509" t="str">
        <f t="shared" si="102"/>
        <v>Clean</v>
      </c>
    </row>
    <row r="510" spans="1:39">
      <c r="A510" t="s">
        <v>1623</v>
      </c>
      <c r="B510" s="4">
        <v>45382</v>
      </c>
      <c r="C510" s="4">
        <v>45389</v>
      </c>
      <c r="D510" s="6">
        <v>7</v>
      </c>
      <c r="E510" t="s">
        <v>2788</v>
      </c>
      <c r="F510" t="s">
        <v>2788</v>
      </c>
      <c r="G510" t="s">
        <v>2788</v>
      </c>
      <c r="H510" t="s">
        <v>1624</v>
      </c>
      <c r="I510" t="s">
        <v>47</v>
      </c>
      <c r="J510" t="s">
        <v>37</v>
      </c>
      <c r="K510" t="s">
        <v>25</v>
      </c>
      <c r="L510" t="s">
        <v>236</v>
      </c>
      <c r="M510" t="s">
        <v>237</v>
      </c>
      <c r="N510" t="s">
        <v>74</v>
      </c>
      <c r="O510" t="s">
        <v>274</v>
      </c>
      <c r="P510" t="s">
        <v>1625</v>
      </c>
      <c r="Q510" t="s">
        <v>31</v>
      </c>
      <c r="R510">
        <v>4</v>
      </c>
      <c r="S510">
        <v>1831</v>
      </c>
      <c r="T510">
        <v>0</v>
      </c>
      <c r="U510">
        <v>7324</v>
      </c>
      <c r="V510">
        <v>4179.63</v>
      </c>
      <c r="W510">
        <v>3144.37</v>
      </c>
      <c r="X510" t="s">
        <v>32</v>
      </c>
      <c r="Y510" t="s">
        <v>33</v>
      </c>
      <c r="Z510" t="str">
        <f t="shared" si="98"/>
        <v>Unique</v>
      </c>
      <c r="AA510" t="str">
        <f t="shared" si="99"/>
        <v>Unique</v>
      </c>
      <c r="AB510" t="str">
        <f t="shared" si="103"/>
        <v>OK</v>
      </c>
      <c r="AC510">
        <f t="shared" si="104"/>
        <v>0</v>
      </c>
      <c r="AD510" t="str">
        <f t="shared" si="105"/>
        <v>OK</v>
      </c>
      <c r="AE510">
        <f t="shared" si="106"/>
        <v>7324</v>
      </c>
      <c r="AF510">
        <f t="shared" si="107"/>
        <v>3144.37</v>
      </c>
      <c r="AG510">
        <f t="shared" si="108"/>
        <v>0.42932413981430911</v>
      </c>
      <c r="AH510" t="str">
        <f t="shared" si="100"/>
        <v>March</v>
      </c>
      <c r="AI510">
        <f t="shared" si="101"/>
        <v>2024</v>
      </c>
      <c r="AJ510" t="str">
        <f t="shared" si="109"/>
        <v>OK</v>
      </c>
      <c r="AK510" t="str">
        <f t="shared" si="110"/>
        <v>OK</v>
      </c>
      <c r="AL510" t="str">
        <f t="shared" si="111"/>
        <v>Include</v>
      </c>
      <c r="AM510" t="str">
        <f t="shared" si="102"/>
        <v>Clean</v>
      </c>
    </row>
    <row r="511" spans="1:39">
      <c r="A511" t="s">
        <v>1626</v>
      </c>
      <c r="B511" s="4">
        <v>45789</v>
      </c>
      <c r="C511" s="4">
        <v>45791</v>
      </c>
      <c r="D511" s="6">
        <v>2</v>
      </c>
      <c r="E511" t="s">
        <v>2788</v>
      </c>
      <c r="F511" t="s">
        <v>2788</v>
      </c>
      <c r="G511" t="s">
        <v>2788</v>
      </c>
      <c r="H511" t="s">
        <v>1627</v>
      </c>
      <c r="I511" t="s">
        <v>79</v>
      </c>
      <c r="J511" t="s">
        <v>24</v>
      </c>
      <c r="K511" t="s">
        <v>63</v>
      </c>
      <c r="L511" t="s">
        <v>180</v>
      </c>
      <c r="M511" t="s">
        <v>181</v>
      </c>
      <c r="N511" t="s">
        <v>74</v>
      </c>
      <c r="O511" t="s">
        <v>274</v>
      </c>
      <c r="P511" t="s">
        <v>1628</v>
      </c>
      <c r="Q511" t="s">
        <v>44</v>
      </c>
      <c r="R511">
        <v>8</v>
      </c>
      <c r="S511">
        <v>3631.44</v>
      </c>
      <c r="T511">
        <v>0.2</v>
      </c>
      <c r="U511">
        <v>23241.22</v>
      </c>
      <c r="V511">
        <v>17220.900000000001</v>
      </c>
      <c r="W511">
        <v>6020.32</v>
      </c>
      <c r="X511" t="s">
        <v>32</v>
      </c>
      <c r="Y511" t="s">
        <v>33</v>
      </c>
      <c r="Z511" t="str">
        <f t="shared" si="98"/>
        <v>Unique</v>
      </c>
      <c r="AA511" t="str">
        <f t="shared" si="99"/>
        <v>Unique</v>
      </c>
      <c r="AB511" t="str">
        <f t="shared" si="103"/>
        <v>OK</v>
      </c>
      <c r="AC511">
        <f t="shared" si="104"/>
        <v>0.2</v>
      </c>
      <c r="AD511" t="str">
        <f t="shared" si="105"/>
        <v>OK</v>
      </c>
      <c r="AE511">
        <f t="shared" si="106"/>
        <v>23241.216</v>
      </c>
      <c r="AF511">
        <f t="shared" si="107"/>
        <v>6020.3159999999989</v>
      </c>
      <c r="AG511">
        <f t="shared" si="108"/>
        <v>0.25903618812371948</v>
      </c>
      <c r="AH511" t="str">
        <f t="shared" si="100"/>
        <v>May</v>
      </c>
      <c r="AI511">
        <f t="shared" si="101"/>
        <v>2025</v>
      </c>
      <c r="AJ511" t="str">
        <f t="shared" si="109"/>
        <v>OK</v>
      </c>
      <c r="AK511" t="str">
        <f t="shared" si="110"/>
        <v>OK</v>
      </c>
      <c r="AL511" t="str">
        <f t="shared" si="111"/>
        <v>Include</v>
      </c>
      <c r="AM511" t="str">
        <f t="shared" si="102"/>
        <v>Clean</v>
      </c>
    </row>
    <row r="512" spans="1:39">
      <c r="A512" t="s">
        <v>1629</v>
      </c>
      <c r="B512" s="4">
        <v>45583</v>
      </c>
      <c r="C512" s="4">
        <v>45586</v>
      </c>
      <c r="D512" s="6">
        <v>3</v>
      </c>
      <c r="E512" t="s">
        <v>2788</v>
      </c>
      <c r="F512" t="s">
        <v>2788</v>
      </c>
      <c r="G512" t="s">
        <v>2788</v>
      </c>
      <c r="H512" t="s">
        <v>1630</v>
      </c>
      <c r="I512" t="s">
        <v>128</v>
      </c>
      <c r="J512" t="s">
        <v>24</v>
      </c>
      <c r="K512" t="s">
        <v>54</v>
      </c>
      <c r="L512" t="s">
        <v>175</v>
      </c>
      <c r="M512" t="s">
        <v>176</v>
      </c>
      <c r="N512" t="s">
        <v>28</v>
      </c>
      <c r="O512" t="s">
        <v>124</v>
      </c>
      <c r="P512" t="s">
        <v>1631</v>
      </c>
      <c r="Q512" t="s">
        <v>31</v>
      </c>
      <c r="R512">
        <v>2</v>
      </c>
      <c r="S512">
        <v>4238.51</v>
      </c>
      <c r="T512">
        <v>0</v>
      </c>
      <c r="U512">
        <v>8477.02</v>
      </c>
      <c r="V512">
        <v>6884.96</v>
      </c>
      <c r="W512">
        <v>1592.06</v>
      </c>
      <c r="X512" t="s">
        <v>32</v>
      </c>
      <c r="Y512" t="s">
        <v>33</v>
      </c>
      <c r="Z512" t="str">
        <f t="shared" si="98"/>
        <v>Unique</v>
      </c>
      <c r="AA512" t="str">
        <f t="shared" si="99"/>
        <v>Unique</v>
      </c>
      <c r="AB512" t="str">
        <f t="shared" si="103"/>
        <v>OK</v>
      </c>
      <c r="AC512">
        <f t="shared" si="104"/>
        <v>0</v>
      </c>
      <c r="AD512" t="str">
        <f t="shared" si="105"/>
        <v>OK</v>
      </c>
      <c r="AE512">
        <f t="shared" si="106"/>
        <v>8477.02</v>
      </c>
      <c r="AF512">
        <f t="shared" si="107"/>
        <v>1592.0600000000004</v>
      </c>
      <c r="AG512">
        <f t="shared" si="108"/>
        <v>0.18780892341884298</v>
      </c>
      <c r="AH512" t="str">
        <f t="shared" si="100"/>
        <v>October</v>
      </c>
      <c r="AI512">
        <f t="shared" si="101"/>
        <v>2024</v>
      </c>
      <c r="AJ512" t="str">
        <f t="shared" si="109"/>
        <v>OK</v>
      </c>
      <c r="AK512" t="str">
        <f t="shared" si="110"/>
        <v>OK</v>
      </c>
      <c r="AL512" t="str">
        <f t="shared" si="111"/>
        <v>Include</v>
      </c>
      <c r="AM512" t="str">
        <f t="shared" si="102"/>
        <v>Clean</v>
      </c>
    </row>
    <row r="513" spans="1:39">
      <c r="A513" t="s">
        <v>1632</v>
      </c>
      <c r="B513" s="4">
        <v>45588</v>
      </c>
      <c r="C513" s="4">
        <v>45591</v>
      </c>
      <c r="D513" s="6">
        <v>3</v>
      </c>
      <c r="E513" t="s">
        <v>2788</v>
      </c>
      <c r="F513" t="s">
        <v>2788</v>
      </c>
      <c r="G513" t="s">
        <v>2788</v>
      </c>
      <c r="H513" t="s">
        <v>1633</v>
      </c>
      <c r="I513" t="s">
        <v>132</v>
      </c>
      <c r="J513" t="s">
        <v>24</v>
      </c>
      <c r="K513" t="s">
        <v>63</v>
      </c>
      <c r="L513" t="s">
        <v>72</v>
      </c>
      <c r="M513" t="s">
        <v>73</v>
      </c>
      <c r="N513" t="s">
        <v>41</v>
      </c>
      <c r="O513" t="s">
        <v>158</v>
      </c>
      <c r="P513" t="s">
        <v>1634</v>
      </c>
      <c r="Q513" t="s">
        <v>59</v>
      </c>
      <c r="R513">
        <v>9</v>
      </c>
      <c r="S513">
        <v>544.27</v>
      </c>
      <c r="T513">
        <v>0.25</v>
      </c>
      <c r="U513">
        <v>3673.82</v>
      </c>
      <c r="V513">
        <v>2088.15</v>
      </c>
      <c r="W513">
        <v>1585.67</v>
      </c>
      <c r="X513" t="s">
        <v>32</v>
      </c>
      <c r="Y513" t="s">
        <v>33</v>
      </c>
      <c r="Z513" t="str">
        <f t="shared" si="98"/>
        <v>Unique</v>
      </c>
      <c r="AA513" t="str">
        <f t="shared" si="99"/>
        <v>Unique</v>
      </c>
      <c r="AB513" t="str">
        <f t="shared" si="103"/>
        <v>OK</v>
      </c>
      <c r="AC513">
        <f t="shared" si="104"/>
        <v>0.25</v>
      </c>
      <c r="AD513" t="str">
        <f t="shared" si="105"/>
        <v>OK</v>
      </c>
      <c r="AE513">
        <f t="shared" si="106"/>
        <v>3673.8225000000002</v>
      </c>
      <c r="AF513">
        <f t="shared" si="107"/>
        <v>1585.6725000000001</v>
      </c>
      <c r="AG513">
        <f t="shared" si="108"/>
        <v>0.43161380278987349</v>
      </c>
      <c r="AH513" t="str">
        <f t="shared" si="100"/>
        <v>October</v>
      </c>
      <c r="AI513">
        <f t="shared" si="101"/>
        <v>2024</v>
      </c>
      <c r="AJ513" t="str">
        <f t="shared" si="109"/>
        <v>OK</v>
      </c>
      <c r="AK513" t="str">
        <f t="shared" si="110"/>
        <v>OK</v>
      </c>
      <c r="AL513" t="str">
        <f t="shared" si="111"/>
        <v>Include</v>
      </c>
      <c r="AM513" t="str">
        <f t="shared" si="102"/>
        <v>Clean</v>
      </c>
    </row>
    <row r="514" spans="1:39">
      <c r="A514" t="s">
        <v>1635</v>
      </c>
      <c r="B514" s="4">
        <v>45718</v>
      </c>
      <c r="C514" s="4">
        <v>45719</v>
      </c>
      <c r="D514" s="6">
        <v>1</v>
      </c>
      <c r="E514" t="s">
        <v>2788</v>
      </c>
      <c r="F514" t="s">
        <v>2788</v>
      </c>
      <c r="G514" t="s">
        <v>2788</v>
      </c>
      <c r="H514" t="s">
        <v>1247</v>
      </c>
      <c r="I514" t="s">
        <v>47</v>
      </c>
      <c r="J514" t="s">
        <v>90</v>
      </c>
      <c r="K514" t="s">
        <v>54</v>
      </c>
      <c r="L514" t="s">
        <v>185</v>
      </c>
      <c r="M514" t="s">
        <v>186</v>
      </c>
      <c r="N514" t="s">
        <v>28</v>
      </c>
      <c r="O514" t="s">
        <v>91</v>
      </c>
      <c r="P514" t="s">
        <v>1636</v>
      </c>
      <c r="Q514" t="s">
        <v>31</v>
      </c>
      <c r="R514">
        <v>2</v>
      </c>
      <c r="S514">
        <v>4031.45</v>
      </c>
      <c r="T514">
        <v>0.25</v>
      </c>
      <c r="U514">
        <v>6047.17</v>
      </c>
      <c r="V514">
        <v>3368.79</v>
      </c>
      <c r="W514">
        <v>2678.38</v>
      </c>
      <c r="X514" t="s">
        <v>32</v>
      </c>
      <c r="Y514" t="s">
        <v>33</v>
      </c>
      <c r="Z514" t="str">
        <f t="shared" ref="Z514:Z577" si="112">IF(COUNTIFS($A:$A,A514,$B:$B,B514,$C:$C,C514,$H:$H,H514,$U:$U,U514,$W:$W,W514)&gt;1,"Exact Duplicate","Unique")</f>
        <v>Unique</v>
      </c>
      <c r="AA514" t="str">
        <f t="shared" ref="AA514:AA577" si="113">IF(COUNTIF($A:$A,A514)&gt;1,"Duplicate Order ID","Unique")</f>
        <v>Unique</v>
      </c>
      <c r="AB514" t="str">
        <f t="shared" si="103"/>
        <v>OK</v>
      </c>
      <c r="AC514">
        <f t="shared" si="104"/>
        <v>0.25</v>
      </c>
      <c r="AD514" t="str">
        <f t="shared" si="105"/>
        <v>OK</v>
      </c>
      <c r="AE514">
        <f t="shared" si="106"/>
        <v>6047.1749999999993</v>
      </c>
      <c r="AF514">
        <f t="shared" si="107"/>
        <v>2678.3849999999993</v>
      </c>
      <c r="AG514">
        <f t="shared" si="108"/>
        <v>0.44291508018206843</v>
      </c>
      <c r="AH514" t="str">
        <f t="shared" ref="AH514:AH577" si="114">IFERROR(TEXT(B514,"mmmm"),"")</f>
        <v>March</v>
      </c>
      <c r="AI514">
        <f t="shared" ref="AI514:AI577" si="115">IFERROR(YEAR(B514),"")</f>
        <v>2025</v>
      </c>
      <c r="AJ514" t="str">
        <f t="shared" si="109"/>
        <v>OK</v>
      </c>
      <c r="AK514" t="str">
        <f t="shared" si="110"/>
        <v>OK</v>
      </c>
      <c r="AL514" t="str">
        <f t="shared" si="111"/>
        <v>Include</v>
      </c>
      <c r="AM514" t="str">
        <f t="shared" ref="AM514:AM577" si="116">IF(OR(E514&lt;&gt;"OK",F514&lt;&gt;"OK",AD514&lt;&gt;"OK",AB514="Conflicting Duplicate"),"Invalid",IF(OR(G514&lt;&gt;"OK",AJ514&lt;&gt;"OK",AK514&lt;&gt;"OK"),"Warning","Clean"))</f>
        <v>Clean</v>
      </c>
    </row>
    <row r="515" spans="1:39">
      <c r="A515" t="s">
        <v>1637</v>
      </c>
      <c r="B515" s="4">
        <v>45835</v>
      </c>
      <c r="C515" s="4">
        <v>45840</v>
      </c>
      <c r="D515" s="6">
        <v>5</v>
      </c>
      <c r="E515" t="s">
        <v>2788</v>
      </c>
      <c r="F515" t="s">
        <v>2788</v>
      </c>
      <c r="G515" t="s">
        <v>2788</v>
      </c>
      <c r="H515" t="s">
        <v>1638</v>
      </c>
      <c r="I515" t="s">
        <v>128</v>
      </c>
      <c r="J515" t="s">
        <v>90</v>
      </c>
      <c r="K515" t="s">
        <v>54</v>
      </c>
      <c r="L515" t="s">
        <v>185</v>
      </c>
      <c r="M515" t="s">
        <v>186</v>
      </c>
      <c r="N515" t="s">
        <v>74</v>
      </c>
      <c r="O515" t="s">
        <v>75</v>
      </c>
      <c r="P515" t="s">
        <v>1639</v>
      </c>
      <c r="Q515" t="s">
        <v>50</v>
      </c>
      <c r="R515">
        <v>6</v>
      </c>
      <c r="S515">
        <v>1099.49</v>
      </c>
      <c r="T515">
        <v>0.1</v>
      </c>
      <c r="U515">
        <v>6212.38</v>
      </c>
      <c r="V515">
        <v>4088.46</v>
      </c>
      <c r="W515">
        <v>1848.79</v>
      </c>
      <c r="X515" t="s">
        <v>32</v>
      </c>
      <c r="Y515" t="s">
        <v>33</v>
      </c>
      <c r="Z515" t="str">
        <f t="shared" si="112"/>
        <v>Unique</v>
      </c>
      <c r="AA515" t="str">
        <f t="shared" si="113"/>
        <v>Unique</v>
      </c>
      <c r="AB515" t="str">
        <f t="shared" ref="AB515:AB578" si="117">IF(AND(AA515="Duplicate Order ID",Z515&lt;&gt;"Exact Duplicate"),"Conflicting Duplicate","OK")</f>
        <v>OK</v>
      </c>
      <c r="AC515">
        <f t="shared" ref="AC515:AC578" si="118">IF(OR(T515="",ISBLANK(T515)),0,T515)</f>
        <v>0.1</v>
      </c>
      <c r="AD515" t="str">
        <f t="shared" ref="AD515:AD578" si="119">IF(AC515&lt;0,"Invalid Negative Discount",IF(AC515&gt;1,"Invalid High Discount","OK"))</f>
        <v>OK</v>
      </c>
      <c r="AE515">
        <f t="shared" ref="AE515:AE578" si="120">R515*S515*(1-AC515)</f>
        <v>5937.246000000001</v>
      </c>
      <c r="AF515">
        <f t="shared" ref="AF515:AF578" si="121">AE515-V515</f>
        <v>1848.786000000001</v>
      </c>
      <c r="AG515">
        <f t="shared" ref="AG515:AG578" si="122">IF(AE515=0,0,AF515/AE515)</f>
        <v>0.31138780505304997</v>
      </c>
      <c r="AH515" t="str">
        <f t="shared" si="114"/>
        <v>June</v>
      </c>
      <c r="AI515">
        <f t="shared" si="115"/>
        <v>2025</v>
      </c>
      <c r="AJ515" t="str">
        <f t="shared" ref="AJ515:AJ578" si="123">IF(ABS(U515-AE515)&gt;1,"Sales Mismatch","OK")</f>
        <v>Sales Mismatch</v>
      </c>
      <c r="AK515" t="str">
        <f t="shared" ref="AK515:AK578" si="124">IF(ABS(W515-AF515)&gt;1,"Profit Mismatch","OK")</f>
        <v>OK</v>
      </c>
      <c r="AL515" t="str">
        <f t="shared" ref="AL515:AL578" si="125">IF(AND(X515="Paid",Y515="Completed"),"Include","Exclude")</f>
        <v>Include</v>
      </c>
      <c r="AM515" t="str">
        <f t="shared" si="116"/>
        <v>Warning</v>
      </c>
    </row>
    <row r="516" spans="1:39">
      <c r="A516" t="s">
        <v>1640</v>
      </c>
      <c r="B516" s="4">
        <v>45614</v>
      </c>
      <c r="C516" s="4">
        <v>45618</v>
      </c>
      <c r="D516" s="6">
        <v>4</v>
      </c>
      <c r="E516" t="s">
        <v>2788</v>
      </c>
      <c r="F516" t="s">
        <v>2788</v>
      </c>
      <c r="G516" t="s">
        <v>2788</v>
      </c>
      <c r="H516" t="s">
        <v>1641</v>
      </c>
      <c r="I516" t="s">
        <v>23</v>
      </c>
      <c r="J516" t="s">
        <v>95</v>
      </c>
      <c r="K516" t="s">
        <v>54</v>
      </c>
      <c r="L516" t="s">
        <v>185</v>
      </c>
      <c r="M516" t="s">
        <v>186</v>
      </c>
      <c r="N516" t="s">
        <v>74</v>
      </c>
      <c r="O516" t="s">
        <v>75</v>
      </c>
      <c r="P516" t="s">
        <v>1642</v>
      </c>
      <c r="Q516" t="s">
        <v>59</v>
      </c>
      <c r="R516">
        <v>6</v>
      </c>
      <c r="S516">
        <v>3872.94</v>
      </c>
      <c r="T516">
        <v>0.1</v>
      </c>
      <c r="U516">
        <v>20913.88</v>
      </c>
      <c r="V516">
        <v>11684.68</v>
      </c>
      <c r="W516">
        <v>9229.2000000000007</v>
      </c>
      <c r="X516" t="s">
        <v>32</v>
      </c>
      <c r="Y516" t="s">
        <v>33</v>
      </c>
      <c r="Z516" t="str">
        <f t="shared" si="112"/>
        <v>Unique</v>
      </c>
      <c r="AA516" t="str">
        <f t="shared" si="113"/>
        <v>Unique</v>
      </c>
      <c r="AB516" t="str">
        <f t="shared" si="117"/>
        <v>OK</v>
      </c>
      <c r="AC516">
        <f t="shared" si="118"/>
        <v>0.1</v>
      </c>
      <c r="AD516" t="str">
        <f t="shared" si="119"/>
        <v>OK</v>
      </c>
      <c r="AE516">
        <f t="shared" si="120"/>
        <v>20913.876</v>
      </c>
      <c r="AF516">
        <f t="shared" si="121"/>
        <v>9229.1959999999999</v>
      </c>
      <c r="AG516">
        <f t="shared" si="122"/>
        <v>0.44129533903710627</v>
      </c>
      <c r="AH516" t="str">
        <f t="shared" si="114"/>
        <v>November</v>
      </c>
      <c r="AI516">
        <f t="shared" si="115"/>
        <v>2024</v>
      </c>
      <c r="AJ516" t="str">
        <f t="shared" si="123"/>
        <v>OK</v>
      </c>
      <c r="AK516" t="str">
        <f t="shared" si="124"/>
        <v>OK</v>
      </c>
      <c r="AL516" t="str">
        <f t="shared" si="125"/>
        <v>Include</v>
      </c>
      <c r="AM516" t="str">
        <f t="shared" si="116"/>
        <v>Clean</v>
      </c>
    </row>
    <row r="517" spans="1:39">
      <c r="A517" t="s">
        <v>1643</v>
      </c>
      <c r="B517" s="4">
        <v>45758</v>
      </c>
      <c r="C517" s="4">
        <v>45758</v>
      </c>
      <c r="D517" s="6">
        <v>0</v>
      </c>
      <c r="E517" t="s">
        <v>2788</v>
      </c>
      <c r="F517" t="s">
        <v>2788</v>
      </c>
      <c r="G517" t="s">
        <v>2788</v>
      </c>
      <c r="H517" t="s">
        <v>1644</v>
      </c>
      <c r="I517" t="s">
        <v>118</v>
      </c>
      <c r="J517" t="s">
        <v>90</v>
      </c>
      <c r="K517" t="s">
        <v>25</v>
      </c>
      <c r="L517" t="s">
        <v>350</v>
      </c>
      <c r="M517" t="s">
        <v>351</v>
      </c>
      <c r="N517" t="s">
        <v>28</v>
      </c>
      <c r="O517" t="s">
        <v>29</v>
      </c>
      <c r="P517" t="s">
        <v>1645</v>
      </c>
      <c r="Q517" t="s">
        <v>59</v>
      </c>
      <c r="R517">
        <v>1</v>
      </c>
      <c r="S517">
        <v>4458.49</v>
      </c>
      <c r="T517">
        <v>-7.0000000000000007E-2</v>
      </c>
      <c r="U517">
        <v>3566.79</v>
      </c>
      <c r="V517">
        <v>2083.41</v>
      </c>
      <c r="W517">
        <v>1483.38</v>
      </c>
      <c r="X517" t="s">
        <v>32</v>
      </c>
      <c r="Y517" t="s">
        <v>33</v>
      </c>
      <c r="Z517" t="str">
        <f t="shared" si="112"/>
        <v>Unique</v>
      </c>
      <c r="AA517" t="str">
        <f t="shared" si="113"/>
        <v>Unique</v>
      </c>
      <c r="AB517" t="str">
        <f t="shared" si="117"/>
        <v>OK</v>
      </c>
      <c r="AC517">
        <f t="shared" si="118"/>
        <v>-7.0000000000000007E-2</v>
      </c>
      <c r="AD517" t="str">
        <f t="shared" si="119"/>
        <v>Invalid Negative Discount</v>
      </c>
      <c r="AE517">
        <f t="shared" si="120"/>
        <v>4770.5843000000004</v>
      </c>
      <c r="AF517">
        <f t="shared" si="121"/>
        <v>2687.1743000000006</v>
      </c>
      <c r="AG517">
        <f t="shared" si="122"/>
        <v>0.56327991101635089</v>
      </c>
      <c r="AH517" t="str">
        <f t="shared" si="114"/>
        <v>April</v>
      </c>
      <c r="AI517">
        <f t="shared" si="115"/>
        <v>2025</v>
      </c>
      <c r="AJ517" t="str">
        <f t="shared" si="123"/>
        <v>Sales Mismatch</v>
      </c>
      <c r="AK517" t="str">
        <f t="shared" si="124"/>
        <v>Profit Mismatch</v>
      </c>
      <c r="AL517" t="str">
        <f t="shared" si="125"/>
        <v>Include</v>
      </c>
      <c r="AM517" t="str">
        <f t="shared" si="116"/>
        <v>Invalid</v>
      </c>
    </row>
    <row r="518" spans="1:39">
      <c r="A518" t="s">
        <v>1646</v>
      </c>
      <c r="B518" s="4">
        <v>45563</v>
      </c>
      <c r="C518" s="4">
        <v>45569</v>
      </c>
      <c r="D518" s="6">
        <v>6</v>
      </c>
      <c r="E518" t="s">
        <v>2788</v>
      </c>
      <c r="F518" t="s">
        <v>2788</v>
      </c>
      <c r="G518" t="s">
        <v>2788</v>
      </c>
      <c r="H518" t="s">
        <v>1647</v>
      </c>
      <c r="I518" t="s">
        <v>264</v>
      </c>
      <c r="J518" t="s">
        <v>95</v>
      </c>
      <c r="K518" t="s">
        <v>25</v>
      </c>
      <c r="L518" t="s">
        <v>350</v>
      </c>
      <c r="M518" t="s">
        <v>351</v>
      </c>
      <c r="N518" t="s">
        <v>74</v>
      </c>
      <c r="O518" t="s">
        <v>80</v>
      </c>
      <c r="P518" t="s">
        <v>1648</v>
      </c>
      <c r="Q518" t="s">
        <v>59</v>
      </c>
      <c r="R518">
        <v>1</v>
      </c>
      <c r="S518">
        <v>2233.1799999999998</v>
      </c>
      <c r="T518">
        <v>0</v>
      </c>
      <c r="U518">
        <v>2233.1799999999998</v>
      </c>
      <c r="V518">
        <v>1585.82</v>
      </c>
      <c r="W518">
        <v>647.36</v>
      </c>
      <c r="X518" t="s">
        <v>155</v>
      </c>
      <c r="Y518" t="s">
        <v>103</v>
      </c>
      <c r="Z518" t="str">
        <f t="shared" si="112"/>
        <v>Unique</v>
      </c>
      <c r="AA518" t="str">
        <f t="shared" si="113"/>
        <v>Unique</v>
      </c>
      <c r="AB518" t="str">
        <f t="shared" si="117"/>
        <v>OK</v>
      </c>
      <c r="AC518">
        <f t="shared" si="118"/>
        <v>0</v>
      </c>
      <c r="AD518" t="str">
        <f t="shared" si="119"/>
        <v>OK</v>
      </c>
      <c r="AE518">
        <f t="shared" si="120"/>
        <v>2233.1799999999998</v>
      </c>
      <c r="AF518">
        <f t="shared" si="121"/>
        <v>647.3599999999999</v>
      </c>
      <c r="AG518">
        <f t="shared" si="122"/>
        <v>0.28988258895386843</v>
      </c>
      <c r="AH518" t="str">
        <f t="shared" si="114"/>
        <v>September</v>
      </c>
      <c r="AI518">
        <f t="shared" si="115"/>
        <v>2024</v>
      </c>
      <c r="AJ518" t="str">
        <f t="shared" si="123"/>
        <v>OK</v>
      </c>
      <c r="AK518" t="str">
        <f t="shared" si="124"/>
        <v>OK</v>
      </c>
      <c r="AL518" t="str">
        <f t="shared" si="125"/>
        <v>Exclude</v>
      </c>
      <c r="AM518" t="str">
        <f t="shared" si="116"/>
        <v>Clean</v>
      </c>
    </row>
    <row r="519" spans="1:39">
      <c r="A519" t="s">
        <v>1649</v>
      </c>
      <c r="B519" s="4">
        <v>45802</v>
      </c>
      <c r="C519" s="4">
        <v>45804</v>
      </c>
      <c r="D519" s="6">
        <v>2</v>
      </c>
      <c r="E519" t="s">
        <v>2788</v>
      </c>
      <c r="F519" t="s">
        <v>2788</v>
      </c>
      <c r="G519" t="s">
        <v>2788</v>
      </c>
      <c r="H519" t="s">
        <v>1650</v>
      </c>
      <c r="I519" t="s">
        <v>118</v>
      </c>
      <c r="J519" t="s">
        <v>24</v>
      </c>
      <c r="K519" t="s">
        <v>38</v>
      </c>
      <c r="L519" t="s">
        <v>39</v>
      </c>
      <c r="M519" t="s">
        <v>40</v>
      </c>
      <c r="N519" t="s">
        <v>41</v>
      </c>
      <c r="O519" t="s">
        <v>57</v>
      </c>
      <c r="P519" t="s">
        <v>1651</v>
      </c>
      <c r="Q519" t="s">
        <v>31</v>
      </c>
      <c r="R519">
        <v>7</v>
      </c>
      <c r="S519">
        <v>2123.2800000000002</v>
      </c>
      <c r="T519">
        <v>0.2</v>
      </c>
      <c r="U519">
        <v>11890.37</v>
      </c>
      <c r="V519">
        <v>9234.5300000000007</v>
      </c>
      <c r="W519">
        <v>2655.84</v>
      </c>
      <c r="X519" t="s">
        <v>102</v>
      </c>
      <c r="Y519" t="s">
        <v>103</v>
      </c>
      <c r="Z519" t="str">
        <f t="shared" si="112"/>
        <v>Unique</v>
      </c>
      <c r="AA519" t="str">
        <f t="shared" si="113"/>
        <v>Unique</v>
      </c>
      <c r="AB519" t="str">
        <f t="shared" si="117"/>
        <v>OK</v>
      </c>
      <c r="AC519">
        <f t="shared" si="118"/>
        <v>0.2</v>
      </c>
      <c r="AD519" t="str">
        <f t="shared" si="119"/>
        <v>OK</v>
      </c>
      <c r="AE519">
        <f t="shared" si="120"/>
        <v>11890.368000000002</v>
      </c>
      <c r="AF519">
        <f t="shared" si="121"/>
        <v>2655.8380000000016</v>
      </c>
      <c r="AG519">
        <f t="shared" si="122"/>
        <v>0.22336045444514427</v>
      </c>
      <c r="AH519" t="str">
        <f t="shared" si="114"/>
        <v>May</v>
      </c>
      <c r="AI519">
        <f t="shared" si="115"/>
        <v>2025</v>
      </c>
      <c r="AJ519" t="str">
        <f t="shared" si="123"/>
        <v>OK</v>
      </c>
      <c r="AK519" t="str">
        <f t="shared" si="124"/>
        <v>OK</v>
      </c>
      <c r="AL519" t="str">
        <f t="shared" si="125"/>
        <v>Exclude</v>
      </c>
      <c r="AM519" t="str">
        <f t="shared" si="116"/>
        <v>Clean</v>
      </c>
    </row>
    <row r="520" spans="1:39">
      <c r="A520" t="s">
        <v>1652</v>
      </c>
      <c r="B520" s="4">
        <v>45777</v>
      </c>
      <c r="C520" s="4">
        <v>45773</v>
      </c>
      <c r="D520" s="6">
        <v>-4</v>
      </c>
      <c r="E520" t="s">
        <v>2788</v>
      </c>
      <c r="F520" t="s">
        <v>2788</v>
      </c>
      <c r="G520" t="s">
        <v>2790</v>
      </c>
      <c r="H520" t="s">
        <v>1653</v>
      </c>
      <c r="I520" t="s">
        <v>162</v>
      </c>
      <c r="J520" t="s">
        <v>90</v>
      </c>
      <c r="K520" t="s">
        <v>38</v>
      </c>
      <c r="L520" t="s">
        <v>39</v>
      </c>
      <c r="M520" t="s">
        <v>40</v>
      </c>
      <c r="N520" t="s">
        <v>41</v>
      </c>
      <c r="O520" t="s">
        <v>42</v>
      </c>
      <c r="P520" t="s">
        <v>1654</v>
      </c>
      <c r="Q520" t="s">
        <v>50</v>
      </c>
      <c r="R520">
        <v>7</v>
      </c>
      <c r="S520">
        <v>1604.13</v>
      </c>
      <c r="T520">
        <v>0.25</v>
      </c>
      <c r="U520">
        <v>8421.68</v>
      </c>
      <c r="V520">
        <v>6534.47</v>
      </c>
      <c r="W520">
        <v>1887.21</v>
      </c>
      <c r="X520" t="s">
        <v>32</v>
      </c>
      <c r="Y520" t="s">
        <v>68</v>
      </c>
      <c r="Z520" t="str">
        <f t="shared" si="112"/>
        <v>Unique</v>
      </c>
      <c r="AA520" t="str">
        <f t="shared" si="113"/>
        <v>Unique</v>
      </c>
      <c r="AB520" t="str">
        <f t="shared" si="117"/>
        <v>OK</v>
      </c>
      <c r="AC520">
        <f t="shared" si="118"/>
        <v>0.25</v>
      </c>
      <c r="AD520" t="str">
        <f t="shared" si="119"/>
        <v>OK</v>
      </c>
      <c r="AE520">
        <f t="shared" si="120"/>
        <v>8421.682499999999</v>
      </c>
      <c r="AF520">
        <f t="shared" si="121"/>
        <v>1887.2124999999987</v>
      </c>
      <c r="AG520">
        <f t="shared" si="122"/>
        <v>0.22408972316398759</v>
      </c>
      <c r="AH520" t="str">
        <f t="shared" si="114"/>
        <v>April</v>
      </c>
      <c r="AI520">
        <f t="shared" si="115"/>
        <v>2025</v>
      </c>
      <c r="AJ520" t="str">
        <f t="shared" si="123"/>
        <v>OK</v>
      </c>
      <c r="AK520" t="str">
        <f t="shared" si="124"/>
        <v>OK</v>
      </c>
      <c r="AL520" t="str">
        <f t="shared" si="125"/>
        <v>Exclude</v>
      </c>
      <c r="AM520" t="str">
        <f t="shared" si="116"/>
        <v>Warning</v>
      </c>
    </row>
    <row r="521" spans="1:39">
      <c r="A521" t="s">
        <v>1655</v>
      </c>
      <c r="B521" s="4">
        <v>45841</v>
      </c>
      <c r="C521" s="4">
        <v>45845</v>
      </c>
      <c r="D521" s="6">
        <v>4</v>
      </c>
      <c r="E521" t="s">
        <v>2788</v>
      </c>
      <c r="F521" t="s">
        <v>2788</v>
      </c>
      <c r="G521" t="s">
        <v>2788</v>
      </c>
      <c r="H521" t="s">
        <v>1656</v>
      </c>
      <c r="I521" t="s">
        <v>114</v>
      </c>
      <c r="J521" t="s">
        <v>24</v>
      </c>
      <c r="K521" t="s">
        <v>25</v>
      </c>
      <c r="L521" t="s">
        <v>136</v>
      </c>
      <c r="M521" t="s">
        <v>137</v>
      </c>
      <c r="N521" t="s">
        <v>41</v>
      </c>
      <c r="O521" t="s">
        <v>42</v>
      </c>
      <c r="P521" t="s">
        <v>1657</v>
      </c>
      <c r="Q521" t="s">
        <v>59</v>
      </c>
      <c r="R521">
        <v>4</v>
      </c>
      <c r="S521">
        <v>4365.21</v>
      </c>
      <c r="T521">
        <v>0.2</v>
      </c>
      <c r="U521">
        <v>13968.67</v>
      </c>
      <c r="V521">
        <v>8857.58</v>
      </c>
      <c r="W521">
        <v>5111.09</v>
      </c>
      <c r="X521" t="s">
        <v>111</v>
      </c>
      <c r="Y521" t="s">
        <v>68</v>
      </c>
      <c r="Z521" t="str">
        <f t="shared" si="112"/>
        <v>Unique</v>
      </c>
      <c r="AA521" t="str">
        <f t="shared" si="113"/>
        <v>Unique</v>
      </c>
      <c r="AB521" t="str">
        <f t="shared" si="117"/>
        <v>OK</v>
      </c>
      <c r="AC521">
        <f t="shared" si="118"/>
        <v>0.2</v>
      </c>
      <c r="AD521" t="str">
        <f t="shared" si="119"/>
        <v>OK</v>
      </c>
      <c r="AE521">
        <f t="shared" si="120"/>
        <v>13968.672</v>
      </c>
      <c r="AF521">
        <f t="shared" si="121"/>
        <v>5111.0920000000006</v>
      </c>
      <c r="AG521">
        <f t="shared" si="122"/>
        <v>0.36589677243477409</v>
      </c>
      <c r="AH521" t="str">
        <f t="shared" si="114"/>
        <v>July</v>
      </c>
      <c r="AI521">
        <f t="shared" si="115"/>
        <v>2025</v>
      </c>
      <c r="AJ521" t="str">
        <f t="shared" si="123"/>
        <v>OK</v>
      </c>
      <c r="AK521" t="str">
        <f t="shared" si="124"/>
        <v>OK</v>
      </c>
      <c r="AL521" t="str">
        <f t="shared" si="125"/>
        <v>Exclude</v>
      </c>
      <c r="AM521" t="str">
        <f t="shared" si="116"/>
        <v>Clean</v>
      </c>
    </row>
    <row r="522" spans="1:39">
      <c r="A522" t="s">
        <v>1658</v>
      </c>
      <c r="B522" s="4">
        <v>45489</v>
      </c>
      <c r="C522" s="4">
        <v>45496</v>
      </c>
      <c r="D522" s="6">
        <v>7</v>
      </c>
      <c r="E522" t="s">
        <v>2788</v>
      </c>
      <c r="F522" t="s">
        <v>2788</v>
      </c>
      <c r="G522" t="s">
        <v>2788</v>
      </c>
      <c r="H522" t="s">
        <v>1659</v>
      </c>
      <c r="I522" t="s">
        <v>128</v>
      </c>
      <c r="J522" t="s">
        <v>95</v>
      </c>
      <c r="K522" t="s">
        <v>54</v>
      </c>
      <c r="L522" t="s">
        <v>175</v>
      </c>
      <c r="M522" t="s">
        <v>176</v>
      </c>
      <c r="N522" t="s">
        <v>74</v>
      </c>
      <c r="O522" t="s">
        <v>274</v>
      </c>
      <c r="P522" t="s">
        <v>1660</v>
      </c>
      <c r="Q522" t="s">
        <v>44</v>
      </c>
      <c r="R522">
        <v>1</v>
      </c>
      <c r="S522">
        <v>1695.91</v>
      </c>
      <c r="T522">
        <v>0.05</v>
      </c>
      <c r="U522">
        <v>1611.11</v>
      </c>
      <c r="V522">
        <v>895.15</v>
      </c>
      <c r="W522">
        <v>715.96</v>
      </c>
      <c r="X522" t="s">
        <v>32</v>
      </c>
      <c r="Y522" t="s">
        <v>33</v>
      </c>
      <c r="Z522" t="str">
        <f t="shared" si="112"/>
        <v>Unique</v>
      </c>
      <c r="AA522" t="str">
        <f t="shared" si="113"/>
        <v>Unique</v>
      </c>
      <c r="AB522" t="str">
        <f t="shared" si="117"/>
        <v>OK</v>
      </c>
      <c r="AC522">
        <f t="shared" si="118"/>
        <v>0.05</v>
      </c>
      <c r="AD522" t="str">
        <f t="shared" si="119"/>
        <v>OK</v>
      </c>
      <c r="AE522">
        <f t="shared" si="120"/>
        <v>1611.1144999999999</v>
      </c>
      <c r="AF522">
        <f t="shared" si="121"/>
        <v>715.96449999999993</v>
      </c>
      <c r="AG522">
        <f t="shared" si="122"/>
        <v>0.44439082386757739</v>
      </c>
      <c r="AH522" t="str">
        <f t="shared" si="114"/>
        <v>July</v>
      </c>
      <c r="AI522">
        <f t="shared" si="115"/>
        <v>2024</v>
      </c>
      <c r="AJ522" t="str">
        <f t="shared" si="123"/>
        <v>OK</v>
      </c>
      <c r="AK522" t="str">
        <f t="shared" si="124"/>
        <v>OK</v>
      </c>
      <c r="AL522" t="str">
        <f t="shared" si="125"/>
        <v>Include</v>
      </c>
      <c r="AM522" t="str">
        <f t="shared" si="116"/>
        <v>Clean</v>
      </c>
    </row>
    <row r="523" spans="1:39">
      <c r="A523" t="s">
        <v>1661</v>
      </c>
      <c r="B523" s="4">
        <v>45741</v>
      </c>
      <c r="C523" s="4">
        <v>45748</v>
      </c>
      <c r="D523" s="6">
        <v>7</v>
      </c>
      <c r="E523" t="s">
        <v>2788</v>
      </c>
      <c r="F523" t="s">
        <v>2788</v>
      </c>
      <c r="G523" t="s">
        <v>2788</v>
      </c>
      <c r="H523" t="s">
        <v>1662</v>
      </c>
      <c r="I523" t="s">
        <v>162</v>
      </c>
      <c r="J523" t="s">
        <v>24</v>
      </c>
      <c r="K523" t="s">
        <v>25</v>
      </c>
      <c r="L523" t="s">
        <v>122</v>
      </c>
      <c r="M523" t="s">
        <v>123</v>
      </c>
      <c r="N523" t="s">
        <v>28</v>
      </c>
      <c r="O523" t="s">
        <v>91</v>
      </c>
      <c r="P523" t="s">
        <v>1663</v>
      </c>
      <c r="Q523" t="s">
        <v>31</v>
      </c>
      <c r="R523">
        <v>6</v>
      </c>
      <c r="S523">
        <v>2192.11</v>
      </c>
      <c r="T523">
        <v>0.05</v>
      </c>
      <c r="U523">
        <v>12495.03</v>
      </c>
      <c r="V523">
        <v>9184.52</v>
      </c>
      <c r="W523">
        <v>3310.51</v>
      </c>
      <c r="X523" t="s">
        <v>32</v>
      </c>
      <c r="Y523" t="s">
        <v>33</v>
      </c>
      <c r="Z523" t="str">
        <f t="shared" si="112"/>
        <v>Unique</v>
      </c>
      <c r="AA523" t="str">
        <f t="shared" si="113"/>
        <v>Unique</v>
      </c>
      <c r="AB523" t="str">
        <f t="shared" si="117"/>
        <v>OK</v>
      </c>
      <c r="AC523">
        <f t="shared" si="118"/>
        <v>0.05</v>
      </c>
      <c r="AD523" t="str">
        <f t="shared" si="119"/>
        <v>OK</v>
      </c>
      <c r="AE523">
        <f t="shared" si="120"/>
        <v>12495.027</v>
      </c>
      <c r="AF523">
        <f t="shared" si="121"/>
        <v>3310.5069999999996</v>
      </c>
      <c r="AG523">
        <f t="shared" si="122"/>
        <v>0.26494596610315446</v>
      </c>
      <c r="AH523" t="str">
        <f t="shared" si="114"/>
        <v>March</v>
      </c>
      <c r="AI523">
        <f t="shared" si="115"/>
        <v>2025</v>
      </c>
      <c r="AJ523" t="str">
        <f t="shared" si="123"/>
        <v>OK</v>
      </c>
      <c r="AK523" t="str">
        <f t="shared" si="124"/>
        <v>OK</v>
      </c>
      <c r="AL523" t="str">
        <f t="shared" si="125"/>
        <v>Include</v>
      </c>
      <c r="AM523" t="str">
        <f t="shared" si="116"/>
        <v>Clean</v>
      </c>
    </row>
    <row r="524" spans="1:39">
      <c r="A524" t="s">
        <v>1664</v>
      </c>
      <c r="B524" s="4">
        <v>45716</v>
      </c>
      <c r="C524" s="4">
        <v>45724</v>
      </c>
      <c r="D524" s="6">
        <v>8</v>
      </c>
      <c r="E524" t="s">
        <v>2788</v>
      </c>
      <c r="F524" t="s">
        <v>2788</v>
      </c>
      <c r="G524" t="s">
        <v>2788</v>
      </c>
      <c r="H524" t="s">
        <v>1665</v>
      </c>
      <c r="I524" t="s">
        <v>79</v>
      </c>
      <c r="J524" t="s">
        <v>37</v>
      </c>
      <c r="K524" t="s">
        <v>38</v>
      </c>
      <c r="L524" t="s">
        <v>228</v>
      </c>
      <c r="M524" t="s">
        <v>229</v>
      </c>
      <c r="N524" t="s">
        <v>74</v>
      </c>
      <c r="O524" t="s">
        <v>171</v>
      </c>
      <c r="P524" t="s">
        <v>1666</v>
      </c>
      <c r="Q524" t="s">
        <v>50</v>
      </c>
      <c r="R524">
        <v>9</v>
      </c>
      <c r="S524">
        <v>3670.54</v>
      </c>
      <c r="T524">
        <v>0</v>
      </c>
      <c r="U524">
        <v>33034.86</v>
      </c>
      <c r="V524">
        <v>24539.83</v>
      </c>
      <c r="W524">
        <v>8495.0300000000007</v>
      </c>
      <c r="X524" t="s">
        <v>32</v>
      </c>
      <c r="Y524" t="s">
        <v>33</v>
      </c>
      <c r="Z524" t="str">
        <f t="shared" si="112"/>
        <v>Unique</v>
      </c>
      <c r="AA524" t="str">
        <f t="shared" si="113"/>
        <v>Unique</v>
      </c>
      <c r="AB524" t="str">
        <f t="shared" si="117"/>
        <v>OK</v>
      </c>
      <c r="AC524">
        <f t="shared" si="118"/>
        <v>0</v>
      </c>
      <c r="AD524" t="str">
        <f t="shared" si="119"/>
        <v>OK</v>
      </c>
      <c r="AE524">
        <f t="shared" si="120"/>
        <v>33034.86</v>
      </c>
      <c r="AF524">
        <f t="shared" si="121"/>
        <v>8495.0299999999988</v>
      </c>
      <c r="AG524">
        <f t="shared" si="122"/>
        <v>0.25715350390466307</v>
      </c>
      <c r="AH524" t="str">
        <f t="shared" si="114"/>
        <v>February</v>
      </c>
      <c r="AI524">
        <f t="shared" si="115"/>
        <v>2025</v>
      </c>
      <c r="AJ524" t="str">
        <f t="shared" si="123"/>
        <v>OK</v>
      </c>
      <c r="AK524" t="str">
        <f t="shared" si="124"/>
        <v>OK</v>
      </c>
      <c r="AL524" t="str">
        <f t="shared" si="125"/>
        <v>Include</v>
      </c>
      <c r="AM524" t="str">
        <f t="shared" si="116"/>
        <v>Clean</v>
      </c>
    </row>
    <row r="525" spans="1:39">
      <c r="A525" t="s">
        <v>1667</v>
      </c>
      <c r="B525" s="4">
        <v>45384</v>
      </c>
      <c r="C525" s="4">
        <v>45385</v>
      </c>
      <c r="D525" s="6">
        <v>1</v>
      </c>
      <c r="E525" t="s">
        <v>2788</v>
      </c>
      <c r="F525" t="s">
        <v>2788</v>
      </c>
      <c r="G525" t="s">
        <v>2788</v>
      </c>
      <c r="H525" t="s">
        <v>1668</v>
      </c>
      <c r="I525" t="s">
        <v>264</v>
      </c>
      <c r="J525" t="s">
        <v>95</v>
      </c>
      <c r="K525" t="s">
        <v>63</v>
      </c>
      <c r="L525" t="s">
        <v>190</v>
      </c>
      <c r="M525" t="s">
        <v>191</v>
      </c>
      <c r="N525" t="s">
        <v>28</v>
      </c>
      <c r="O525" t="s">
        <v>29</v>
      </c>
      <c r="P525" t="s">
        <v>1669</v>
      </c>
      <c r="Q525" t="s">
        <v>31</v>
      </c>
      <c r="R525">
        <v>2</v>
      </c>
      <c r="S525">
        <v>2902.63</v>
      </c>
      <c r="T525">
        <v>0</v>
      </c>
      <c r="U525">
        <v>5805.26</v>
      </c>
      <c r="V525">
        <v>4654.3599999999997</v>
      </c>
      <c r="W525">
        <v>1150.9000000000001</v>
      </c>
      <c r="X525" t="s">
        <v>32</v>
      </c>
      <c r="Y525" t="s">
        <v>103</v>
      </c>
      <c r="Z525" t="str">
        <f t="shared" si="112"/>
        <v>Unique</v>
      </c>
      <c r="AA525" t="str">
        <f t="shared" si="113"/>
        <v>Unique</v>
      </c>
      <c r="AB525" t="str">
        <f t="shared" si="117"/>
        <v>OK</v>
      </c>
      <c r="AC525">
        <f t="shared" si="118"/>
        <v>0</v>
      </c>
      <c r="AD525" t="str">
        <f t="shared" si="119"/>
        <v>OK</v>
      </c>
      <c r="AE525">
        <f t="shared" si="120"/>
        <v>5805.26</v>
      </c>
      <c r="AF525">
        <f t="shared" si="121"/>
        <v>1150.9000000000005</v>
      </c>
      <c r="AG525">
        <f t="shared" si="122"/>
        <v>0.19825124111581574</v>
      </c>
      <c r="AH525" t="str">
        <f t="shared" si="114"/>
        <v>April</v>
      </c>
      <c r="AI525">
        <f t="shared" si="115"/>
        <v>2024</v>
      </c>
      <c r="AJ525" t="str">
        <f t="shared" si="123"/>
        <v>OK</v>
      </c>
      <c r="AK525" t="str">
        <f t="shared" si="124"/>
        <v>OK</v>
      </c>
      <c r="AL525" t="str">
        <f t="shared" si="125"/>
        <v>Exclude</v>
      </c>
      <c r="AM525" t="str">
        <f t="shared" si="116"/>
        <v>Clean</v>
      </c>
    </row>
    <row r="526" spans="1:39">
      <c r="A526" t="s">
        <v>1670</v>
      </c>
      <c r="B526" s="4">
        <v>45626</v>
      </c>
      <c r="C526" s="4">
        <v>45627</v>
      </c>
      <c r="D526" s="6">
        <v>1</v>
      </c>
      <c r="E526" t="s">
        <v>2788</v>
      </c>
      <c r="F526" t="s">
        <v>2788</v>
      </c>
      <c r="G526" t="s">
        <v>2788</v>
      </c>
      <c r="H526" t="s">
        <v>1671</v>
      </c>
      <c r="I526" t="s">
        <v>62</v>
      </c>
      <c r="J526" t="s">
        <v>90</v>
      </c>
      <c r="K526" t="s">
        <v>63</v>
      </c>
      <c r="L526" t="s">
        <v>180</v>
      </c>
      <c r="M526" t="s">
        <v>181</v>
      </c>
      <c r="N526" t="s">
        <v>41</v>
      </c>
      <c r="O526" t="s">
        <v>66</v>
      </c>
      <c r="P526" t="s">
        <v>1672</v>
      </c>
      <c r="Q526" t="s">
        <v>50</v>
      </c>
      <c r="R526">
        <v>9</v>
      </c>
      <c r="S526">
        <v>4207.3599999999997</v>
      </c>
      <c r="T526">
        <v>0.1</v>
      </c>
      <c r="U526">
        <v>34079.620000000003</v>
      </c>
      <c r="V526">
        <v>21871.39</v>
      </c>
      <c r="W526">
        <v>12208.23</v>
      </c>
      <c r="X526" t="s">
        <v>32</v>
      </c>
      <c r="Y526" t="s">
        <v>33</v>
      </c>
      <c r="Z526" t="str">
        <f t="shared" si="112"/>
        <v>Unique</v>
      </c>
      <c r="AA526" t="str">
        <f t="shared" si="113"/>
        <v>Unique</v>
      </c>
      <c r="AB526" t="str">
        <f t="shared" si="117"/>
        <v>OK</v>
      </c>
      <c r="AC526">
        <f t="shared" si="118"/>
        <v>0.1</v>
      </c>
      <c r="AD526" t="str">
        <f t="shared" si="119"/>
        <v>OK</v>
      </c>
      <c r="AE526">
        <f t="shared" si="120"/>
        <v>34079.616000000002</v>
      </c>
      <c r="AF526">
        <f t="shared" si="121"/>
        <v>12208.226000000002</v>
      </c>
      <c r="AG526">
        <f t="shared" si="122"/>
        <v>0.35822663025311091</v>
      </c>
      <c r="AH526" t="str">
        <f t="shared" si="114"/>
        <v>November</v>
      </c>
      <c r="AI526">
        <f t="shared" si="115"/>
        <v>2024</v>
      </c>
      <c r="AJ526" t="str">
        <f t="shared" si="123"/>
        <v>OK</v>
      </c>
      <c r="AK526" t="str">
        <f t="shared" si="124"/>
        <v>OK</v>
      </c>
      <c r="AL526" t="str">
        <f t="shared" si="125"/>
        <v>Include</v>
      </c>
      <c r="AM526" t="str">
        <f t="shared" si="116"/>
        <v>Clean</v>
      </c>
    </row>
    <row r="527" spans="1:39">
      <c r="A527" t="s">
        <v>1673</v>
      </c>
      <c r="B527" s="4">
        <v>45582</v>
      </c>
      <c r="C527" s="4">
        <v>45582</v>
      </c>
      <c r="D527" s="6">
        <v>0</v>
      </c>
      <c r="E527" t="s">
        <v>2788</v>
      </c>
      <c r="F527" t="s">
        <v>2788</v>
      </c>
      <c r="G527" t="s">
        <v>2788</v>
      </c>
      <c r="H527" t="s">
        <v>1674</v>
      </c>
      <c r="I527" t="s">
        <v>114</v>
      </c>
      <c r="J527" t="s">
        <v>95</v>
      </c>
      <c r="K527" t="s">
        <v>38</v>
      </c>
      <c r="L527" t="s">
        <v>99</v>
      </c>
      <c r="M527" t="s">
        <v>100</v>
      </c>
      <c r="N527" t="s">
        <v>41</v>
      </c>
      <c r="O527" t="s">
        <v>66</v>
      </c>
      <c r="P527" t="s">
        <v>1675</v>
      </c>
      <c r="Q527" t="s">
        <v>59</v>
      </c>
      <c r="R527">
        <v>5</v>
      </c>
      <c r="S527">
        <v>2524.4</v>
      </c>
      <c r="T527">
        <v>0.1</v>
      </c>
      <c r="U527">
        <v>11359.8</v>
      </c>
      <c r="V527">
        <v>7062.44</v>
      </c>
      <c r="W527">
        <v>4297.3599999999997</v>
      </c>
      <c r="X527" t="s">
        <v>32</v>
      </c>
      <c r="Y527" t="s">
        <v>33</v>
      </c>
      <c r="Z527" t="str">
        <f t="shared" si="112"/>
        <v>Unique</v>
      </c>
      <c r="AA527" t="str">
        <f t="shared" si="113"/>
        <v>Unique</v>
      </c>
      <c r="AB527" t="str">
        <f t="shared" si="117"/>
        <v>OK</v>
      </c>
      <c r="AC527">
        <f t="shared" si="118"/>
        <v>0.1</v>
      </c>
      <c r="AD527" t="str">
        <f t="shared" si="119"/>
        <v>OK</v>
      </c>
      <c r="AE527">
        <f t="shared" si="120"/>
        <v>11359.800000000001</v>
      </c>
      <c r="AF527">
        <f t="shared" si="121"/>
        <v>4297.3600000000015</v>
      </c>
      <c r="AG527">
        <f t="shared" si="122"/>
        <v>0.37829539252451638</v>
      </c>
      <c r="AH527" t="str">
        <f t="shared" si="114"/>
        <v>October</v>
      </c>
      <c r="AI527">
        <f t="shared" si="115"/>
        <v>2024</v>
      </c>
      <c r="AJ527" t="str">
        <f t="shared" si="123"/>
        <v>OK</v>
      </c>
      <c r="AK527" t="str">
        <f t="shared" si="124"/>
        <v>OK</v>
      </c>
      <c r="AL527" t="str">
        <f t="shared" si="125"/>
        <v>Include</v>
      </c>
      <c r="AM527" t="str">
        <f t="shared" si="116"/>
        <v>Clean</v>
      </c>
    </row>
    <row r="528" spans="1:39">
      <c r="A528" t="s">
        <v>1676</v>
      </c>
      <c r="B528" s="4">
        <v>45856</v>
      </c>
      <c r="C528" s="4">
        <v>45859</v>
      </c>
      <c r="D528" s="6">
        <v>3</v>
      </c>
      <c r="E528" t="s">
        <v>2788</v>
      </c>
      <c r="F528" t="s">
        <v>2788</v>
      </c>
      <c r="G528" t="s">
        <v>2788</v>
      </c>
      <c r="H528" t="s">
        <v>1677</v>
      </c>
      <c r="I528" t="s">
        <v>114</v>
      </c>
      <c r="J528" t="s">
        <v>24</v>
      </c>
      <c r="K528" t="s">
        <v>38</v>
      </c>
      <c r="L528" t="s">
        <v>39</v>
      </c>
      <c r="M528" t="s">
        <v>40</v>
      </c>
      <c r="N528" t="s">
        <v>41</v>
      </c>
      <c r="O528" t="s">
        <v>42</v>
      </c>
      <c r="P528" t="s">
        <v>1678</v>
      </c>
      <c r="Q528" t="s">
        <v>31</v>
      </c>
      <c r="R528">
        <v>4</v>
      </c>
      <c r="S528">
        <v>284.04000000000002</v>
      </c>
      <c r="U528">
        <v>908.93</v>
      </c>
      <c r="V528">
        <v>572.08000000000004</v>
      </c>
      <c r="W528">
        <v>336.85</v>
      </c>
      <c r="X528" t="s">
        <v>32</v>
      </c>
      <c r="Y528" t="s">
        <v>33</v>
      </c>
      <c r="Z528" t="str">
        <f t="shared" si="112"/>
        <v>Unique</v>
      </c>
      <c r="AA528" t="str">
        <f t="shared" si="113"/>
        <v>Unique</v>
      </c>
      <c r="AB528" t="str">
        <f t="shared" si="117"/>
        <v>OK</v>
      </c>
      <c r="AC528">
        <f t="shared" si="118"/>
        <v>0</v>
      </c>
      <c r="AD528" t="str">
        <f t="shared" si="119"/>
        <v>OK</v>
      </c>
      <c r="AE528">
        <f t="shared" si="120"/>
        <v>1136.1600000000001</v>
      </c>
      <c r="AF528">
        <f t="shared" si="121"/>
        <v>564.08000000000004</v>
      </c>
      <c r="AG528">
        <f t="shared" si="122"/>
        <v>0.49647936910294327</v>
      </c>
      <c r="AH528" t="str">
        <f t="shared" si="114"/>
        <v>July</v>
      </c>
      <c r="AI528">
        <f t="shared" si="115"/>
        <v>2025</v>
      </c>
      <c r="AJ528" t="str">
        <f t="shared" si="123"/>
        <v>Sales Mismatch</v>
      </c>
      <c r="AK528" t="str">
        <f t="shared" si="124"/>
        <v>Profit Mismatch</v>
      </c>
      <c r="AL528" t="str">
        <f t="shared" si="125"/>
        <v>Include</v>
      </c>
      <c r="AM528" t="str">
        <f t="shared" si="116"/>
        <v>Warning</v>
      </c>
    </row>
    <row r="529" spans="1:39">
      <c r="A529" t="s">
        <v>1679</v>
      </c>
      <c r="B529" s="4">
        <v>45931</v>
      </c>
      <c r="C529" s="4">
        <v>45935</v>
      </c>
      <c r="D529" s="6">
        <v>4</v>
      </c>
      <c r="E529" t="s">
        <v>2788</v>
      </c>
      <c r="F529" t="s">
        <v>2788</v>
      </c>
      <c r="G529" t="s">
        <v>2788</v>
      </c>
      <c r="H529" t="s">
        <v>1680</v>
      </c>
      <c r="I529" t="s">
        <v>89</v>
      </c>
      <c r="J529" t="s">
        <v>95</v>
      </c>
      <c r="K529" t="s">
        <v>25</v>
      </c>
      <c r="L529" t="s">
        <v>236</v>
      </c>
      <c r="M529" t="s">
        <v>237</v>
      </c>
      <c r="N529" t="s">
        <v>28</v>
      </c>
      <c r="O529" t="s">
        <v>29</v>
      </c>
      <c r="P529" t="s">
        <v>1681</v>
      </c>
      <c r="Q529" t="s">
        <v>50</v>
      </c>
      <c r="R529">
        <v>5</v>
      </c>
      <c r="S529">
        <v>3247.56</v>
      </c>
      <c r="T529">
        <v>0.15</v>
      </c>
      <c r="U529">
        <v>13802.13</v>
      </c>
      <c r="V529">
        <v>10075.93</v>
      </c>
      <c r="W529">
        <v>3726.2</v>
      </c>
      <c r="X529" t="s">
        <v>32</v>
      </c>
      <c r="Y529" t="s">
        <v>33</v>
      </c>
      <c r="Z529" t="str">
        <f t="shared" si="112"/>
        <v>Unique</v>
      </c>
      <c r="AA529" t="str">
        <f t="shared" si="113"/>
        <v>Unique</v>
      </c>
      <c r="AB529" t="str">
        <f t="shared" si="117"/>
        <v>OK</v>
      </c>
      <c r="AC529">
        <f t="shared" si="118"/>
        <v>0.15</v>
      </c>
      <c r="AD529" t="str">
        <f t="shared" si="119"/>
        <v>OK</v>
      </c>
      <c r="AE529">
        <f t="shared" si="120"/>
        <v>13802.13</v>
      </c>
      <c r="AF529">
        <f t="shared" si="121"/>
        <v>3726.1999999999989</v>
      </c>
      <c r="AG529">
        <f t="shared" si="122"/>
        <v>0.26997282303528508</v>
      </c>
      <c r="AH529" t="str">
        <f t="shared" si="114"/>
        <v>October</v>
      </c>
      <c r="AI529">
        <f t="shared" si="115"/>
        <v>2025</v>
      </c>
      <c r="AJ529" t="str">
        <f t="shared" si="123"/>
        <v>OK</v>
      </c>
      <c r="AK529" t="str">
        <f t="shared" si="124"/>
        <v>OK</v>
      </c>
      <c r="AL529" t="str">
        <f t="shared" si="125"/>
        <v>Include</v>
      </c>
      <c r="AM529" t="str">
        <f t="shared" si="116"/>
        <v>Clean</v>
      </c>
    </row>
    <row r="530" spans="1:39">
      <c r="A530" t="s">
        <v>1682</v>
      </c>
      <c r="B530" s="4">
        <v>45572</v>
      </c>
      <c r="C530" s="4">
        <v>45574</v>
      </c>
      <c r="D530" s="6">
        <v>2</v>
      </c>
      <c r="E530" t="s">
        <v>2788</v>
      </c>
      <c r="F530" t="s">
        <v>2788</v>
      </c>
      <c r="G530" t="s">
        <v>2788</v>
      </c>
      <c r="H530" t="s">
        <v>1683</v>
      </c>
      <c r="I530" t="s">
        <v>162</v>
      </c>
      <c r="J530" t="s">
        <v>24</v>
      </c>
      <c r="K530" t="s">
        <v>54</v>
      </c>
      <c r="L530" t="s">
        <v>247</v>
      </c>
      <c r="M530" t="s">
        <v>248</v>
      </c>
      <c r="N530" t="s">
        <v>28</v>
      </c>
      <c r="O530" t="s">
        <v>153</v>
      </c>
      <c r="P530" t="s">
        <v>1684</v>
      </c>
      <c r="Q530" t="s">
        <v>59</v>
      </c>
      <c r="R530">
        <v>9</v>
      </c>
      <c r="S530">
        <v>3457.09</v>
      </c>
      <c r="T530">
        <v>0.05</v>
      </c>
      <c r="U530">
        <v>29558.12</v>
      </c>
      <c r="V530">
        <v>21302.13</v>
      </c>
      <c r="W530">
        <v>8255.99</v>
      </c>
      <c r="X530" t="s">
        <v>111</v>
      </c>
      <c r="Y530" t="s">
        <v>103</v>
      </c>
      <c r="Z530" t="str">
        <f t="shared" si="112"/>
        <v>Unique</v>
      </c>
      <c r="AA530" t="str">
        <f t="shared" si="113"/>
        <v>Unique</v>
      </c>
      <c r="AB530" t="str">
        <f t="shared" si="117"/>
        <v>OK</v>
      </c>
      <c r="AC530">
        <f t="shared" si="118"/>
        <v>0.05</v>
      </c>
      <c r="AD530" t="str">
        <f t="shared" si="119"/>
        <v>OK</v>
      </c>
      <c r="AE530">
        <f t="shared" si="120"/>
        <v>29558.119500000001</v>
      </c>
      <c r="AF530">
        <f t="shared" si="121"/>
        <v>8255.9894999999997</v>
      </c>
      <c r="AG530">
        <f t="shared" si="122"/>
        <v>0.27931376013281223</v>
      </c>
      <c r="AH530" t="str">
        <f t="shared" si="114"/>
        <v>October</v>
      </c>
      <c r="AI530">
        <f t="shared" si="115"/>
        <v>2024</v>
      </c>
      <c r="AJ530" t="str">
        <f t="shared" si="123"/>
        <v>OK</v>
      </c>
      <c r="AK530" t="str">
        <f t="shared" si="124"/>
        <v>OK</v>
      </c>
      <c r="AL530" t="str">
        <f t="shared" si="125"/>
        <v>Exclude</v>
      </c>
      <c r="AM530" t="str">
        <f t="shared" si="116"/>
        <v>Clean</v>
      </c>
    </row>
    <row r="531" spans="1:39">
      <c r="A531" t="s">
        <v>1685</v>
      </c>
      <c r="B531" s="4">
        <v>45328</v>
      </c>
      <c r="C531" s="4">
        <v>45330</v>
      </c>
      <c r="D531" s="6">
        <v>2</v>
      </c>
      <c r="E531" t="s">
        <v>2788</v>
      </c>
      <c r="F531" t="s">
        <v>2788</v>
      </c>
      <c r="G531" t="s">
        <v>2788</v>
      </c>
      <c r="H531" t="s">
        <v>729</v>
      </c>
      <c r="I531" t="s">
        <v>23</v>
      </c>
      <c r="J531" t="s">
        <v>24</v>
      </c>
      <c r="K531" t="s">
        <v>38</v>
      </c>
      <c r="L531" t="s">
        <v>228</v>
      </c>
      <c r="M531" t="s">
        <v>229</v>
      </c>
      <c r="N531" t="s">
        <v>41</v>
      </c>
      <c r="O531" t="s">
        <v>158</v>
      </c>
      <c r="P531" t="s">
        <v>1686</v>
      </c>
      <c r="Q531" t="s">
        <v>31</v>
      </c>
      <c r="R531">
        <v>9</v>
      </c>
      <c r="S531">
        <v>1822.25</v>
      </c>
      <c r="T531">
        <v>0</v>
      </c>
      <c r="U531">
        <v>16400.25</v>
      </c>
      <c r="V531">
        <v>12146.96</v>
      </c>
      <c r="W531">
        <v>4253.29</v>
      </c>
      <c r="X531" t="s">
        <v>32</v>
      </c>
      <c r="Y531" t="s">
        <v>33</v>
      </c>
      <c r="Z531" t="str">
        <f t="shared" si="112"/>
        <v>Unique</v>
      </c>
      <c r="AA531" t="str">
        <f t="shared" si="113"/>
        <v>Unique</v>
      </c>
      <c r="AB531" t="str">
        <f t="shared" si="117"/>
        <v>OK</v>
      </c>
      <c r="AC531">
        <f t="shared" si="118"/>
        <v>0</v>
      </c>
      <c r="AD531" t="str">
        <f t="shared" si="119"/>
        <v>OK</v>
      </c>
      <c r="AE531">
        <f t="shared" si="120"/>
        <v>16400.25</v>
      </c>
      <c r="AF531">
        <f t="shared" si="121"/>
        <v>4253.2900000000009</v>
      </c>
      <c r="AG531">
        <f t="shared" si="122"/>
        <v>0.25934299782015524</v>
      </c>
      <c r="AH531" t="str">
        <f t="shared" si="114"/>
        <v>February</v>
      </c>
      <c r="AI531">
        <f t="shared" si="115"/>
        <v>2024</v>
      </c>
      <c r="AJ531" t="str">
        <f t="shared" si="123"/>
        <v>OK</v>
      </c>
      <c r="AK531" t="str">
        <f t="shared" si="124"/>
        <v>OK</v>
      </c>
      <c r="AL531" t="str">
        <f t="shared" si="125"/>
        <v>Include</v>
      </c>
      <c r="AM531" t="str">
        <f t="shared" si="116"/>
        <v>Clean</v>
      </c>
    </row>
    <row r="532" spans="1:39">
      <c r="A532" t="s">
        <v>1687</v>
      </c>
      <c r="B532" s="4">
        <v>45807</v>
      </c>
      <c r="C532" s="4">
        <v>45809</v>
      </c>
      <c r="D532" s="6">
        <v>2</v>
      </c>
      <c r="E532" t="s">
        <v>2788</v>
      </c>
      <c r="F532" t="s">
        <v>2788</v>
      </c>
      <c r="G532" t="s">
        <v>2788</v>
      </c>
      <c r="H532" t="s">
        <v>1688</v>
      </c>
      <c r="I532" t="s">
        <v>118</v>
      </c>
      <c r="J532" t="s">
        <v>95</v>
      </c>
      <c r="K532" t="s">
        <v>54</v>
      </c>
      <c r="L532" t="s">
        <v>247</v>
      </c>
      <c r="M532" t="s">
        <v>248</v>
      </c>
      <c r="N532" t="s">
        <v>28</v>
      </c>
      <c r="O532" t="s">
        <v>153</v>
      </c>
      <c r="P532" t="s">
        <v>1689</v>
      </c>
      <c r="Q532" t="s">
        <v>59</v>
      </c>
      <c r="R532">
        <v>9</v>
      </c>
      <c r="S532">
        <v>1994.51</v>
      </c>
      <c r="T532">
        <v>0.05</v>
      </c>
      <c r="U532">
        <v>17053.060000000001</v>
      </c>
      <c r="V532">
        <v>10742.38</v>
      </c>
      <c r="W532">
        <v>6310.68</v>
      </c>
      <c r="X532" t="s">
        <v>32</v>
      </c>
      <c r="Y532" t="s">
        <v>33</v>
      </c>
      <c r="Z532" t="str">
        <f t="shared" si="112"/>
        <v>Unique</v>
      </c>
      <c r="AA532" t="str">
        <f t="shared" si="113"/>
        <v>Unique</v>
      </c>
      <c r="AB532" t="str">
        <f t="shared" si="117"/>
        <v>OK</v>
      </c>
      <c r="AC532">
        <f t="shared" si="118"/>
        <v>0.05</v>
      </c>
      <c r="AD532" t="str">
        <f t="shared" si="119"/>
        <v>OK</v>
      </c>
      <c r="AE532">
        <f t="shared" si="120"/>
        <v>17053.0605</v>
      </c>
      <c r="AF532">
        <f t="shared" si="121"/>
        <v>6310.6805000000004</v>
      </c>
      <c r="AG532">
        <f t="shared" si="122"/>
        <v>0.37006146198801093</v>
      </c>
      <c r="AH532" t="str">
        <f t="shared" si="114"/>
        <v>May</v>
      </c>
      <c r="AI532">
        <f t="shared" si="115"/>
        <v>2025</v>
      </c>
      <c r="AJ532" t="str">
        <f t="shared" si="123"/>
        <v>OK</v>
      </c>
      <c r="AK532" t="str">
        <f t="shared" si="124"/>
        <v>OK</v>
      </c>
      <c r="AL532" t="str">
        <f t="shared" si="125"/>
        <v>Include</v>
      </c>
      <c r="AM532" t="str">
        <f t="shared" si="116"/>
        <v>Clean</v>
      </c>
    </row>
    <row r="533" spans="1:39">
      <c r="A533" t="s">
        <v>1690</v>
      </c>
      <c r="B533" s="4">
        <v>45505</v>
      </c>
      <c r="C533" s="4">
        <v>45512</v>
      </c>
      <c r="D533" s="6">
        <v>7</v>
      </c>
      <c r="E533" t="s">
        <v>2788</v>
      </c>
      <c r="F533" t="s">
        <v>2788</v>
      </c>
      <c r="G533" t="s">
        <v>2788</v>
      </c>
      <c r="H533" t="s">
        <v>1691</v>
      </c>
      <c r="I533" t="s">
        <v>162</v>
      </c>
      <c r="J533" t="s">
        <v>37</v>
      </c>
      <c r="K533" t="s">
        <v>63</v>
      </c>
      <c r="L533" t="s">
        <v>64</v>
      </c>
      <c r="M533" t="s">
        <v>65</v>
      </c>
      <c r="N533" t="s">
        <v>28</v>
      </c>
      <c r="O533" t="s">
        <v>124</v>
      </c>
      <c r="P533" t="s">
        <v>1692</v>
      </c>
      <c r="Q533" t="s">
        <v>2783</v>
      </c>
      <c r="R533">
        <v>1</v>
      </c>
      <c r="S533">
        <v>442.97</v>
      </c>
      <c r="T533">
        <v>0.1</v>
      </c>
      <c r="U533">
        <v>398.67</v>
      </c>
      <c r="V533">
        <v>311.66000000000003</v>
      </c>
      <c r="W533">
        <v>87.01</v>
      </c>
      <c r="X533" t="s">
        <v>32</v>
      </c>
      <c r="Y533" t="s">
        <v>33</v>
      </c>
      <c r="Z533" t="str">
        <f t="shared" si="112"/>
        <v>Unique</v>
      </c>
      <c r="AA533" t="str">
        <f t="shared" si="113"/>
        <v>Unique</v>
      </c>
      <c r="AB533" t="str">
        <f t="shared" si="117"/>
        <v>OK</v>
      </c>
      <c r="AC533">
        <f t="shared" si="118"/>
        <v>0.1</v>
      </c>
      <c r="AD533" t="str">
        <f t="shared" si="119"/>
        <v>OK</v>
      </c>
      <c r="AE533">
        <f t="shared" si="120"/>
        <v>398.67300000000006</v>
      </c>
      <c r="AF533">
        <f t="shared" si="121"/>
        <v>87.013000000000034</v>
      </c>
      <c r="AG533">
        <f t="shared" si="122"/>
        <v>0.21825656615822997</v>
      </c>
      <c r="AH533" t="str">
        <f t="shared" si="114"/>
        <v>August</v>
      </c>
      <c r="AI533">
        <f t="shared" si="115"/>
        <v>2024</v>
      </c>
      <c r="AJ533" t="str">
        <f t="shared" si="123"/>
        <v>OK</v>
      </c>
      <c r="AK533" t="str">
        <f t="shared" si="124"/>
        <v>OK</v>
      </c>
      <c r="AL533" t="str">
        <f t="shared" si="125"/>
        <v>Include</v>
      </c>
      <c r="AM533" t="str">
        <f t="shared" si="116"/>
        <v>Clean</v>
      </c>
    </row>
    <row r="534" spans="1:39">
      <c r="A534" t="s">
        <v>1693</v>
      </c>
      <c r="B534" s="4">
        <v>45935</v>
      </c>
      <c r="C534" s="4">
        <v>45940</v>
      </c>
      <c r="D534" s="6">
        <v>5</v>
      </c>
      <c r="E534" t="s">
        <v>2788</v>
      </c>
      <c r="F534" t="s">
        <v>2788</v>
      </c>
      <c r="G534" t="s">
        <v>2788</v>
      </c>
      <c r="H534" t="s">
        <v>1694</v>
      </c>
      <c r="I534" t="s">
        <v>114</v>
      </c>
      <c r="J534" t="s">
        <v>90</v>
      </c>
      <c r="K534" t="s">
        <v>38</v>
      </c>
      <c r="L534" t="s">
        <v>166</v>
      </c>
      <c r="M534" t="s">
        <v>167</v>
      </c>
      <c r="N534" t="s">
        <v>41</v>
      </c>
      <c r="O534" t="s">
        <v>42</v>
      </c>
      <c r="P534" t="s">
        <v>1695</v>
      </c>
      <c r="Q534" t="s">
        <v>31</v>
      </c>
      <c r="R534">
        <v>9</v>
      </c>
      <c r="S534">
        <v>2089.14</v>
      </c>
      <c r="T534">
        <v>0.05</v>
      </c>
      <c r="U534">
        <v>17862.150000000001</v>
      </c>
      <c r="V534">
        <v>9892.2099999999991</v>
      </c>
      <c r="W534">
        <v>7969.94</v>
      </c>
      <c r="X534" t="s">
        <v>155</v>
      </c>
      <c r="Y534" t="s">
        <v>68</v>
      </c>
      <c r="Z534" t="str">
        <f t="shared" si="112"/>
        <v>Unique</v>
      </c>
      <c r="AA534" t="str">
        <f t="shared" si="113"/>
        <v>Unique</v>
      </c>
      <c r="AB534" t="str">
        <f t="shared" si="117"/>
        <v>OK</v>
      </c>
      <c r="AC534">
        <f t="shared" si="118"/>
        <v>0.05</v>
      </c>
      <c r="AD534" t="str">
        <f t="shared" si="119"/>
        <v>OK</v>
      </c>
      <c r="AE534">
        <f t="shared" si="120"/>
        <v>17862.146999999997</v>
      </c>
      <c r="AF534">
        <f t="shared" si="121"/>
        <v>7969.9369999999981</v>
      </c>
      <c r="AG534">
        <f t="shared" si="122"/>
        <v>0.44619143488182017</v>
      </c>
      <c r="AH534" t="str">
        <f t="shared" si="114"/>
        <v>October</v>
      </c>
      <c r="AI534">
        <f t="shared" si="115"/>
        <v>2025</v>
      </c>
      <c r="AJ534" t="str">
        <f t="shared" si="123"/>
        <v>OK</v>
      </c>
      <c r="AK534" t="str">
        <f t="shared" si="124"/>
        <v>OK</v>
      </c>
      <c r="AL534" t="str">
        <f t="shared" si="125"/>
        <v>Exclude</v>
      </c>
      <c r="AM534" t="str">
        <f t="shared" si="116"/>
        <v>Clean</v>
      </c>
    </row>
    <row r="535" spans="1:39">
      <c r="A535" t="s">
        <v>1696</v>
      </c>
      <c r="B535" s="4">
        <v>45529</v>
      </c>
      <c r="C535" s="4">
        <v>45536</v>
      </c>
      <c r="D535" s="6">
        <v>7</v>
      </c>
      <c r="E535" t="s">
        <v>2788</v>
      </c>
      <c r="F535" t="s">
        <v>2788</v>
      </c>
      <c r="G535" t="s">
        <v>2788</v>
      </c>
      <c r="H535" t="s">
        <v>1697</v>
      </c>
      <c r="I535" t="s">
        <v>47</v>
      </c>
      <c r="J535" t="s">
        <v>95</v>
      </c>
      <c r="K535" t="s">
        <v>25</v>
      </c>
      <c r="L535" t="s">
        <v>26</v>
      </c>
      <c r="M535" t="s">
        <v>27</v>
      </c>
      <c r="N535" t="s">
        <v>41</v>
      </c>
      <c r="O535" t="s">
        <v>42</v>
      </c>
      <c r="P535" t="s">
        <v>1698</v>
      </c>
      <c r="Q535" t="s">
        <v>44</v>
      </c>
      <c r="R535">
        <v>6</v>
      </c>
      <c r="S535">
        <v>481.3</v>
      </c>
      <c r="T535">
        <v>0.25</v>
      </c>
      <c r="U535">
        <v>2165.85</v>
      </c>
      <c r="V535">
        <v>2124.48</v>
      </c>
      <c r="W535">
        <v>430.45</v>
      </c>
      <c r="X535" t="s">
        <v>32</v>
      </c>
      <c r="Y535" t="s">
        <v>33</v>
      </c>
      <c r="Z535" t="str">
        <f t="shared" si="112"/>
        <v>Unique</v>
      </c>
      <c r="AA535" t="str">
        <f t="shared" si="113"/>
        <v>Unique</v>
      </c>
      <c r="AB535" t="str">
        <f t="shared" si="117"/>
        <v>OK</v>
      </c>
      <c r="AC535">
        <f t="shared" si="118"/>
        <v>0.25</v>
      </c>
      <c r="AD535" t="str">
        <f t="shared" si="119"/>
        <v>OK</v>
      </c>
      <c r="AE535">
        <f t="shared" si="120"/>
        <v>2165.8500000000004</v>
      </c>
      <c r="AF535">
        <f t="shared" si="121"/>
        <v>41.370000000000346</v>
      </c>
      <c r="AG535">
        <f t="shared" si="122"/>
        <v>1.91010457787937E-2</v>
      </c>
      <c r="AH535" t="str">
        <f t="shared" si="114"/>
        <v>August</v>
      </c>
      <c r="AI535">
        <f t="shared" si="115"/>
        <v>2024</v>
      </c>
      <c r="AJ535" t="str">
        <f t="shared" si="123"/>
        <v>OK</v>
      </c>
      <c r="AK535" t="str">
        <f t="shared" si="124"/>
        <v>Profit Mismatch</v>
      </c>
      <c r="AL535" t="str">
        <f t="shared" si="125"/>
        <v>Include</v>
      </c>
      <c r="AM535" t="str">
        <f t="shared" si="116"/>
        <v>Warning</v>
      </c>
    </row>
    <row r="536" spans="1:39">
      <c r="A536" t="s">
        <v>1699</v>
      </c>
      <c r="B536" s="4">
        <v>45774</v>
      </c>
      <c r="C536" s="4">
        <v>45782</v>
      </c>
      <c r="D536" s="6">
        <v>8</v>
      </c>
      <c r="E536" t="s">
        <v>2788</v>
      </c>
      <c r="F536" t="s">
        <v>2788</v>
      </c>
      <c r="G536" t="s">
        <v>2788</v>
      </c>
      <c r="H536" t="s">
        <v>1700</v>
      </c>
      <c r="I536" t="s">
        <v>141</v>
      </c>
      <c r="J536" t="s">
        <v>95</v>
      </c>
      <c r="K536" t="s">
        <v>38</v>
      </c>
      <c r="L536" t="s">
        <v>145</v>
      </c>
      <c r="M536" t="s">
        <v>146</v>
      </c>
      <c r="N536" t="s">
        <v>74</v>
      </c>
      <c r="O536" t="s">
        <v>75</v>
      </c>
      <c r="P536" t="s">
        <v>1701</v>
      </c>
      <c r="Q536" t="s">
        <v>31</v>
      </c>
      <c r="R536">
        <v>4</v>
      </c>
      <c r="S536">
        <v>3963.39</v>
      </c>
      <c r="T536">
        <v>0.1</v>
      </c>
      <c r="U536">
        <v>14268.2</v>
      </c>
      <c r="V536">
        <v>11705.3</v>
      </c>
      <c r="W536">
        <v>2562.9</v>
      </c>
      <c r="X536" t="s">
        <v>111</v>
      </c>
      <c r="Y536" t="s">
        <v>103</v>
      </c>
      <c r="Z536" t="str">
        <f t="shared" si="112"/>
        <v>Unique</v>
      </c>
      <c r="AA536" t="str">
        <f t="shared" si="113"/>
        <v>Unique</v>
      </c>
      <c r="AB536" t="str">
        <f t="shared" si="117"/>
        <v>OK</v>
      </c>
      <c r="AC536">
        <f t="shared" si="118"/>
        <v>0.1</v>
      </c>
      <c r="AD536" t="str">
        <f t="shared" si="119"/>
        <v>OK</v>
      </c>
      <c r="AE536">
        <f t="shared" si="120"/>
        <v>14268.204</v>
      </c>
      <c r="AF536">
        <f t="shared" si="121"/>
        <v>2562.9040000000005</v>
      </c>
      <c r="AG536">
        <f t="shared" si="122"/>
        <v>0.17962344805274724</v>
      </c>
      <c r="AH536" t="str">
        <f t="shared" si="114"/>
        <v>April</v>
      </c>
      <c r="AI536">
        <f t="shared" si="115"/>
        <v>2025</v>
      </c>
      <c r="AJ536" t="str">
        <f t="shared" si="123"/>
        <v>OK</v>
      </c>
      <c r="AK536" t="str">
        <f t="shared" si="124"/>
        <v>OK</v>
      </c>
      <c r="AL536" t="str">
        <f t="shared" si="125"/>
        <v>Exclude</v>
      </c>
      <c r="AM536" t="str">
        <f t="shared" si="116"/>
        <v>Clean</v>
      </c>
    </row>
    <row r="537" spans="1:39">
      <c r="A537" t="s">
        <v>1702</v>
      </c>
      <c r="B537" s="4">
        <v>45431</v>
      </c>
      <c r="C537" s="4">
        <v>45433</v>
      </c>
      <c r="D537" s="6">
        <v>2</v>
      </c>
      <c r="E537" t="s">
        <v>2788</v>
      </c>
      <c r="F537" t="s">
        <v>2788</v>
      </c>
      <c r="G537" t="s">
        <v>2788</v>
      </c>
      <c r="H537" t="s">
        <v>1703</v>
      </c>
      <c r="I537" t="s">
        <v>162</v>
      </c>
      <c r="J537" t="s">
        <v>37</v>
      </c>
      <c r="K537" t="s">
        <v>63</v>
      </c>
      <c r="L537" t="s">
        <v>64</v>
      </c>
      <c r="M537" t="s">
        <v>65</v>
      </c>
      <c r="N537" t="s">
        <v>74</v>
      </c>
      <c r="O537" t="s">
        <v>80</v>
      </c>
      <c r="P537" t="s">
        <v>1704</v>
      </c>
      <c r="Q537" t="s">
        <v>50</v>
      </c>
      <c r="R537">
        <v>3</v>
      </c>
      <c r="S537">
        <v>4000.98</v>
      </c>
      <c r="T537">
        <v>0.2</v>
      </c>
      <c r="U537">
        <v>9602.35</v>
      </c>
      <c r="V537">
        <v>7387.57</v>
      </c>
      <c r="W537">
        <v>2214.7800000000002</v>
      </c>
      <c r="X537" t="s">
        <v>32</v>
      </c>
      <c r="Y537" t="s">
        <v>33</v>
      </c>
      <c r="Z537" t="str">
        <f t="shared" si="112"/>
        <v>Unique</v>
      </c>
      <c r="AA537" t="str">
        <f t="shared" si="113"/>
        <v>Unique</v>
      </c>
      <c r="AB537" t="str">
        <f t="shared" si="117"/>
        <v>OK</v>
      </c>
      <c r="AC537">
        <f t="shared" si="118"/>
        <v>0.2</v>
      </c>
      <c r="AD537" t="str">
        <f t="shared" si="119"/>
        <v>OK</v>
      </c>
      <c r="AE537">
        <f t="shared" si="120"/>
        <v>9602.3520000000008</v>
      </c>
      <c r="AF537">
        <f t="shared" si="121"/>
        <v>2214.7820000000011</v>
      </c>
      <c r="AG537">
        <f t="shared" si="122"/>
        <v>0.23064994909580494</v>
      </c>
      <c r="AH537" t="str">
        <f t="shared" si="114"/>
        <v>May</v>
      </c>
      <c r="AI537">
        <f t="shared" si="115"/>
        <v>2024</v>
      </c>
      <c r="AJ537" t="str">
        <f t="shared" si="123"/>
        <v>OK</v>
      </c>
      <c r="AK537" t="str">
        <f t="shared" si="124"/>
        <v>OK</v>
      </c>
      <c r="AL537" t="str">
        <f t="shared" si="125"/>
        <v>Include</v>
      </c>
      <c r="AM537" t="str">
        <f t="shared" si="116"/>
        <v>Clean</v>
      </c>
    </row>
    <row r="538" spans="1:39">
      <c r="A538" t="s">
        <v>1705</v>
      </c>
      <c r="B538" s="4">
        <v>45757</v>
      </c>
      <c r="C538" s="4">
        <v>45764</v>
      </c>
      <c r="D538" s="6">
        <v>7</v>
      </c>
      <c r="E538" t="s">
        <v>2788</v>
      </c>
      <c r="F538" t="s">
        <v>2788</v>
      </c>
      <c r="G538" t="s">
        <v>2788</v>
      </c>
      <c r="H538" t="s">
        <v>1706</v>
      </c>
      <c r="I538" t="s">
        <v>62</v>
      </c>
      <c r="J538" t="s">
        <v>37</v>
      </c>
      <c r="K538" t="s">
        <v>63</v>
      </c>
      <c r="L538" t="s">
        <v>26</v>
      </c>
      <c r="M538" t="s">
        <v>109</v>
      </c>
      <c r="N538" t="s">
        <v>41</v>
      </c>
      <c r="O538" t="s">
        <v>66</v>
      </c>
      <c r="P538" t="s">
        <v>1707</v>
      </c>
      <c r="Q538" t="s">
        <v>50</v>
      </c>
      <c r="R538">
        <v>7</v>
      </c>
      <c r="S538">
        <v>3788.9</v>
      </c>
      <c r="T538">
        <v>0.25</v>
      </c>
      <c r="U538">
        <v>19891.72</v>
      </c>
      <c r="V538">
        <v>12295.76</v>
      </c>
      <c r="W538">
        <v>7595.96</v>
      </c>
      <c r="X538" t="s">
        <v>155</v>
      </c>
      <c r="Y538" t="s">
        <v>68</v>
      </c>
      <c r="Z538" t="str">
        <f t="shared" si="112"/>
        <v>Unique</v>
      </c>
      <c r="AA538" t="str">
        <f t="shared" si="113"/>
        <v>Unique</v>
      </c>
      <c r="AB538" t="str">
        <f t="shared" si="117"/>
        <v>OK</v>
      </c>
      <c r="AC538">
        <f t="shared" si="118"/>
        <v>0.25</v>
      </c>
      <c r="AD538" t="str">
        <f t="shared" si="119"/>
        <v>OK</v>
      </c>
      <c r="AE538">
        <f t="shared" si="120"/>
        <v>19891.724999999999</v>
      </c>
      <c r="AF538">
        <f t="shared" si="121"/>
        <v>7595.9649999999983</v>
      </c>
      <c r="AG538">
        <f t="shared" si="122"/>
        <v>0.38186557475533162</v>
      </c>
      <c r="AH538" t="str">
        <f t="shared" si="114"/>
        <v>April</v>
      </c>
      <c r="AI538">
        <f t="shared" si="115"/>
        <v>2025</v>
      </c>
      <c r="AJ538" t="str">
        <f t="shared" si="123"/>
        <v>OK</v>
      </c>
      <c r="AK538" t="str">
        <f t="shared" si="124"/>
        <v>OK</v>
      </c>
      <c r="AL538" t="str">
        <f t="shared" si="125"/>
        <v>Exclude</v>
      </c>
      <c r="AM538" t="str">
        <f t="shared" si="116"/>
        <v>Clean</v>
      </c>
    </row>
    <row r="539" spans="1:39">
      <c r="A539" t="s">
        <v>1708</v>
      </c>
      <c r="B539" s="4">
        <v>45313</v>
      </c>
      <c r="C539" s="4">
        <v>45321</v>
      </c>
      <c r="D539" s="6">
        <v>8</v>
      </c>
      <c r="E539" t="s">
        <v>2788</v>
      </c>
      <c r="F539" t="s">
        <v>2788</v>
      </c>
      <c r="G539" t="s">
        <v>2788</v>
      </c>
      <c r="H539" t="s">
        <v>1709</v>
      </c>
      <c r="I539" t="s">
        <v>62</v>
      </c>
      <c r="J539" t="s">
        <v>37</v>
      </c>
      <c r="K539" t="s">
        <v>25</v>
      </c>
      <c r="L539" t="s">
        <v>236</v>
      </c>
      <c r="M539" t="s">
        <v>237</v>
      </c>
      <c r="N539" t="s">
        <v>28</v>
      </c>
      <c r="O539" t="s">
        <v>48</v>
      </c>
      <c r="P539" t="s">
        <v>1710</v>
      </c>
      <c r="Q539" t="s">
        <v>44</v>
      </c>
      <c r="R539">
        <v>3</v>
      </c>
      <c r="S539">
        <v>676.37</v>
      </c>
      <c r="T539">
        <v>0.05</v>
      </c>
      <c r="U539">
        <v>1927.65</v>
      </c>
      <c r="V539">
        <v>1460.6</v>
      </c>
      <c r="W539">
        <v>467.05</v>
      </c>
      <c r="X539" t="s">
        <v>155</v>
      </c>
      <c r="Y539" t="s">
        <v>68</v>
      </c>
      <c r="Z539" t="str">
        <f t="shared" si="112"/>
        <v>Unique</v>
      </c>
      <c r="AA539" t="str">
        <f t="shared" si="113"/>
        <v>Unique</v>
      </c>
      <c r="AB539" t="str">
        <f t="shared" si="117"/>
        <v>OK</v>
      </c>
      <c r="AC539">
        <f t="shared" si="118"/>
        <v>0.05</v>
      </c>
      <c r="AD539" t="str">
        <f t="shared" si="119"/>
        <v>OK</v>
      </c>
      <c r="AE539">
        <f t="shared" si="120"/>
        <v>1927.6545000000001</v>
      </c>
      <c r="AF539">
        <f t="shared" si="121"/>
        <v>467.05450000000019</v>
      </c>
      <c r="AG539">
        <f t="shared" si="122"/>
        <v>0.24229160360427668</v>
      </c>
      <c r="AH539" t="str">
        <f t="shared" si="114"/>
        <v>January</v>
      </c>
      <c r="AI539">
        <f t="shared" si="115"/>
        <v>2024</v>
      </c>
      <c r="AJ539" t="str">
        <f t="shared" si="123"/>
        <v>OK</v>
      </c>
      <c r="AK539" t="str">
        <f t="shared" si="124"/>
        <v>OK</v>
      </c>
      <c r="AL539" t="str">
        <f t="shared" si="125"/>
        <v>Exclude</v>
      </c>
      <c r="AM539" t="str">
        <f t="shared" si="116"/>
        <v>Clean</v>
      </c>
    </row>
    <row r="540" spans="1:39">
      <c r="A540" t="s">
        <v>1711</v>
      </c>
      <c r="B540" s="4">
        <v>45560</v>
      </c>
      <c r="C540" s="4">
        <v>45566</v>
      </c>
      <c r="D540" s="6">
        <v>6</v>
      </c>
      <c r="E540" t="s">
        <v>2788</v>
      </c>
      <c r="F540" t="s">
        <v>2788</v>
      </c>
      <c r="G540" t="s">
        <v>2788</v>
      </c>
      <c r="H540" t="s">
        <v>1712</v>
      </c>
      <c r="I540" t="s">
        <v>162</v>
      </c>
      <c r="J540" t="s">
        <v>37</v>
      </c>
      <c r="K540" t="s">
        <v>38</v>
      </c>
      <c r="L540" t="s">
        <v>228</v>
      </c>
      <c r="M540" t="s">
        <v>229</v>
      </c>
      <c r="N540" t="s">
        <v>41</v>
      </c>
      <c r="O540" t="s">
        <v>42</v>
      </c>
      <c r="P540" t="s">
        <v>1713</v>
      </c>
      <c r="Q540" t="s">
        <v>31</v>
      </c>
      <c r="R540">
        <v>9</v>
      </c>
      <c r="S540">
        <v>3908.6</v>
      </c>
      <c r="T540">
        <v>0.15</v>
      </c>
      <c r="U540">
        <v>29900.79</v>
      </c>
      <c r="V540">
        <v>24650.67</v>
      </c>
      <c r="W540">
        <v>5250.12</v>
      </c>
      <c r="X540" t="s">
        <v>32</v>
      </c>
      <c r="Y540" t="s">
        <v>33</v>
      </c>
      <c r="Z540" t="str">
        <f t="shared" si="112"/>
        <v>Unique</v>
      </c>
      <c r="AA540" t="str">
        <f t="shared" si="113"/>
        <v>Unique</v>
      </c>
      <c r="AB540" t="str">
        <f t="shared" si="117"/>
        <v>OK</v>
      </c>
      <c r="AC540">
        <f t="shared" si="118"/>
        <v>0.15</v>
      </c>
      <c r="AD540" t="str">
        <f t="shared" si="119"/>
        <v>OK</v>
      </c>
      <c r="AE540">
        <f t="shared" si="120"/>
        <v>29900.79</v>
      </c>
      <c r="AF540">
        <f t="shared" si="121"/>
        <v>5250.1200000000026</v>
      </c>
      <c r="AG540">
        <f t="shared" si="122"/>
        <v>0.17558465846554563</v>
      </c>
      <c r="AH540" t="str">
        <f t="shared" si="114"/>
        <v>September</v>
      </c>
      <c r="AI540">
        <f t="shared" si="115"/>
        <v>2024</v>
      </c>
      <c r="AJ540" t="str">
        <f t="shared" si="123"/>
        <v>OK</v>
      </c>
      <c r="AK540" t="str">
        <f t="shared" si="124"/>
        <v>OK</v>
      </c>
      <c r="AL540" t="str">
        <f t="shared" si="125"/>
        <v>Include</v>
      </c>
      <c r="AM540" t="str">
        <f t="shared" si="116"/>
        <v>Clean</v>
      </c>
    </row>
    <row r="541" spans="1:39">
      <c r="A541" t="s">
        <v>1714</v>
      </c>
      <c r="B541" s="4">
        <v>45842</v>
      </c>
      <c r="C541" s="4">
        <v>45842</v>
      </c>
      <c r="D541" s="6">
        <v>0</v>
      </c>
      <c r="E541" t="s">
        <v>2788</v>
      </c>
      <c r="F541" t="s">
        <v>2788</v>
      </c>
      <c r="G541" t="s">
        <v>2788</v>
      </c>
      <c r="H541" t="s">
        <v>1715</v>
      </c>
      <c r="I541" t="s">
        <v>36</v>
      </c>
      <c r="J541" t="s">
        <v>37</v>
      </c>
      <c r="K541" t="s">
        <v>54</v>
      </c>
      <c r="L541" t="s">
        <v>247</v>
      </c>
      <c r="M541" t="s">
        <v>248</v>
      </c>
      <c r="N541" t="s">
        <v>41</v>
      </c>
      <c r="O541" t="s">
        <v>66</v>
      </c>
      <c r="P541" t="s">
        <v>1716</v>
      </c>
      <c r="Q541" t="s">
        <v>59</v>
      </c>
      <c r="R541">
        <v>3</v>
      </c>
      <c r="S541">
        <v>705.35</v>
      </c>
      <c r="T541">
        <v>0.1</v>
      </c>
      <c r="U541">
        <v>1904.45</v>
      </c>
      <c r="V541">
        <v>1316.54</v>
      </c>
      <c r="W541">
        <v>587.91</v>
      </c>
      <c r="X541" t="s">
        <v>32</v>
      </c>
      <c r="Y541" t="s">
        <v>68</v>
      </c>
      <c r="Z541" t="str">
        <f t="shared" si="112"/>
        <v>Unique</v>
      </c>
      <c r="AA541" t="str">
        <f t="shared" si="113"/>
        <v>Unique</v>
      </c>
      <c r="AB541" t="str">
        <f t="shared" si="117"/>
        <v>OK</v>
      </c>
      <c r="AC541">
        <f t="shared" si="118"/>
        <v>0.1</v>
      </c>
      <c r="AD541" t="str">
        <f t="shared" si="119"/>
        <v>OK</v>
      </c>
      <c r="AE541">
        <f t="shared" si="120"/>
        <v>1904.4450000000002</v>
      </c>
      <c r="AF541">
        <f t="shared" si="121"/>
        <v>587.9050000000002</v>
      </c>
      <c r="AG541">
        <f t="shared" si="122"/>
        <v>0.30870148520960183</v>
      </c>
      <c r="AH541" t="str">
        <f t="shared" si="114"/>
        <v>July</v>
      </c>
      <c r="AI541">
        <f t="shared" si="115"/>
        <v>2025</v>
      </c>
      <c r="AJ541" t="str">
        <f t="shared" si="123"/>
        <v>OK</v>
      </c>
      <c r="AK541" t="str">
        <f t="shared" si="124"/>
        <v>OK</v>
      </c>
      <c r="AL541" t="str">
        <f t="shared" si="125"/>
        <v>Exclude</v>
      </c>
      <c r="AM541" t="str">
        <f t="shared" si="116"/>
        <v>Clean</v>
      </c>
    </row>
    <row r="542" spans="1:39">
      <c r="A542" t="s">
        <v>1717</v>
      </c>
      <c r="B542" s="4">
        <v>45348</v>
      </c>
      <c r="C542" s="4">
        <v>45345</v>
      </c>
      <c r="D542" s="6">
        <v>-3</v>
      </c>
      <c r="E542" t="s">
        <v>2788</v>
      </c>
      <c r="F542" t="s">
        <v>2788</v>
      </c>
      <c r="G542" t="s">
        <v>2790</v>
      </c>
      <c r="H542" t="s">
        <v>1718</v>
      </c>
      <c r="I542" t="s">
        <v>264</v>
      </c>
      <c r="J542" t="s">
        <v>24</v>
      </c>
      <c r="K542" t="s">
        <v>63</v>
      </c>
      <c r="L542" t="s">
        <v>180</v>
      </c>
      <c r="M542" t="s">
        <v>181</v>
      </c>
      <c r="N542" t="s">
        <v>41</v>
      </c>
      <c r="O542" t="s">
        <v>57</v>
      </c>
      <c r="P542" t="s">
        <v>1719</v>
      </c>
      <c r="Q542" t="s">
        <v>59</v>
      </c>
      <c r="R542">
        <v>7</v>
      </c>
      <c r="S542">
        <v>3852.07</v>
      </c>
      <c r="T542">
        <v>0.2</v>
      </c>
      <c r="U542">
        <v>21571.59</v>
      </c>
      <c r="V542">
        <v>17118.07</v>
      </c>
      <c r="W542">
        <v>4453.5200000000004</v>
      </c>
      <c r="X542" t="s">
        <v>32</v>
      </c>
      <c r="Y542" t="s">
        <v>33</v>
      </c>
      <c r="Z542" t="str">
        <f t="shared" si="112"/>
        <v>Unique</v>
      </c>
      <c r="AA542" t="str">
        <f t="shared" si="113"/>
        <v>Unique</v>
      </c>
      <c r="AB542" t="str">
        <f t="shared" si="117"/>
        <v>OK</v>
      </c>
      <c r="AC542">
        <f t="shared" si="118"/>
        <v>0.2</v>
      </c>
      <c r="AD542" t="str">
        <f t="shared" si="119"/>
        <v>OK</v>
      </c>
      <c r="AE542">
        <f t="shared" si="120"/>
        <v>21571.592000000004</v>
      </c>
      <c r="AF542">
        <f t="shared" si="121"/>
        <v>4453.5220000000045</v>
      </c>
      <c r="AG542">
        <f t="shared" si="122"/>
        <v>0.20645309813017063</v>
      </c>
      <c r="AH542" t="str">
        <f t="shared" si="114"/>
        <v>February</v>
      </c>
      <c r="AI542">
        <f t="shared" si="115"/>
        <v>2024</v>
      </c>
      <c r="AJ542" t="str">
        <f t="shared" si="123"/>
        <v>OK</v>
      </c>
      <c r="AK542" t="str">
        <f t="shared" si="124"/>
        <v>OK</v>
      </c>
      <c r="AL542" t="str">
        <f t="shared" si="125"/>
        <v>Include</v>
      </c>
      <c r="AM542" t="str">
        <f t="shared" si="116"/>
        <v>Warning</v>
      </c>
    </row>
    <row r="543" spans="1:39">
      <c r="A543" t="s">
        <v>1720</v>
      </c>
      <c r="B543" s="4">
        <v>45846</v>
      </c>
      <c r="C543" s="4">
        <v>45847</v>
      </c>
      <c r="D543" s="6">
        <v>1</v>
      </c>
      <c r="E543" t="s">
        <v>2788</v>
      </c>
      <c r="F543" t="s">
        <v>2788</v>
      </c>
      <c r="G543" t="s">
        <v>2788</v>
      </c>
      <c r="H543" t="s">
        <v>1721</v>
      </c>
      <c r="I543" t="s">
        <v>132</v>
      </c>
      <c r="J543" t="s">
        <v>24</v>
      </c>
      <c r="K543" t="s">
        <v>63</v>
      </c>
      <c r="L543" t="s">
        <v>64</v>
      </c>
      <c r="M543" t="s">
        <v>65</v>
      </c>
      <c r="N543" t="s">
        <v>74</v>
      </c>
      <c r="O543" t="s">
        <v>80</v>
      </c>
      <c r="P543" t="s">
        <v>1722</v>
      </c>
      <c r="Q543" t="s">
        <v>44</v>
      </c>
      <c r="R543">
        <v>3</v>
      </c>
      <c r="S543">
        <v>2880.56</v>
      </c>
      <c r="T543">
        <v>0</v>
      </c>
      <c r="U543">
        <v>8641.68</v>
      </c>
      <c r="V543">
        <v>5747.09</v>
      </c>
      <c r="W543">
        <v>2894.59</v>
      </c>
      <c r="X543" t="s">
        <v>32</v>
      </c>
      <c r="Y543" t="s">
        <v>103</v>
      </c>
      <c r="Z543" t="str">
        <f t="shared" si="112"/>
        <v>Unique</v>
      </c>
      <c r="AA543" t="str">
        <f t="shared" si="113"/>
        <v>Unique</v>
      </c>
      <c r="AB543" t="str">
        <f t="shared" si="117"/>
        <v>OK</v>
      </c>
      <c r="AC543">
        <f t="shared" si="118"/>
        <v>0</v>
      </c>
      <c r="AD543" t="str">
        <f t="shared" si="119"/>
        <v>OK</v>
      </c>
      <c r="AE543">
        <f t="shared" si="120"/>
        <v>8641.68</v>
      </c>
      <c r="AF543">
        <f t="shared" si="121"/>
        <v>2894.59</v>
      </c>
      <c r="AG543">
        <f t="shared" si="122"/>
        <v>0.33495686024013849</v>
      </c>
      <c r="AH543" t="str">
        <f t="shared" si="114"/>
        <v>July</v>
      </c>
      <c r="AI543">
        <f t="shared" si="115"/>
        <v>2025</v>
      </c>
      <c r="AJ543" t="str">
        <f t="shared" si="123"/>
        <v>OK</v>
      </c>
      <c r="AK543" t="str">
        <f t="shared" si="124"/>
        <v>OK</v>
      </c>
      <c r="AL543" t="str">
        <f t="shared" si="125"/>
        <v>Exclude</v>
      </c>
      <c r="AM543" t="str">
        <f t="shared" si="116"/>
        <v>Clean</v>
      </c>
    </row>
    <row r="544" spans="1:39">
      <c r="A544" t="s">
        <v>1723</v>
      </c>
      <c r="B544" s="4">
        <v>45552</v>
      </c>
      <c r="C544" s="4">
        <v>45558</v>
      </c>
      <c r="D544" s="6">
        <v>6</v>
      </c>
      <c r="E544" t="s">
        <v>2788</v>
      </c>
      <c r="F544" t="s">
        <v>2788</v>
      </c>
      <c r="G544" t="s">
        <v>2788</v>
      </c>
      <c r="H544" t="s">
        <v>1724</v>
      </c>
      <c r="I544" t="s">
        <v>118</v>
      </c>
      <c r="J544" t="s">
        <v>95</v>
      </c>
      <c r="K544" t="s">
        <v>54</v>
      </c>
      <c r="L544" t="s">
        <v>185</v>
      </c>
      <c r="M544" t="s">
        <v>186</v>
      </c>
      <c r="N544" t="s">
        <v>41</v>
      </c>
      <c r="O544" t="s">
        <v>158</v>
      </c>
      <c r="P544" t="s">
        <v>1725</v>
      </c>
      <c r="Q544" t="s">
        <v>31</v>
      </c>
      <c r="R544">
        <v>3</v>
      </c>
      <c r="S544">
        <v>4067.62</v>
      </c>
      <c r="T544">
        <v>0.2</v>
      </c>
      <c r="U544">
        <v>9988.5300000000007</v>
      </c>
      <c r="V544">
        <v>8368.24</v>
      </c>
      <c r="W544">
        <v>1394.05</v>
      </c>
      <c r="X544" t="s">
        <v>32</v>
      </c>
      <c r="Y544" t="s">
        <v>68</v>
      </c>
      <c r="Z544" t="str">
        <f t="shared" si="112"/>
        <v>Unique</v>
      </c>
      <c r="AA544" t="str">
        <f t="shared" si="113"/>
        <v>Unique</v>
      </c>
      <c r="AB544" t="str">
        <f t="shared" si="117"/>
        <v>OK</v>
      </c>
      <c r="AC544">
        <f t="shared" si="118"/>
        <v>0.2</v>
      </c>
      <c r="AD544" t="str">
        <f t="shared" si="119"/>
        <v>OK</v>
      </c>
      <c r="AE544">
        <f t="shared" si="120"/>
        <v>9762.2880000000005</v>
      </c>
      <c r="AF544">
        <f t="shared" si="121"/>
        <v>1394.0480000000007</v>
      </c>
      <c r="AG544">
        <f t="shared" si="122"/>
        <v>0.14279931098119628</v>
      </c>
      <c r="AH544" t="str">
        <f t="shared" si="114"/>
        <v>September</v>
      </c>
      <c r="AI544">
        <f t="shared" si="115"/>
        <v>2024</v>
      </c>
      <c r="AJ544" t="str">
        <f t="shared" si="123"/>
        <v>Sales Mismatch</v>
      </c>
      <c r="AK544" t="str">
        <f t="shared" si="124"/>
        <v>OK</v>
      </c>
      <c r="AL544" t="str">
        <f t="shared" si="125"/>
        <v>Exclude</v>
      </c>
      <c r="AM544" t="str">
        <f t="shared" si="116"/>
        <v>Warning</v>
      </c>
    </row>
    <row r="545" spans="1:39">
      <c r="A545" t="s">
        <v>1726</v>
      </c>
      <c r="B545" s="4">
        <v>45487</v>
      </c>
      <c r="C545" s="4">
        <v>45493</v>
      </c>
      <c r="D545" s="6">
        <v>6</v>
      </c>
      <c r="E545" t="s">
        <v>2788</v>
      </c>
      <c r="F545" t="s">
        <v>2788</v>
      </c>
      <c r="G545" t="s">
        <v>2788</v>
      </c>
      <c r="H545" t="s">
        <v>1727</v>
      </c>
      <c r="I545" t="s">
        <v>36</v>
      </c>
      <c r="J545" t="s">
        <v>24</v>
      </c>
      <c r="K545" t="s">
        <v>38</v>
      </c>
      <c r="L545" t="s">
        <v>145</v>
      </c>
      <c r="M545" t="s">
        <v>146</v>
      </c>
      <c r="N545" t="s">
        <v>74</v>
      </c>
      <c r="O545" t="s">
        <v>80</v>
      </c>
      <c r="P545" t="s">
        <v>1728</v>
      </c>
      <c r="Q545" t="s">
        <v>44</v>
      </c>
      <c r="R545">
        <v>1</v>
      </c>
      <c r="S545">
        <v>492.67</v>
      </c>
      <c r="T545">
        <v>0.15</v>
      </c>
      <c r="U545">
        <v>418.77</v>
      </c>
      <c r="V545">
        <v>313.72000000000003</v>
      </c>
      <c r="W545">
        <v>105.05</v>
      </c>
      <c r="X545" t="s">
        <v>32</v>
      </c>
      <c r="Y545" t="s">
        <v>33</v>
      </c>
      <c r="Z545" t="str">
        <f t="shared" si="112"/>
        <v>Unique</v>
      </c>
      <c r="AA545" t="str">
        <f t="shared" si="113"/>
        <v>Unique</v>
      </c>
      <c r="AB545" t="str">
        <f t="shared" si="117"/>
        <v>OK</v>
      </c>
      <c r="AC545">
        <f t="shared" si="118"/>
        <v>0.15</v>
      </c>
      <c r="AD545" t="str">
        <f t="shared" si="119"/>
        <v>OK</v>
      </c>
      <c r="AE545">
        <f t="shared" si="120"/>
        <v>418.76949999999999</v>
      </c>
      <c r="AF545">
        <f t="shared" si="121"/>
        <v>105.04949999999997</v>
      </c>
      <c r="AG545">
        <f t="shared" si="122"/>
        <v>0.25085279610859906</v>
      </c>
      <c r="AH545" t="str">
        <f t="shared" si="114"/>
        <v>July</v>
      </c>
      <c r="AI545">
        <f t="shared" si="115"/>
        <v>2024</v>
      </c>
      <c r="AJ545" t="str">
        <f t="shared" si="123"/>
        <v>OK</v>
      </c>
      <c r="AK545" t="str">
        <f t="shared" si="124"/>
        <v>OK</v>
      </c>
      <c r="AL545" t="str">
        <f t="shared" si="125"/>
        <v>Include</v>
      </c>
      <c r="AM545" t="str">
        <f t="shared" si="116"/>
        <v>Clean</v>
      </c>
    </row>
    <row r="546" spans="1:39">
      <c r="A546" t="s">
        <v>1729</v>
      </c>
      <c r="B546" s="4">
        <v>45686</v>
      </c>
      <c r="C546" s="4">
        <v>45693</v>
      </c>
      <c r="D546" s="6">
        <v>7</v>
      </c>
      <c r="E546" t="s">
        <v>2788</v>
      </c>
      <c r="F546" t="s">
        <v>2788</v>
      </c>
      <c r="G546" t="s">
        <v>2788</v>
      </c>
      <c r="H546" t="s">
        <v>1730</v>
      </c>
      <c r="I546" t="s">
        <v>62</v>
      </c>
      <c r="J546" t="s">
        <v>24</v>
      </c>
      <c r="K546" t="s">
        <v>54</v>
      </c>
      <c r="L546" t="s">
        <v>185</v>
      </c>
      <c r="M546" t="s">
        <v>186</v>
      </c>
      <c r="N546" t="s">
        <v>28</v>
      </c>
      <c r="O546" t="s">
        <v>48</v>
      </c>
      <c r="P546" t="s">
        <v>1731</v>
      </c>
      <c r="Q546" t="s">
        <v>44</v>
      </c>
      <c r="R546">
        <v>8</v>
      </c>
      <c r="S546">
        <v>3643.62</v>
      </c>
      <c r="T546">
        <v>0.25</v>
      </c>
      <c r="U546">
        <v>21861.72</v>
      </c>
      <c r="V546">
        <v>18464.34</v>
      </c>
      <c r="W546">
        <v>3397.38</v>
      </c>
      <c r="X546" t="s">
        <v>32</v>
      </c>
      <c r="Y546" t="s">
        <v>68</v>
      </c>
      <c r="Z546" t="str">
        <f t="shared" si="112"/>
        <v>Unique</v>
      </c>
      <c r="AA546" t="str">
        <f t="shared" si="113"/>
        <v>Unique</v>
      </c>
      <c r="AB546" t="str">
        <f t="shared" si="117"/>
        <v>OK</v>
      </c>
      <c r="AC546">
        <f t="shared" si="118"/>
        <v>0.25</v>
      </c>
      <c r="AD546" t="str">
        <f t="shared" si="119"/>
        <v>OK</v>
      </c>
      <c r="AE546">
        <f t="shared" si="120"/>
        <v>21861.72</v>
      </c>
      <c r="AF546">
        <f t="shared" si="121"/>
        <v>3397.380000000001</v>
      </c>
      <c r="AG546">
        <f t="shared" si="122"/>
        <v>0.1554031430280875</v>
      </c>
      <c r="AH546" t="str">
        <f t="shared" si="114"/>
        <v>January</v>
      </c>
      <c r="AI546">
        <f t="shared" si="115"/>
        <v>2025</v>
      </c>
      <c r="AJ546" t="str">
        <f t="shared" si="123"/>
        <v>OK</v>
      </c>
      <c r="AK546" t="str">
        <f t="shared" si="124"/>
        <v>OK</v>
      </c>
      <c r="AL546" t="str">
        <f t="shared" si="125"/>
        <v>Exclude</v>
      </c>
      <c r="AM546" t="str">
        <f t="shared" si="116"/>
        <v>Clean</v>
      </c>
    </row>
    <row r="547" spans="1:39">
      <c r="A547" t="s">
        <v>1732</v>
      </c>
      <c r="B547" s="4">
        <v>45439</v>
      </c>
      <c r="C547" s="4">
        <v>45442</v>
      </c>
      <c r="D547" s="6">
        <v>3</v>
      </c>
      <c r="E547" t="s">
        <v>2788</v>
      </c>
      <c r="F547" t="s">
        <v>2788</v>
      </c>
      <c r="G547" t="s">
        <v>2788</v>
      </c>
      <c r="H547" t="s">
        <v>1733</v>
      </c>
      <c r="I547" t="s">
        <v>264</v>
      </c>
      <c r="J547" t="s">
        <v>37</v>
      </c>
      <c r="K547" t="s">
        <v>38</v>
      </c>
      <c r="L547" t="s">
        <v>228</v>
      </c>
      <c r="M547" t="s">
        <v>229</v>
      </c>
      <c r="N547" t="s">
        <v>28</v>
      </c>
      <c r="O547" t="s">
        <v>124</v>
      </c>
      <c r="P547" t="s">
        <v>1734</v>
      </c>
      <c r="Q547" t="s">
        <v>44</v>
      </c>
      <c r="R547">
        <v>7</v>
      </c>
      <c r="S547">
        <v>2900.86</v>
      </c>
      <c r="T547">
        <v>0.15</v>
      </c>
      <c r="U547">
        <v>17260.12</v>
      </c>
      <c r="V547">
        <v>13513.51</v>
      </c>
      <c r="W547">
        <v>3746.61</v>
      </c>
      <c r="X547" t="s">
        <v>32</v>
      </c>
      <c r="Y547" t="s">
        <v>33</v>
      </c>
      <c r="Z547" t="str">
        <f t="shared" si="112"/>
        <v>Unique</v>
      </c>
      <c r="AA547" t="str">
        <f t="shared" si="113"/>
        <v>Unique</v>
      </c>
      <c r="AB547" t="str">
        <f t="shared" si="117"/>
        <v>OK</v>
      </c>
      <c r="AC547">
        <f t="shared" si="118"/>
        <v>0.15</v>
      </c>
      <c r="AD547" t="str">
        <f t="shared" si="119"/>
        <v>OK</v>
      </c>
      <c r="AE547">
        <f t="shared" si="120"/>
        <v>17260.116999999998</v>
      </c>
      <c r="AF547">
        <f t="shared" si="121"/>
        <v>3746.6069999999982</v>
      </c>
      <c r="AG547">
        <f t="shared" si="122"/>
        <v>0.21706730029697935</v>
      </c>
      <c r="AH547" t="str">
        <f t="shared" si="114"/>
        <v>May</v>
      </c>
      <c r="AI547">
        <f t="shared" si="115"/>
        <v>2024</v>
      </c>
      <c r="AJ547" t="str">
        <f t="shared" si="123"/>
        <v>OK</v>
      </c>
      <c r="AK547" t="str">
        <f t="shared" si="124"/>
        <v>OK</v>
      </c>
      <c r="AL547" t="str">
        <f t="shared" si="125"/>
        <v>Include</v>
      </c>
      <c r="AM547" t="str">
        <f t="shared" si="116"/>
        <v>Clean</v>
      </c>
    </row>
    <row r="548" spans="1:39">
      <c r="A548" t="s">
        <v>1735</v>
      </c>
      <c r="B548" s="4">
        <v>45883</v>
      </c>
      <c r="C548" s="4">
        <v>45891</v>
      </c>
      <c r="D548" s="6">
        <v>8</v>
      </c>
      <c r="E548" t="s">
        <v>2788</v>
      </c>
      <c r="F548" t="s">
        <v>2788</v>
      </c>
      <c r="G548" t="s">
        <v>2788</v>
      </c>
      <c r="H548" t="s">
        <v>1736</v>
      </c>
      <c r="I548" t="s">
        <v>53</v>
      </c>
      <c r="J548" t="s">
        <v>90</v>
      </c>
      <c r="K548" t="s">
        <v>63</v>
      </c>
      <c r="L548" t="s">
        <v>180</v>
      </c>
      <c r="M548" t="s">
        <v>181</v>
      </c>
      <c r="N548" t="s">
        <v>28</v>
      </c>
      <c r="O548" t="s">
        <v>29</v>
      </c>
      <c r="P548" t="s">
        <v>1737</v>
      </c>
      <c r="Q548" t="s">
        <v>50</v>
      </c>
      <c r="R548">
        <v>5</v>
      </c>
      <c r="S548">
        <v>2567.37</v>
      </c>
      <c r="T548">
        <v>0.15</v>
      </c>
      <c r="U548">
        <v>10911.32</v>
      </c>
      <c r="V548">
        <v>6966.44</v>
      </c>
      <c r="W548">
        <v>4395.17</v>
      </c>
      <c r="X548" t="s">
        <v>32</v>
      </c>
      <c r="Y548" t="s">
        <v>33</v>
      </c>
      <c r="Z548" t="str">
        <f t="shared" si="112"/>
        <v>Unique</v>
      </c>
      <c r="AA548" t="str">
        <f t="shared" si="113"/>
        <v>Unique</v>
      </c>
      <c r="AB548" t="str">
        <f t="shared" si="117"/>
        <v>OK</v>
      </c>
      <c r="AC548">
        <f t="shared" si="118"/>
        <v>0.15</v>
      </c>
      <c r="AD548" t="str">
        <f t="shared" si="119"/>
        <v>OK</v>
      </c>
      <c r="AE548">
        <f t="shared" si="120"/>
        <v>10911.322499999998</v>
      </c>
      <c r="AF548">
        <f t="shared" si="121"/>
        <v>3944.8824999999988</v>
      </c>
      <c r="AG548">
        <f t="shared" si="122"/>
        <v>0.36154027158486052</v>
      </c>
      <c r="AH548" t="str">
        <f t="shared" si="114"/>
        <v>August</v>
      </c>
      <c r="AI548">
        <f t="shared" si="115"/>
        <v>2025</v>
      </c>
      <c r="AJ548" t="str">
        <f t="shared" si="123"/>
        <v>OK</v>
      </c>
      <c r="AK548" t="str">
        <f t="shared" si="124"/>
        <v>Profit Mismatch</v>
      </c>
      <c r="AL548" t="str">
        <f t="shared" si="125"/>
        <v>Include</v>
      </c>
      <c r="AM548" t="str">
        <f t="shared" si="116"/>
        <v>Warning</v>
      </c>
    </row>
    <row r="549" spans="1:39">
      <c r="A549" t="s">
        <v>1738</v>
      </c>
      <c r="B549" s="4">
        <v>45428</v>
      </c>
      <c r="C549" s="4">
        <v>45435</v>
      </c>
      <c r="D549" s="6">
        <v>7</v>
      </c>
      <c r="E549" t="s">
        <v>2788</v>
      </c>
      <c r="F549" t="s">
        <v>2788</v>
      </c>
      <c r="G549" t="s">
        <v>2788</v>
      </c>
      <c r="H549" t="s">
        <v>1739</v>
      </c>
      <c r="I549" t="s">
        <v>79</v>
      </c>
      <c r="J549" t="s">
        <v>37</v>
      </c>
      <c r="K549" t="s">
        <v>25</v>
      </c>
      <c r="L549" t="s">
        <v>136</v>
      </c>
      <c r="M549" t="s">
        <v>137</v>
      </c>
      <c r="N549" t="s">
        <v>74</v>
      </c>
      <c r="O549" t="s">
        <v>80</v>
      </c>
      <c r="P549" t="s">
        <v>1740</v>
      </c>
      <c r="Q549" t="s">
        <v>59</v>
      </c>
      <c r="R549">
        <v>9</v>
      </c>
      <c r="S549">
        <v>3722.09</v>
      </c>
      <c r="T549">
        <v>0.1</v>
      </c>
      <c r="U549">
        <v>30148.93</v>
      </c>
      <c r="V549">
        <v>25155.07</v>
      </c>
      <c r="W549">
        <v>4993.8599999999997</v>
      </c>
      <c r="X549" t="s">
        <v>32</v>
      </c>
      <c r="Y549" t="s">
        <v>33</v>
      </c>
      <c r="Z549" t="str">
        <f t="shared" si="112"/>
        <v>Unique</v>
      </c>
      <c r="AA549" t="str">
        <f t="shared" si="113"/>
        <v>Unique</v>
      </c>
      <c r="AB549" t="str">
        <f t="shared" si="117"/>
        <v>OK</v>
      </c>
      <c r="AC549">
        <f t="shared" si="118"/>
        <v>0.1</v>
      </c>
      <c r="AD549" t="str">
        <f t="shared" si="119"/>
        <v>OK</v>
      </c>
      <c r="AE549">
        <f t="shared" si="120"/>
        <v>30148.929</v>
      </c>
      <c r="AF549">
        <f t="shared" si="121"/>
        <v>4993.8590000000004</v>
      </c>
      <c r="AG549">
        <f t="shared" si="122"/>
        <v>0.16563968159532302</v>
      </c>
      <c r="AH549" t="str">
        <f t="shared" si="114"/>
        <v>May</v>
      </c>
      <c r="AI549">
        <f t="shared" si="115"/>
        <v>2024</v>
      </c>
      <c r="AJ549" t="str">
        <f t="shared" si="123"/>
        <v>OK</v>
      </c>
      <c r="AK549" t="str">
        <f t="shared" si="124"/>
        <v>OK</v>
      </c>
      <c r="AL549" t="str">
        <f t="shared" si="125"/>
        <v>Include</v>
      </c>
      <c r="AM549" t="str">
        <f t="shared" si="116"/>
        <v>Clean</v>
      </c>
    </row>
    <row r="550" spans="1:39">
      <c r="A550" t="s">
        <v>1741</v>
      </c>
      <c r="B550" s="4">
        <v>45441</v>
      </c>
      <c r="C550" s="4">
        <v>45441</v>
      </c>
      <c r="D550" s="6">
        <v>0</v>
      </c>
      <c r="E550" t="s">
        <v>2788</v>
      </c>
      <c r="F550" t="s">
        <v>2788</v>
      </c>
      <c r="G550" t="s">
        <v>2788</v>
      </c>
      <c r="H550" t="s">
        <v>1742</v>
      </c>
      <c r="I550" t="s">
        <v>141</v>
      </c>
      <c r="J550" t="s">
        <v>90</v>
      </c>
      <c r="K550" t="s">
        <v>38</v>
      </c>
      <c r="L550" t="s">
        <v>145</v>
      </c>
      <c r="M550" t="s">
        <v>146</v>
      </c>
      <c r="N550" t="s">
        <v>41</v>
      </c>
      <c r="O550" t="s">
        <v>158</v>
      </c>
      <c r="P550" t="s">
        <v>1743</v>
      </c>
      <c r="Q550" t="s">
        <v>44</v>
      </c>
      <c r="R550">
        <v>1</v>
      </c>
      <c r="S550">
        <v>1072.01</v>
      </c>
      <c r="T550">
        <v>0</v>
      </c>
      <c r="U550">
        <v>1072.01</v>
      </c>
      <c r="V550">
        <v>852.62</v>
      </c>
      <c r="W550">
        <v>219.39</v>
      </c>
      <c r="X550" t="s">
        <v>111</v>
      </c>
      <c r="Y550" t="s">
        <v>68</v>
      </c>
      <c r="Z550" t="str">
        <f t="shared" si="112"/>
        <v>Unique</v>
      </c>
      <c r="AA550" t="str">
        <f t="shared" si="113"/>
        <v>Unique</v>
      </c>
      <c r="AB550" t="str">
        <f t="shared" si="117"/>
        <v>OK</v>
      </c>
      <c r="AC550">
        <f t="shared" si="118"/>
        <v>0</v>
      </c>
      <c r="AD550" t="str">
        <f t="shared" si="119"/>
        <v>OK</v>
      </c>
      <c r="AE550">
        <f t="shared" si="120"/>
        <v>1072.01</v>
      </c>
      <c r="AF550">
        <f t="shared" si="121"/>
        <v>219.39</v>
      </c>
      <c r="AG550">
        <f t="shared" si="122"/>
        <v>0.20465294167032022</v>
      </c>
      <c r="AH550" t="str">
        <f t="shared" si="114"/>
        <v>May</v>
      </c>
      <c r="AI550">
        <f t="shared" si="115"/>
        <v>2024</v>
      </c>
      <c r="AJ550" t="str">
        <f t="shared" si="123"/>
        <v>OK</v>
      </c>
      <c r="AK550" t="str">
        <f t="shared" si="124"/>
        <v>OK</v>
      </c>
      <c r="AL550" t="str">
        <f t="shared" si="125"/>
        <v>Exclude</v>
      </c>
      <c r="AM550" t="str">
        <f t="shared" si="116"/>
        <v>Clean</v>
      </c>
    </row>
    <row r="551" spans="1:39">
      <c r="A551" t="s">
        <v>1744</v>
      </c>
      <c r="B551" s="4">
        <v>45941</v>
      </c>
      <c r="C551" s="4">
        <v>45943</v>
      </c>
      <c r="D551" s="6">
        <v>2</v>
      </c>
      <c r="E551" t="s">
        <v>2788</v>
      </c>
      <c r="F551" t="s">
        <v>2788</v>
      </c>
      <c r="G551" t="s">
        <v>2788</v>
      </c>
      <c r="H551" t="s">
        <v>1745</v>
      </c>
      <c r="I551" t="s">
        <v>36</v>
      </c>
      <c r="J551" t="s">
        <v>90</v>
      </c>
      <c r="K551" t="s">
        <v>54</v>
      </c>
      <c r="L551" t="s">
        <v>55</v>
      </c>
      <c r="M551" t="s">
        <v>56</v>
      </c>
      <c r="N551" t="s">
        <v>28</v>
      </c>
      <c r="O551" t="s">
        <v>48</v>
      </c>
      <c r="P551" t="s">
        <v>1746</v>
      </c>
      <c r="Q551" t="s">
        <v>31</v>
      </c>
      <c r="R551">
        <v>3</v>
      </c>
      <c r="S551">
        <v>3804.27</v>
      </c>
      <c r="T551">
        <v>0.1</v>
      </c>
      <c r="U551">
        <v>10271.530000000001</v>
      </c>
      <c r="V551">
        <v>8272.24</v>
      </c>
      <c r="W551">
        <v>1999.29</v>
      </c>
      <c r="X551" t="s">
        <v>32</v>
      </c>
      <c r="Y551" t="s">
        <v>33</v>
      </c>
      <c r="Z551" t="str">
        <f t="shared" si="112"/>
        <v>Exact Duplicate</v>
      </c>
      <c r="AA551" t="str">
        <f t="shared" si="113"/>
        <v>Duplicate Order ID</v>
      </c>
      <c r="AB551" t="str">
        <f t="shared" si="117"/>
        <v>OK</v>
      </c>
      <c r="AC551">
        <f t="shared" si="118"/>
        <v>0.1</v>
      </c>
      <c r="AD551" t="str">
        <f t="shared" si="119"/>
        <v>OK</v>
      </c>
      <c r="AE551">
        <f t="shared" si="120"/>
        <v>10271.529</v>
      </c>
      <c r="AF551">
        <f t="shared" si="121"/>
        <v>1999.2890000000007</v>
      </c>
      <c r="AG551">
        <f t="shared" si="122"/>
        <v>0.19464375751652949</v>
      </c>
      <c r="AH551" t="str">
        <f t="shared" si="114"/>
        <v>October</v>
      </c>
      <c r="AI551">
        <f t="shared" si="115"/>
        <v>2025</v>
      </c>
      <c r="AJ551" t="str">
        <f t="shared" si="123"/>
        <v>OK</v>
      </c>
      <c r="AK551" t="str">
        <f t="shared" si="124"/>
        <v>OK</v>
      </c>
      <c r="AL551" t="str">
        <f t="shared" si="125"/>
        <v>Include</v>
      </c>
      <c r="AM551" t="str">
        <f t="shared" si="116"/>
        <v>Clean</v>
      </c>
    </row>
    <row r="552" spans="1:39">
      <c r="A552" t="s">
        <v>1747</v>
      </c>
      <c r="B552" s="4">
        <v>45506</v>
      </c>
      <c r="C552" s="4">
        <v>45514</v>
      </c>
      <c r="D552" s="6">
        <v>8</v>
      </c>
      <c r="E552" t="s">
        <v>2788</v>
      </c>
      <c r="F552" t="s">
        <v>2788</v>
      </c>
      <c r="G552" t="s">
        <v>2788</v>
      </c>
      <c r="H552" t="s">
        <v>1748</v>
      </c>
      <c r="I552" t="s">
        <v>36</v>
      </c>
      <c r="J552" t="s">
        <v>95</v>
      </c>
      <c r="K552" t="s">
        <v>38</v>
      </c>
      <c r="L552" t="s">
        <v>39</v>
      </c>
      <c r="M552" t="s">
        <v>40</v>
      </c>
      <c r="N552" t="s">
        <v>74</v>
      </c>
      <c r="O552" t="s">
        <v>75</v>
      </c>
      <c r="P552" t="s">
        <v>1749</v>
      </c>
      <c r="Q552" t="s">
        <v>59</v>
      </c>
      <c r="R552">
        <v>6</v>
      </c>
      <c r="S552">
        <v>2126.44</v>
      </c>
      <c r="T552">
        <v>0.2</v>
      </c>
      <c r="U552">
        <v>10206.91</v>
      </c>
      <c r="V552">
        <v>6764.53</v>
      </c>
      <c r="W552">
        <v>3442.38</v>
      </c>
      <c r="X552" t="s">
        <v>32</v>
      </c>
      <c r="Y552" t="s">
        <v>33</v>
      </c>
      <c r="Z552" t="str">
        <f t="shared" si="112"/>
        <v>Unique</v>
      </c>
      <c r="AA552" t="str">
        <f t="shared" si="113"/>
        <v>Unique</v>
      </c>
      <c r="AB552" t="str">
        <f t="shared" si="117"/>
        <v>OK</v>
      </c>
      <c r="AC552">
        <f t="shared" si="118"/>
        <v>0.2</v>
      </c>
      <c r="AD552" t="str">
        <f t="shared" si="119"/>
        <v>OK</v>
      </c>
      <c r="AE552">
        <f t="shared" si="120"/>
        <v>10206.912</v>
      </c>
      <c r="AF552">
        <f t="shared" si="121"/>
        <v>3442.3820000000005</v>
      </c>
      <c r="AG552">
        <f t="shared" si="122"/>
        <v>0.33725988820125036</v>
      </c>
      <c r="AH552" t="str">
        <f t="shared" si="114"/>
        <v>August</v>
      </c>
      <c r="AI552">
        <f t="shared" si="115"/>
        <v>2024</v>
      </c>
      <c r="AJ552" t="str">
        <f t="shared" si="123"/>
        <v>OK</v>
      </c>
      <c r="AK552" t="str">
        <f t="shared" si="124"/>
        <v>OK</v>
      </c>
      <c r="AL552" t="str">
        <f t="shared" si="125"/>
        <v>Include</v>
      </c>
      <c r="AM552" t="str">
        <f t="shared" si="116"/>
        <v>Clean</v>
      </c>
    </row>
    <row r="553" spans="1:39">
      <c r="A553" t="s">
        <v>1750</v>
      </c>
      <c r="B553" s="4">
        <v>45349</v>
      </c>
      <c r="C553" s="4">
        <v>45349</v>
      </c>
      <c r="D553" s="6">
        <v>0</v>
      </c>
      <c r="E553" t="s">
        <v>2788</v>
      </c>
      <c r="F553" t="s">
        <v>2788</v>
      </c>
      <c r="G553" t="s">
        <v>2788</v>
      </c>
      <c r="H553" t="s">
        <v>1751</v>
      </c>
      <c r="I553" t="s">
        <v>132</v>
      </c>
      <c r="J553" t="s">
        <v>24</v>
      </c>
      <c r="K553" t="s">
        <v>38</v>
      </c>
      <c r="L553" t="s">
        <v>228</v>
      </c>
      <c r="M553" t="s">
        <v>229</v>
      </c>
      <c r="N553" t="s">
        <v>41</v>
      </c>
      <c r="O553" t="s">
        <v>66</v>
      </c>
      <c r="P553" t="s">
        <v>1752</v>
      </c>
      <c r="Q553" t="s">
        <v>31</v>
      </c>
      <c r="R553">
        <v>3</v>
      </c>
      <c r="S553">
        <v>3148.09</v>
      </c>
      <c r="T553">
        <v>0.15</v>
      </c>
      <c r="U553">
        <v>8027.63</v>
      </c>
      <c r="V553">
        <v>5496.09</v>
      </c>
      <c r="W553">
        <v>2531.54</v>
      </c>
      <c r="X553" t="s">
        <v>32</v>
      </c>
      <c r="Y553" t="s">
        <v>33</v>
      </c>
      <c r="Z553" t="str">
        <f t="shared" si="112"/>
        <v>Unique</v>
      </c>
      <c r="AA553" t="str">
        <f t="shared" si="113"/>
        <v>Unique</v>
      </c>
      <c r="AB553" t="str">
        <f t="shared" si="117"/>
        <v>OK</v>
      </c>
      <c r="AC553">
        <f t="shared" si="118"/>
        <v>0.15</v>
      </c>
      <c r="AD553" t="str">
        <f t="shared" si="119"/>
        <v>OK</v>
      </c>
      <c r="AE553">
        <f t="shared" si="120"/>
        <v>8027.6295</v>
      </c>
      <c r="AF553">
        <f t="shared" si="121"/>
        <v>2531.5394999999999</v>
      </c>
      <c r="AG553">
        <f t="shared" si="122"/>
        <v>0.31535330572991688</v>
      </c>
      <c r="AH553" t="str">
        <f t="shared" si="114"/>
        <v>February</v>
      </c>
      <c r="AI553">
        <f t="shared" si="115"/>
        <v>2024</v>
      </c>
      <c r="AJ553" t="str">
        <f t="shared" si="123"/>
        <v>OK</v>
      </c>
      <c r="AK553" t="str">
        <f t="shared" si="124"/>
        <v>OK</v>
      </c>
      <c r="AL553" t="str">
        <f t="shared" si="125"/>
        <v>Include</v>
      </c>
      <c r="AM553" t="str">
        <f t="shared" si="116"/>
        <v>Clean</v>
      </c>
    </row>
    <row r="554" spans="1:39">
      <c r="A554" t="s">
        <v>1753</v>
      </c>
      <c r="B554" s="4">
        <v>45681</v>
      </c>
      <c r="C554" s="4">
        <v>45687</v>
      </c>
      <c r="D554" s="6">
        <v>6</v>
      </c>
      <c r="E554" t="s">
        <v>2788</v>
      </c>
      <c r="F554" t="s">
        <v>2788</v>
      </c>
      <c r="G554" t="s">
        <v>2788</v>
      </c>
      <c r="H554" t="s">
        <v>1754</v>
      </c>
      <c r="I554" t="s">
        <v>62</v>
      </c>
      <c r="J554" t="s">
        <v>90</v>
      </c>
      <c r="K554" t="s">
        <v>38</v>
      </c>
      <c r="L554" t="s">
        <v>99</v>
      </c>
      <c r="M554" t="s">
        <v>100</v>
      </c>
      <c r="N554" t="s">
        <v>74</v>
      </c>
      <c r="O554" t="s">
        <v>80</v>
      </c>
      <c r="P554" t="s">
        <v>1755</v>
      </c>
      <c r="Q554" t="s">
        <v>59</v>
      </c>
      <c r="R554">
        <v>8</v>
      </c>
      <c r="S554">
        <v>312.52999999999997</v>
      </c>
      <c r="T554" t="s">
        <v>463</v>
      </c>
      <c r="U554">
        <v>1875.18</v>
      </c>
      <c r="V554">
        <v>1579.17</v>
      </c>
      <c r="W554">
        <v>296.01</v>
      </c>
      <c r="X554" t="s">
        <v>32</v>
      </c>
      <c r="Y554" t="s">
        <v>33</v>
      </c>
      <c r="Z554" t="str">
        <f t="shared" si="112"/>
        <v>Unique</v>
      </c>
      <c r="AA554" t="str">
        <f t="shared" si="113"/>
        <v>Unique</v>
      </c>
      <c r="AB554" t="str">
        <f t="shared" si="117"/>
        <v>OK</v>
      </c>
      <c r="AC554" t="str">
        <f t="shared" si="118"/>
        <v>70%</v>
      </c>
      <c r="AD554" t="str">
        <f t="shared" si="119"/>
        <v>Invalid High Discount</v>
      </c>
      <c r="AE554">
        <f t="shared" si="120"/>
        <v>750.072</v>
      </c>
      <c r="AF554">
        <f t="shared" si="121"/>
        <v>-829.09800000000007</v>
      </c>
      <c r="AG554">
        <f t="shared" si="122"/>
        <v>-1.1053578856429784</v>
      </c>
      <c r="AH554" t="str">
        <f t="shared" si="114"/>
        <v>January</v>
      </c>
      <c r="AI554">
        <f t="shared" si="115"/>
        <v>2025</v>
      </c>
      <c r="AJ554" t="str">
        <f t="shared" si="123"/>
        <v>Sales Mismatch</v>
      </c>
      <c r="AK554" t="str">
        <f t="shared" si="124"/>
        <v>Profit Mismatch</v>
      </c>
      <c r="AL554" t="str">
        <f t="shared" si="125"/>
        <v>Include</v>
      </c>
      <c r="AM554" t="str">
        <f t="shared" si="116"/>
        <v>Invalid</v>
      </c>
    </row>
    <row r="555" spans="1:39">
      <c r="A555" t="s">
        <v>1756</v>
      </c>
      <c r="B555" s="4">
        <v>45772</v>
      </c>
      <c r="C555" s="4">
        <v>45775</v>
      </c>
      <c r="D555" s="6">
        <v>3</v>
      </c>
      <c r="E555" t="s">
        <v>2788</v>
      </c>
      <c r="F555" t="s">
        <v>2788</v>
      </c>
      <c r="G555" t="s">
        <v>2788</v>
      </c>
      <c r="H555" t="s">
        <v>1757</v>
      </c>
      <c r="I555" t="s">
        <v>128</v>
      </c>
      <c r="J555" t="s">
        <v>37</v>
      </c>
      <c r="K555" t="s">
        <v>63</v>
      </c>
      <c r="L555" t="s">
        <v>180</v>
      </c>
      <c r="M555" t="s">
        <v>181</v>
      </c>
      <c r="N555" t="s">
        <v>28</v>
      </c>
      <c r="O555" t="s">
        <v>124</v>
      </c>
      <c r="P555" t="s">
        <v>1758</v>
      </c>
      <c r="Q555" t="s">
        <v>50</v>
      </c>
      <c r="R555">
        <v>9</v>
      </c>
      <c r="S555">
        <v>1294.1099999999999</v>
      </c>
      <c r="T555">
        <v>0.25</v>
      </c>
      <c r="U555">
        <v>8735.24</v>
      </c>
      <c r="V555">
        <v>6620.07</v>
      </c>
      <c r="W555">
        <v>2115.17</v>
      </c>
      <c r="X555" t="s">
        <v>32</v>
      </c>
      <c r="Y555" t="s">
        <v>33</v>
      </c>
      <c r="Z555" t="str">
        <f t="shared" si="112"/>
        <v>Unique</v>
      </c>
      <c r="AA555" t="str">
        <f t="shared" si="113"/>
        <v>Unique</v>
      </c>
      <c r="AB555" t="str">
        <f t="shared" si="117"/>
        <v>OK</v>
      </c>
      <c r="AC555">
        <f t="shared" si="118"/>
        <v>0.25</v>
      </c>
      <c r="AD555" t="str">
        <f t="shared" si="119"/>
        <v>OK</v>
      </c>
      <c r="AE555">
        <f t="shared" si="120"/>
        <v>8735.2425000000003</v>
      </c>
      <c r="AF555">
        <f t="shared" si="121"/>
        <v>2115.1725000000006</v>
      </c>
      <c r="AG555">
        <f t="shared" si="122"/>
        <v>0.24214239043735769</v>
      </c>
      <c r="AH555" t="str">
        <f t="shared" si="114"/>
        <v>April</v>
      </c>
      <c r="AI555">
        <f t="shared" si="115"/>
        <v>2025</v>
      </c>
      <c r="AJ555" t="str">
        <f t="shared" si="123"/>
        <v>OK</v>
      </c>
      <c r="AK555" t="str">
        <f t="shared" si="124"/>
        <v>OK</v>
      </c>
      <c r="AL555" t="str">
        <f t="shared" si="125"/>
        <v>Include</v>
      </c>
      <c r="AM555" t="str">
        <f t="shared" si="116"/>
        <v>Clean</v>
      </c>
    </row>
    <row r="556" spans="1:39">
      <c r="A556" t="s">
        <v>1759</v>
      </c>
      <c r="B556" s="4">
        <v>45577</v>
      </c>
      <c r="C556" s="4">
        <v>45582</v>
      </c>
      <c r="D556" s="6">
        <v>5</v>
      </c>
      <c r="E556" t="s">
        <v>2788</v>
      </c>
      <c r="F556" t="s">
        <v>2788</v>
      </c>
      <c r="G556" t="s">
        <v>2788</v>
      </c>
      <c r="H556" t="s">
        <v>1760</v>
      </c>
      <c r="I556" t="s">
        <v>53</v>
      </c>
      <c r="J556" t="s">
        <v>24</v>
      </c>
      <c r="K556" t="s">
        <v>2783</v>
      </c>
      <c r="L556" t="s">
        <v>228</v>
      </c>
      <c r="M556" t="s">
        <v>229</v>
      </c>
      <c r="N556" t="s">
        <v>41</v>
      </c>
      <c r="O556" t="s">
        <v>57</v>
      </c>
      <c r="P556" t="s">
        <v>1761</v>
      </c>
      <c r="Q556" t="s">
        <v>59</v>
      </c>
      <c r="R556">
        <v>4</v>
      </c>
      <c r="S556">
        <v>1071.22</v>
      </c>
      <c r="T556">
        <v>0.05</v>
      </c>
      <c r="U556">
        <v>4070.64</v>
      </c>
      <c r="V556">
        <v>2831.62</v>
      </c>
      <c r="W556">
        <v>1239.02</v>
      </c>
      <c r="X556" t="s">
        <v>32</v>
      </c>
      <c r="Y556" t="s">
        <v>33</v>
      </c>
      <c r="Z556" t="str">
        <f t="shared" si="112"/>
        <v>Unique</v>
      </c>
      <c r="AA556" t="str">
        <f t="shared" si="113"/>
        <v>Unique</v>
      </c>
      <c r="AB556" t="str">
        <f t="shared" si="117"/>
        <v>OK</v>
      </c>
      <c r="AC556">
        <f t="shared" si="118"/>
        <v>0.05</v>
      </c>
      <c r="AD556" t="str">
        <f t="shared" si="119"/>
        <v>OK</v>
      </c>
      <c r="AE556">
        <f t="shared" si="120"/>
        <v>4070.636</v>
      </c>
      <c r="AF556">
        <f t="shared" si="121"/>
        <v>1239.0160000000001</v>
      </c>
      <c r="AG556">
        <f t="shared" si="122"/>
        <v>0.30437897173807732</v>
      </c>
      <c r="AH556" t="str">
        <f t="shared" si="114"/>
        <v>October</v>
      </c>
      <c r="AI556">
        <f t="shared" si="115"/>
        <v>2024</v>
      </c>
      <c r="AJ556" t="str">
        <f t="shared" si="123"/>
        <v>OK</v>
      </c>
      <c r="AK556" t="str">
        <f t="shared" si="124"/>
        <v>OK</v>
      </c>
      <c r="AL556" t="str">
        <f t="shared" si="125"/>
        <v>Include</v>
      </c>
      <c r="AM556" t="str">
        <f t="shared" si="116"/>
        <v>Clean</v>
      </c>
    </row>
    <row r="557" spans="1:39">
      <c r="A557" t="s">
        <v>1762</v>
      </c>
      <c r="B557" s="4">
        <v>45692</v>
      </c>
      <c r="C557" s="4">
        <v>45698</v>
      </c>
      <c r="D557" s="6">
        <v>6</v>
      </c>
      <c r="E557" t="s">
        <v>2788</v>
      </c>
      <c r="F557" t="s">
        <v>2788</v>
      </c>
      <c r="G557" t="s">
        <v>2788</v>
      </c>
      <c r="H557" t="s">
        <v>1763</v>
      </c>
      <c r="I557" t="s">
        <v>62</v>
      </c>
      <c r="J557" t="s">
        <v>37</v>
      </c>
      <c r="K557" t="s">
        <v>54</v>
      </c>
      <c r="L557" t="s">
        <v>55</v>
      </c>
      <c r="M557" t="s">
        <v>56</v>
      </c>
      <c r="N557" t="s">
        <v>28</v>
      </c>
      <c r="O557" t="s">
        <v>124</v>
      </c>
      <c r="P557" t="s">
        <v>1764</v>
      </c>
      <c r="Q557" t="s">
        <v>59</v>
      </c>
      <c r="R557">
        <v>6</v>
      </c>
      <c r="S557">
        <v>1042.8</v>
      </c>
      <c r="T557">
        <v>0.05</v>
      </c>
      <c r="U557">
        <v>5943.96</v>
      </c>
      <c r="V557">
        <v>3604.14</v>
      </c>
      <c r="W557">
        <v>2339.8200000000002</v>
      </c>
      <c r="X557" t="s">
        <v>32</v>
      </c>
      <c r="Y557" t="s">
        <v>33</v>
      </c>
      <c r="Z557" t="str">
        <f t="shared" si="112"/>
        <v>Unique</v>
      </c>
      <c r="AA557" t="str">
        <f t="shared" si="113"/>
        <v>Unique</v>
      </c>
      <c r="AB557" t="str">
        <f t="shared" si="117"/>
        <v>OK</v>
      </c>
      <c r="AC557">
        <f t="shared" si="118"/>
        <v>0.05</v>
      </c>
      <c r="AD557" t="str">
        <f t="shared" si="119"/>
        <v>OK</v>
      </c>
      <c r="AE557">
        <f t="shared" si="120"/>
        <v>5943.9599999999991</v>
      </c>
      <c r="AF557">
        <f t="shared" si="121"/>
        <v>2339.8199999999993</v>
      </c>
      <c r="AG557">
        <f t="shared" si="122"/>
        <v>0.39364665980255581</v>
      </c>
      <c r="AH557" t="str">
        <f t="shared" si="114"/>
        <v>February</v>
      </c>
      <c r="AI557">
        <f t="shared" si="115"/>
        <v>2025</v>
      </c>
      <c r="AJ557" t="str">
        <f t="shared" si="123"/>
        <v>OK</v>
      </c>
      <c r="AK557" t="str">
        <f t="shared" si="124"/>
        <v>OK</v>
      </c>
      <c r="AL557" t="str">
        <f t="shared" si="125"/>
        <v>Include</v>
      </c>
      <c r="AM557" t="str">
        <f t="shared" si="116"/>
        <v>Clean</v>
      </c>
    </row>
    <row r="558" spans="1:39">
      <c r="A558" t="s">
        <v>1765</v>
      </c>
      <c r="B558" s="4">
        <v>45466</v>
      </c>
      <c r="C558" s="4">
        <v>45472</v>
      </c>
      <c r="D558" s="6">
        <v>6</v>
      </c>
      <c r="E558" t="s">
        <v>2788</v>
      </c>
      <c r="F558" t="s">
        <v>2788</v>
      </c>
      <c r="G558" t="s">
        <v>2788</v>
      </c>
      <c r="H558" t="s">
        <v>1766</v>
      </c>
      <c r="I558" t="s">
        <v>79</v>
      </c>
      <c r="J558" t="s">
        <v>24</v>
      </c>
      <c r="K558" t="s">
        <v>25</v>
      </c>
      <c r="L558" t="s">
        <v>236</v>
      </c>
      <c r="M558" t="s">
        <v>237</v>
      </c>
      <c r="N558" t="s">
        <v>41</v>
      </c>
      <c r="O558" t="s">
        <v>42</v>
      </c>
      <c r="P558" t="s">
        <v>1767</v>
      </c>
      <c r="Q558" t="s">
        <v>50</v>
      </c>
      <c r="R558">
        <v>1</v>
      </c>
      <c r="S558">
        <v>4426.66</v>
      </c>
      <c r="T558">
        <v>0</v>
      </c>
      <c r="U558">
        <v>4426.66</v>
      </c>
      <c r="V558">
        <v>3035.2</v>
      </c>
      <c r="W558">
        <v>1816.23</v>
      </c>
      <c r="X558" t="s">
        <v>32</v>
      </c>
      <c r="Y558" t="s">
        <v>103</v>
      </c>
      <c r="Z558" t="str">
        <f t="shared" si="112"/>
        <v>Unique</v>
      </c>
      <c r="AA558" t="str">
        <f t="shared" si="113"/>
        <v>Unique</v>
      </c>
      <c r="AB558" t="str">
        <f t="shared" si="117"/>
        <v>OK</v>
      </c>
      <c r="AC558">
        <f t="shared" si="118"/>
        <v>0</v>
      </c>
      <c r="AD558" t="str">
        <f t="shared" si="119"/>
        <v>OK</v>
      </c>
      <c r="AE558">
        <f t="shared" si="120"/>
        <v>4426.66</v>
      </c>
      <c r="AF558">
        <f t="shared" si="121"/>
        <v>1391.46</v>
      </c>
      <c r="AG558">
        <f t="shared" si="122"/>
        <v>0.31433631677156143</v>
      </c>
      <c r="AH558" t="str">
        <f t="shared" si="114"/>
        <v>June</v>
      </c>
      <c r="AI558">
        <f t="shared" si="115"/>
        <v>2024</v>
      </c>
      <c r="AJ558" t="str">
        <f t="shared" si="123"/>
        <v>OK</v>
      </c>
      <c r="AK558" t="str">
        <f t="shared" si="124"/>
        <v>Profit Mismatch</v>
      </c>
      <c r="AL558" t="str">
        <f t="shared" si="125"/>
        <v>Exclude</v>
      </c>
      <c r="AM558" t="str">
        <f t="shared" si="116"/>
        <v>Warning</v>
      </c>
    </row>
    <row r="559" spans="1:39">
      <c r="A559" t="s">
        <v>1768</v>
      </c>
      <c r="B559" s="4">
        <v>45420</v>
      </c>
      <c r="C559" s="4">
        <v>45426</v>
      </c>
      <c r="D559" s="6">
        <v>6</v>
      </c>
      <c r="E559" t="s">
        <v>2788</v>
      </c>
      <c r="F559" t="s">
        <v>2788</v>
      </c>
      <c r="G559" t="s">
        <v>2788</v>
      </c>
      <c r="H559" t="s">
        <v>1769</v>
      </c>
      <c r="I559" t="s">
        <v>71</v>
      </c>
      <c r="J559" t="s">
        <v>95</v>
      </c>
      <c r="K559" t="s">
        <v>25</v>
      </c>
      <c r="L559" t="s">
        <v>236</v>
      </c>
      <c r="M559" t="s">
        <v>237</v>
      </c>
      <c r="N559" t="s">
        <v>74</v>
      </c>
      <c r="O559" t="s">
        <v>171</v>
      </c>
      <c r="P559" t="s">
        <v>1770</v>
      </c>
      <c r="Q559" t="s">
        <v>50</v>
      </c>
      <c r="R559">
        <v>9</v>
      </c>
      <c r="S559">
        <v>3769.46</v>
      </c>
      <c r="T559">
        <v>0.05</v>
      </c>
      <c r="U559">
        <v>32228.880000000001</v>
      </c>
      <c r="V559">
        <v>24971.360000000001</v>
      </c>
      <c r="W559">
        <v>7257.52</v>
      </c>
      <c r="X559" t="s">
        <v>32</v>
      </c>
      <c r="Y559" t="s">
        <v>68</v>
      </c>
      <c r="Z559" t="str">
        <f t="shared" si="112"/>
        <v>Unique</v>
      </c>
      <c r="AA559" t="str">
        <f t="shared" si="113"/>
        <v>Unique</v>
      </c>
      <c r="AB559" t="str">
        <f t="shared" si="117"/>
        <v>OK</v>
      </c>
      <c r="AC559">
        <f t="shared" si="118"/>
        <v>0.05</v>
      </c>
      <c r="AD559" t="str">
        <f t="shared" si="119"/>
        <v>OK</v>
      </c>
      <c r="AE559">
        <f t="shared" si="120"/>
        <v>32228.882999999998</v>
      </c>
      <c r="AF559">
        <f t="shared" si="121"/>
        <v>7257.5229999999974</v>
      </c>
      <c r="AG559">
        <f t="shared" si="122"/>
        <v>0.22518692317074712</v>
      </c>
      <c r="AH559" t="str">
        <f t="shared" si="114"/>
        <v>May</v>
      </c>
      <c r="AI559">
        <f t="shared" si="115"/>
        <v>2024</v>
      </c>
      <c r="AJ559" t="str">
        <f t="shared" si="123"/>
        <v>OK</v>
      </c>
      <c r="AK559" t="str">
        <f t="shared" si="124"/>
        <v>OK</v>
      </c>
      <c r="AL559" t="str">
        <f t="shared" si="125"/>
        <v>Exclude</v>
      </c>
      <c r="AM559" t="str">
        <f t="shared" si="116"/>
        <v>Clean</v>
      </c>
    </row>
    <row r="560" spans="1:39">
      <c r="A560" t="s">
        <v>1771</v>
      </c>
      <c r="B560" s="4">
        <v>45904</v>
      </c>
      <c r="C560" s="4">
        <v>45904</v>
      </c>
      <c r="D560" s="6">
        <v>0</v>
      </c>
      <c r="E560" t="s">
        <v>2788</v>
      </c>
      <c r="F560" t="s">
        <v>2788</v>
      </c>
      <c r="G560" t="s">
        <v>2788</v>
      </c>
      <c r="H560" t="s">
        <v>1772</v>
      </c>
      <c r="I560" t="s">
        <v>89</v>
      </c>
      <c r="J560" t="s">
        <v>90</v>
      </c>
      <c r="K560" t="s">
        <v>25</v>
      </c>
      <c r="L560" t="s">
        <v>122</v>
      </c>
      <c r="M560" t="s">
        <v>123</v>
      </c>
      <c r="N560" t="s">
        <v>74</v>
      </c>
      <c r="O560" t="s">
        <v>274</v>
      </c>
      <c r="P560" t="s">
        <v>1773</v>
      </c>
      <c r="Q560" t="s">
        <v>50</v>
      </c>
      <c r="R560">
        <v>8</v>
      </c>
      <c r="S560">
        <v>3079.95</v>
      </c>
      <c r="T560">
        <v>0.2</v>
      </c>
      <c r="U560">
        <v>19711.68</v>
      </c>
      <c r="V560">
        <v>14461.8</v>
      </c>
      <c r="W560">
        <v>5249.88</v>
      </c>
      <c r="X560" t="s">
        <v>32</v>
      </c>
      <c r="Y560" t="s">
        <v>33</v>
      </c>
      <c r="Z560" t="str">
        <f t="shared" si="112"/>
        <v>Unique</v>
      </c>
      <c r="AA560" t="str">
        <f t="shared" si="113"/>
        <v>Unique</v>
      </c>
      <c r="AB560" t="str">
        <f t="shared" si="117"/>
        <v>OK</v>
      </c>
      <c r="AC560">
        <f t="shared" si="118"/>
        <v>0.2</v>
      </c>
      <c r="AD560" t="str">
        <f t="shared" si="119"/>
        <v>OK</v>
      </c>
      <c r="AE560">
        <f t="shared" si="120"/>
        <v>19711.68</v>
      </c>
      <c r="AF560">
        <f t="shared" si="121"/>
        <v>5249.880000000001</v>
      </c>
      <c r="AG560">
        <f t="shared" si="122"/>
        <v>0.26633346320557155</v>
      </c>
      <c r="AH560" t="str">
        <f t="shared" si="114"/>
        <v>September</v>
      </c>
      <c r="AI560">
        <f t="shared" si="115"/>
        <v>2025</v>
      </c>
      <c r="AJ560" t="str">
        <f t="shared" si="123"/>
        <v>OK</v>
      </c>
      <c r="AK560" t="str">
        <f t="shared" si="124"/>
        <v>OK</v>
      </c>
      <c r="AL560" t="str">
        <f t="shared" si="125"/>
        <v>Include</v>
      </c>
      <c r="AM560" t="str">
        <f t="shared" si="116"/>
        <v>Clean</v>
      </c>
    </row>
    <row r="561" spans="1:39">
      <c r="A561" t="s">
        <v>1774</v>
      </c>
      <c r="B561" s="4">
        <v>45930</v>
      </c>
      <c r="C561" s="4">
        <v>45937</v>
      </c>
      <c r="D561" s="6">
        <v>7</v>
      </c>
      <c r="E561" t="s">
        <v>2788</v>
      </c>
      <c r="F561" t="s">
        <v>2788</v>
      </c>
      <c r="G561" t="s">
        <v>2788</v>
      </c>
      <c r="H561" t="s">
        <v>1775</v>
      </c>
      <c r="I561" t="s">
        <v>162</v>
      </c>
      <c r="J561" t="s">
        <v>90</v>
      </c>
      <c r="K561" t="s">
        <v>38</v>
      </c>
      <c r="L561" t="s">
        <v>145</v>
      </c>
      <c r="M561" t="s">
        <v>146</v>
      </c>
      <c r="N561" t="s">
        <v>74</v>
      </c>
      <c r="O561" t="s">
        <v>80</v>
      </c>
      <c r="P561" t="s">
        <v>1776</v>
      </c>
      <c r="Q561" t="s">
        <v>31</v>
      </c>
      <c r="R561">
        <v>5</v>
      </c>
      <c r="S561">
        <v>3277.82</v>
      </c>
      <c r="T561">
        <v>0.1</v>
      </c>
      <c r="U561">
        <v>14750.19</v>
      </c>
      <c r="V561">
        <v>9482.58</v>
      </c>
      <c r="W561">
        <v>5267.61</v>
      </c>
      <c r="X561" t="s">
        <v>32</v>
      </c>
      <c r="Y561" t="s">
        <v>103</v>
      </c>
      <c r="Z561" t="str">
        <f t="shared" si="112"/>
        <v>Unique</v>
      </c>
      <c r="AA561" t="str">
        <f t="shared" si="113"/>
        <v>Unique</v>
      </c>
      <c r="AB561" t="str">
        <f t="shared" si="117"/>
        <v>OK</v>
      </c>
      <c r="AC561">
        <f t="shared" si="118"/>
        <v>0.1</v>
      </c>
      <c r="AD561" t="str">
        <f t="shared" si="119"/>
        <v>OK</v>
      </c>
      <c r="AE561">
        <f t="shared" si="120"/>
        <v>14750.190000000002</v>
      </c>
      <c r="AF561">
        <f t="shared" si="121"/>
        <v>5267.6100000000024</v>
      </c>
      <c r="AG561">
        <f t="shared" si="122"/>
        <v>0.35712150148574368</v>
      </c>
      <c r="AH561" t="str">
        <f t="shared" si="114"/>
        <v>September</v>
      </c>
      <c r="AI561">
        <f t="shared" si="115"/>
        <v>2025</v>
      </c>
      <c r="AJ561" t="str">
        <f t="shared" si="123"/>
        <v>OK</v>
      </c>
      <c r="AK561" t="str">
        <f t="shared" si="124"/>
        <v>OK</v>
      </c>
      <c r="AL561" t="str">
        <f t="shared" si="125"/>
        <v>Exclude</v>
      </c>
      <c r="AM561" t="str">
        <f t="shared" si="116"/>
        <v>Clean</v>
      </c>
    </row>
    <row r="562" spans="1:39">
      <c r="A562" t="s">
        <v>1777</v>
      </c>
      <c r="B562" s="4">
        <v>45307</v>
      </c>
      <c r="C562" s="4">
        <v>45313</v>
      </c>
      <c r="D562" s="6">
        <v>6</v>
      </c>
      <c r="E562" t="s">
        <v>2788</v>
      </c>
      <c r="F562" t="s">
        <v>2788</v>
      </c>
      <c r="G562" t="s">
        <v>2788</v>
      </c>
      <c r="H562" t="s">
        <v>1778</v>
      </c>
      <c r="I562" t="s">
        <v>53</v>
      </c>
      <c r="J562" t="s">
        <v>24</v>
      </c>
      <c r="K562" t="s">
        <v>63</v>
      </c>
      <c r="L562" t="s">
        <v>190</v>
      </c>
      <c r="M562" t="s">
        <v>191</v>
      </c>
      <c r="N562" t="s">
        <v>28</v>
      </c>
      <c r="O562" t="s">
        <v>124</v>
      </c>
      <c r="P562" t="s">
        <v>1779</v>
      </c>
      <c r="Q562" t="s">
        <v>59</v>
      </c>
      <c r="R562">
        <v>4</v>
      </c>
      <c r="S562">
        <v>282.52999999999997</v>
      </c>
      <c r="T562">
        <v>0</v>
      </c>
      <c r="U562">
        <v>1130.1199999999999</v>
      </c>
      <c r="V562">
        <v>848.62</v>
      </c>
      <c r="W562">
        <v>281.5</v>
      </c>
      <c r="X562" t="s">
        <v>32</v>
      </c>
      <c r="Y562" t="s">
        <v>68</v>
      </c>
      <c r="Z562" t="str">
        <f t="shared" si="112"/>
        <v>Unique</v>
      </c>
      <c r="AA562" t="str">
        <f t="shared" si="113"/>
        <v>Unique</v>
      </c>
      <c r="AB562" t="str">
        <f t="shared" si="117"/>
        <v>OK</v>
      </c>
      <c r="AC562">
        <f t="shared" si="118"/>
        <v>0</v>
      </c>
      <c r="AD562" t="str">
        <f t="shared" si="119"/>
        <v>OK</v>
      </c>
      <c r="AE562">
        <f t="shared" si="120"/>
        <v>1130.1199999999999</v>
      </c>
      <c r="AF562">
        <f t="shared" si="121"/>
        <v>281.49999999999989</v>
      </c>
      <c r="AG562">
        <f t="shared" si="122"/>
        <v>0.249088592361873</v>
      </c>
      <c r="AH562" t="str">
        <f t="shared" si="114"/>
        <v>January</v>
      </c>
      <c r="AI562">
        <f t="shared" si="115"/>
        <v>2024</v>
      </c>
      <c r="AJ562" t="str">
        <f t="shared" si="123"/>
        <v>OK</v>
      </c>
      <c r="AK562" t="str">
        <f t="shared" si="124"/>
        <v>OK</v>
      </c>
      <c r="AL562" t="str">
        <f t="shared" si="125"/>
        <v>Exclude</v>
      </c>
      <c r="AM562" t="str">
        <f t="shared" si="116"/>
        <v>Clean</v>
      </c>
    </row>
    <row r="563" spans="1:39">
      <c r="A563" t="s">
        <v>1780</v>
      </c>
      <c r="B563" s="4">
        <v>45852</v>
      </c>
      <c r="C563" s="4">
        <v>45856</v>
      </c>
      <c r="D563" s="6">
        <v>4</v>
      </c>
      <c r="E563" t="s">
        <v>2788</v>
      </c>
      <c r="F563" t="s">
        <v>2788</v>
      </c>
      <c r="G563" t="s">
        <v>2788</v>
      </c>
      <c r="H563" t="s">
        <v>1781</v>
      </c>
      <c r="I563" t="s">
        <v>89</v>
      </c>
      <c r="J563" t="s">
        <v>24</v>
      </c>
      <c r="K563" t="s">
        <v>25</v>
      </c>
      <c r="L563" t="s">
        <v>122</v>
      </c>
      <c r="M563" t="s">
        <v>123</v>
      </c>
      <c r="N563" t="s">
        <v>74</v>
      </c>
      <c r="O563" t="s">
        <v>80</v>
      </c>
      <c r="P563" t="s">
        <v>1782</v>
      </c>
      <c r="Q563" t="s">
        <v>50</v>
      </c>
      <c r="R563">
        <v>4</v>
      </c>
      <c r="S563">
        <v>725.22</v>
      </c>
      <c r="T563">
        <v>0</v>
      </c>
      <c r="U563">
        <v>2900.88</v>
      </c>
      <c r="V563">
        <v>2391.85</v>
      </c>
      <c r="W563">
        <v>509.03</v>
      </c>
      <c r="X563" t="s">
        <v>111</v>
      </c>
      <c r="Y563" t="s">
        <v>103</v>
      </c>
      <c r="Z563" t="str">
        <f t="shared" si="112"/>
        <v>Unique</v>
      </c>
      <c r="AA563" t="str">
        <f t="shared" si="113"/>
        <v>Unique</v>
      </c>
      <c r="AB563" t="str">
        <f t="shared" si="117"/>
        <v>OK</v>
      </c>
      <c r="AC563">
        <f t="shared" si="118"/>
        <v>0</v>
      </c>
      <c r="AD563" t="str">
        <f t="shared" si="119"/>
        <v>OK</v>
      </c>
      <c r="AE563">
        <f t="shared" si="120"/>
        <v>2900.88</v>
      </c>
      <c r="AF563">
        <f t="shared" si="121"/>
        <v>509.0300000000002</v>
      </c>
      <c r="AG563">
        <f t="shared" si="122"/>
        <v>0.17547433882132324</v>
      </c>
      <c r="AH563" t="str">
        <f t="shared" si="114"/>
        <v>July</v>
      </c>
      <c r="AI563">
        <f t="shared" si="115"/>
        <v>2025</v>
      </c>
      <c r="AJ563" t="str">
        <f t="shared" si="123"/>
        <v>OK</v>
      </c>
      <c r="AK563" t="str">
        <f t="shared" si="124"/>
        <v>OK</v>
      </c>
      <c r="AL563" t="str">
        <f t="shared" si="125"/>
        <v>Exclude</v>
      </c>
      <c r="AM563" t="str">
        <f t="shared" si="116"/>
        <v>Clean</v>
      </c>
    </row>
    <row r="564" spans="1:39">
      <c r="A564" t="s">
        <v>1783</v>
      </c>
      <c r="B564" s="4">
        <v>45422</v>
      </c>
      <c r="C564" s="4">
        <v>45428</v>
      </c>
      <c r="D564" s="6">
        <v>6</v>
      </c>
      <c r="E564" t="s">
        <v>2788</v>
      </c>
      <c r="F564" t="s">
        <v>2788</v>
      </c>
      <c r="G564" t="s">
        <v>2788</v>
      </c>
      <c r="H564" t="s">
        <v>1784</v>
      </c>
      <c r="I564" t="s">
        <v>23</v>
      </c>
      <c r="J564" t="s">
        <v>24</v>
      </c>
      <c r="K564" t="s">
        <v>25</v>
      </c>
      <c r="L564" t="s">
        <v>122</v>
      </c>
      <c r="M564" t="s">
        <v>123</v>
      </c>
      <c r="N564" t="s">
        <v>28</v>
      </c>
      <c r="O564" t="s">
        <v>153</v>
      </c>
      <c r="P564" t="s">
        <v>1785</v>
      </c>
      <c r="Q564" t="s">
        <v>44</v>
      </c>
      <c r="R564">
        <v>7</v>
      </c>
      <c r="S564">
        <v>121.54</v>
      </c>
      <c r="T564">
        <v>0.2</v>
      </c>
      <c r="U564">
        <v>680.62</v>
      </c>
      <c r="V564">
        <v>463.49</v>
      </c>
      <c r="W564">
        <v>217.13</v>
      </c>
      <c r="X564" t="s">
        <v>155</v>
      </c>
      <c r="Y564" t="s">
        <v>103</v>
      </c>
      <c r="Z564" t="str">
        <f t="shared" si="112"/>
        <v>Unique</v>
      </c>
      <c r="AA564" t="str">
        <f t="shared" si="113"/>
        <v>Unique</v>
      </c>
      <c r="AB564" t="str">
        <f t="shared" si="117"/>
        <v>OK</v>
      </c>
      <c r="AC564">
        <f t="shared" si="118"/>
        <v>0.2</v>
      </c>
      <c r="AD564" t="str">
        <f t="shared" si="119"/>
        <v>OK</v>
      </c>
      <c r="AE564">
        <f t="shared" si="120"/>
        <v>680.62400000000014</v>
      </c>
      <c r="AF564">
        <f t="shared" si="121"/>
        <v>217.13400000000013</v>
      </c>
      <c r="AG564">
        <f t="shared" si="122"/>
        <v>0.31902195632243363</v>
      </c>
      <c r="AH564" t="str">
        <f t="shared" si="114"/>
        <v>May</v>
      </c>
      <c r="AI564">
        <f t="shared" si="115"/>
        <v>2024</v>
      </c>
      <c r="AJ564" t="str">
        <f t="shared" si="123"/>
        <v>OK</v>
      </c>
      <c r="AK564" t="str">
        <f t="shared" si="124"/>
        <v>OK</v>
      </c>
      <c r="AL564" t="str">
        <f t="shared" si="125"/>
        <v>Exclude</v>
      </c>
      <c r="AM564" t="str">
        <f t="shared" si="116"/>
        <v>Clean</v>
      </c>
    </row>
    <row r="565" spans="1:39">
      <c r="A565" t="s">
        <v>1786</v>
      </c>
      <c r="B565" s="4">
        <v>45418</v>
      </c>
      <c r="C565" s="4">
        <v>45424</v>
      </c>
      <c r="D565" s="6">
        <v>6</v>
      </c>
      <c r="E565" t="s">
        <v>2788</v>
      </c>
      <c r="F565" t="s">
        <v>2788</v>
      </c>
      <c r="G565" t="s">
        <v>2788</v>
      </c>
      <c r="H565" t="s">
        <v>1787</v>
      </c>
      <c r="I565" t="s">
        <v>53</v>
      </c>
      <c r="J565" t="s">
        <v>90</v>
      </c>
      <c r="K565" t="s">
        <v>63</v>
      </c>
      <c r="L565" t="s">
        <v>190</v>
      </c>
      <c r="M565" t="s">
        <v>191</v>
      </c>
      <c r="N565" t="s">
        <v>41</v>
      </c>
      <c r="O565" t="s">
        <v>42</v>
      </c>
      <c r="P565" t="s">
        <v>1788</v>
      </c>
      <c r="Q565" t="s">
        <v>59</v>
      </c>
      <c r="R565">
        <v>9</v>
      </c>
      <c r="S565">
        <v>790.97</v>
      </c>
      <c r="T565">
        <v>0.2</v>
      </c>
      <c r="U565">
        <v>5694.98</v>
      </c>
      <c r="V565">
        <v>4618.33</v>
      </c>
      <c r="W565">
        <v>1076.6500000000001</v>
      </c>
      <c r="X565" t="s">
        <v>111</v>
      </c>
      <c r="Y565" t="s">
        <v>68</v>
      </c>
      <c r="Z565" t="str">
        <f t="shared" si="112"/>
        <v>Unique</v>
      </c>
      <c r="AA565" t="str">
        <f t="shared" si="113"/>
        <v>Unique</v>
      </c>
      <c r="AB565" t="str">
        <f t="shared" si="117"/>
        <v>OK</v>
      </c>
      <c r="AC565">
        <f t="shared" si="118"/>
        <v>0.2</v>
      </c>
      <c r="AD565" t="str">
        <f t="shared" si="119"/>
        <v>OK</v>
      </c>
      <c r="AE565">
        <f t="shared" si="120"/>
        <v>5694.9840000000004</v>
      </c>
      <c r="AF565">
        <f t="shared" si="121"/>
        <v>1076.6540000000005</v>
      </c>
      <c r="AG565">
        <f t="shared" si="122"/>
        <v>0.1890530333360024</v>
      </c>
      <c r="AH565" t="str">
        <f t="shared" si="114"/>
        <v>May</v>
      </c>
      <c r="AI565">
        <f t="shared" si="115"/>
        <v>2024</v>
      </c>
      <c r="AJ565" t="str">
        <f t="shared" si="123"/>
        <v>OK</v>
      </c>
      <c r="AK565" t="str">
        <f t="shared" si="124"/>
        <v>OK</v>
      </c>
      <c r="AL565" t="str">
        <f t="shared" si="125"/>
        <v>Exclude</v>
      </c>
      <c r="AM565" t="str">
        <f t="shared" si="116"/>
        <v>Clean</v>
      </c>
    </row>
    <row r="566" spans="1:39">
      <c r="A566" t="s">
        <v>1789</v>
      </c>
      <c r="B566" s="4">
        <v>45606</v>
      </c>
      <c r="C566" s="4">
        <v>45610</v>
      </c>
      <c r="D566" s="6">
        <v>4</v>
      </c>
      <c r="E566" t="s">
        <v>2788</v>
      </c>
      <c r="F566" t="s">
        <v>2788</v>
      </c>
      <c r="G566" t="s">
        <v>2788</v>
      </c>
      <c r="H566" t="s">
        <v>1790</v>
      </c>
      <c r="I566" t="s">
        <v>132</v>
      </c>
      <c r="J566" t="s">
        <v>90</v>
      </c>
      <c r="K566" t="s">
        <v>54</v>
      </c>
      <c r="L566" t="s">
        <v>84</v>
      </c>
      <c r="M566" t="s">
        <v>85</v>
      </c>
      <c r="N566" t="s">
        <v>41</v>
      </c>
      <c r="O566" t="s">
        <v>42</v>
      </c>
      <c r="P566" t="s">
        <v>1791</v>
      </c>
      <c r="Q566" t="s">
        <v>50</v>
      </c>
      <c r="R566">
        <v>2</v>
      </c>
      <c r="S566">
        <v>921.34</v>
      </c>
      <c r="T566">
        <v>0.2</v>
      </c>
      <c r="U566">
        <v>1474.14</v>
      </c>
      <c r="V566">
        <v>968.46</v>
      </c>
      <c r="W566">
        <v>505.68</v>
      </c>
      <c r="X566" t="s">
        <v>32</v>
      </c>
      <c r="Y566" t="s">
        <v>33</v>
      </c>
      <c r="Z566" t="str">
        <f t="shared" si="112"/>
        <v>Unique</v>
      </c>
      <c r="AA566" t="str">
        <f t="shared" si="113"/>
        <v>Unique</v>
      </c>
      <c r="AB566" t="str">
        <f t="shared" si="117"/>
        <v>OK</v>
      </c>
      <c r="AC566">
        <f t="shared" si="118"/>
        <v>0.2</v>
      </c>
      <c r="AD566" t="str">
        <f t="shared" si="119"/>
        <v>OK</v>
      </c>
      <c r="AE566">
        <f t="shared" si="120"/>
        <v>1474.1440000000002</v>
      </c>
      <c r="AF566">
        <f t="shared" si="121"/>
        <v>505.6840000000002</v>
      </c>
      <c r="AG566">
        <f t="shared" si="122"/>
        <v>0.34303568715132315</v>
      </c>
      <c r="AH566" t="str">
        <f t="shared" si="114"/>
        <v>November</v>
      </c>
      <c r="AI566">
        <f t="shared" si="115"/>
        <v>2024</v>
      </c>
      <c r="AJ566" t="str">
        <f t="shared" si="123"/>
        <v>OK</v>
      </c>
      <c r="AK566" t="str">
        <f t="shared" si="124"/>
        <v>OK</v>
      </c>
      <c r="AL566" t="str">
        <f t="shared" si="125"/>
        <v>Include</v>
      </c>
      <c r="AM566" t="str">
        <f t="shared" si="116"/>
        <v>Clean</v>
      </c>
    </row>
    <row r="567" spans="1:39">
      <c r="A567" t="s">
        <v>1792</v>
      </c>
      <c r="B567" s="4">
        <v>45876</v>
      </c>
      <c r="C567" s="4">
        <v>45882</v>
      </c>
      <c r="D567" s="6">
        <v>6</v>
      </c>
      <c r="E567" t="s">
        <v>2788</v>
      </c>
      <c r="F567" t="s">
        <v>2788</v>
      </c>
      <c r="G567" t="s">
        <v>2788</v>
      </c>
      <c r="H567" t="s">
        <v>1793</v>
      </c>
      <c r="I567" t="s">
        <v>36</v>
      </c>
      <c r="J567" t="s">
        <v>90</v>
      </c>
      <c r="K567" t="s">
        <v>25</v>
      </c>
      <c r="L567" t="s">
        <v>350</v>
      </c>
      <c r="M567" t="s">
        <v>351</v>
      </c>
      <c r="N567" t="s">
        <v>74</v>
      </c>
      <c r="O567" t="s">
        <v>171</v>
      </c>
      <c r="P567" t="s">
        <v>1794</v>
      </c>
      <c r="Q567" t="s">
        <v>59</v>
      </c>
      <c r="R567">
        <v>6</v>
      </c>
      <c r="S567">
        <v>1921.86</v>
      </c>
      <c r="T567">
        <v>0.2</v>
      </c>
      <c r="U567">
        <v>9224.93</v>
      </c>
      <c r="V567">
        <v>7005.2</v>
      </c>
      <c r="W567">
        <v>2219.73</v>
      </c>
      <c r="X567" t="s">
        <v>102</v>
      </c>
      <c r="Y567" t="s">
        <v>68</v>
      </c>
      <c r="Z567" t="str">
        <f t="shared" si="112"/>
        <v>Unique</v>
      </c>
      <c r="AA567" t="str">
        <f t="shared" si="113"/>
        <v>Unique</v>
      </c>
      <c r="AB567" t="str">
        <f t="shared" si="117"/>
        <v>OK</v>
      </c>
      <c r="AC567">
        <f t="shared" si="118"/>
        <v>0.2</v>
      </c>
      <c r="AD567" t="str">
        <f t="shared" si="119"/>
        <v>OK</v>
      </c>
      <c r="AE567">
        <f t="shared" si="120"/>
        <v>9224.9279999999999</v>
      </c>
      <c r="AF567">
        <f t="shared" si="121"/>
        <v>2219.7280000000001</v>
      </c>
      <c r="AG567">
        <f t="shared" si="122"/>
        <v>0.24062279944081949</v>
      </c>
      <c r="AH567" t="str">
        <f t="shared" si="114"/>
        <v>August</v>
      </c>
      <c r="AI567">
        <f t="shared" si="115"/>
        <v>2025</v>
      </c>
      <c r="AJ567" t="str">
        <f t="shared" si="123"/>
        <v>OK</v>
      </c>
      <c r="AK567" t="str">
        <f t="shared" si="124"/>
        <v>OK</v>
      </c>
      <c r="AL567" t="str">
        <f t="shared" si="125"/>
        <v>Exclude</v>
      </c>
      <c r="AM567" t="str">
        <f t="shared" si="116"/>
        <v>Clean</v>
      </c>
    </row>
    <row r="568" spans="1:39">
      <c r="A568" t="s">
        <v>1795</v>
      </c>
      <c r="B568" s="4">
        <v>45515</v>
      </c>
      <c r="C568" s="4">
        <v>45523</v>
      </c>
      <c r="D568" s="6">
        <v>8</v>
      </c>
      <c r="E568" t="s">
        <v>2788</v>
      </c>
      <c r="F568" t="s">
        <v>2788</v>
      </c>
      <c r="G568" t="s">
        <v>2788</v>
      </c>
      <c r="H568" t="s">
        <v>1796</v>
      </c>
      <c r="I568" t="s">
        <v>132</v>
      </c>
      <c r="J568" t="s">
        <v>37</v>
      </c>
      <c r="K568" t="s">
        <v>63</v>
      </c>
      <c r="L568" t="s">
        <v>64</v>
      </c>
      <c r="M568" t="s">
        <v>65</v>
      </c>
      <c r="N568" t="s">
        <v>28</v>
      </c>
      <c r="O568" t="s">
        <v>29</v>
      </c>
      <c r="P568" t="s">
        <v>1797</v>
      </c>
      <c r="Q568" t="s">
        <v>44</v>
      </c>
      <c r="R568">
        <v>2</v>
      </c>
      <c r="S568">
        <v>2617.89</v>
      </c>
      <c r="T568">
        <v>0.1</v>
      </c>
      <c r="U568">
        <v>4712.2</v>
      </c>
      <c r="V568">
        <v>3851.91</v>
      </c>
      <c r="W568">
        <v>860.29</v>
      </c>
      <c r="X568" t="s">
        <v>155</v>
      </c>
      <c r="Y568" t="s">
        <v>103</v>
      </c>
      <c r="Z568" t="str">
        <f t="shared" si="112"/>
        <v>Unique</v>
      </c>
      <c r="AA568" t="str">
        <f t="shared" si="113"/>
        <v>Unique</v>
      </c>
      <c r="AB568" t="str">
        <f t="shared" si="117"/>
        <v>OK</v>
      </c>
      <c r="AC568">
        <f t="shared" si="118"/>
        <v>0.1</v>
      </c>
      <c r="AD568" t="str">
        <f t="shared" si="119"/>
        <v>OK</v>
      </c>
      <c r="AE568">
        <f t="shared" si="120"/>
        <v>4712.2020000000002</v>
      </c>
      <c r="AF568">
        <f t="shared" si="121"/>
        <v>860.29200000000037</v>
      </c>
      <c r="AG568">
        <f t="shared" si="122"/>
        <v>0.18256687637754077</v>
      </c>
      <c r="AH568" t="str">
        <f t="shared" si="114"/>
        <v>August</v>
      </c>
      <c r="AI568">
        <f t="shared" si="115"/>
        <v>2024</v>
      </c>
      <c r="AJ568" t="str">
        <f t="shared" si="123"/>
        <v>OK</v>
      </c>
      <c r="AK568" t="str">
        <f t="shared" si="124"/>
        <v>OK</v>
      </c>
      <c r="AL568" t="str">
        <f t="shared" si="125"/>
        <v>Exclude</v>
      </c>
      <c r="AM568" t="str">
        <f t="shared" si="116"/>
        <v>Clean</v>
      </c>
    </row>
    <row r="569" spans="1:39">
      <c r="A569" t="s">
        <v>1798</v>
      </c>
      <c r="B569" s="4">
        <v>45328</v>
      </c>
      <c r="C569" s="4">
        <v>45332</v>
      </c>
      <c r="D569" s="6">
        <v>4</v>
      </c>
      <c r="E569" t="s">
        <v>2788</v>
      </c>
      <c r="F569" t="s">
        <v>2788</v>
      </c>
      <c r="G569" t="s">
        <v>2788</v>
      </c>
      <c r="H569" t="s">
        <v>1799</v>
      </c>
      <c r="I569" t="s">
        <v>53</v>
      </c>
      <c r="J569" t="s">
        <v>95</v>
      </c>
      <c r="K569" t="s">
        <v>25</v>
      </c>
      <c r="L569" t="s">
        <v>136</v>
      </c>
      <c r="M569" t="s">
        <v>137</v>
      </c>
      <c r="N569" t="s">
        <v>41</v>
      </c>
      <c r="O569" t="s">
        <v>57</v>
      </c>
      <c r="P569" t="s">
        <v>597</v>
      </c>
      <c r="Q569" t="s">
        <v>44</v>
      </c>
      <c r="R569">
        <v>1</v>
      </c>
      <c r="S569">
        <v>1374.06</v>
      </c>
      <c r="T569">
        <v>0.05</v>
      </c>
      <c r="U569">
        <v>1305.3599999999999</v>
      </c>
      <c r="V569">
        <v>731.89</v>
      </c>
      <c r="W569">
        <v>573.47</v>
      </c>
      <c r="X569" t="s">
        <v>32</v>
      </c>
      <c r="Y569" t="s">
        <v>33</v>
      </c>
      <c r="Z569" t="str">
        <f t="shared" si="112"/>
        <v>Unique</v>
      </c>
      <c r="AA569" t="str">
        <f t="shared" si="113"/>
        <v>Unique</v>
      </c>
      <c r="AB569" t="str">
        <f t="shared" si="117"/>
        <v>OK</v>
      </c>
      <c r="AC569">
        <f t="shared" si="118"/>
        <v>0.05</v>
      </c>
      <c r="AD569" t="str">
        <f t="shared" si="119"/>
        <v>OK</v>
      </c>
      <c r="AE569">
        <f t="shared" si="120"/>
        <v>1305.357</v>
      </c>
      <c r="AF569">
        <f t="shared" si="121"/>
        <v>573.46699999999998</v>
      </c>
      <c r="AG569">
        <f t="shared" si="122"/>
        <v>0.4393181328939133</v>
      </c>
      <c r="AH569" t="str">
        <f t="shared" si="114"/>
        <v>February</v>
      </c>
      <c r="AI569">
        <f t="shared" si="115"/>
        <v>2024</v>
      </c>
      <c r="AJ569" t="str">
        <f t="shared" si="123"/>
        <v>OK</v>
      </c>
      <c r="AK569" t="str">
        <f t="shared" si="124"/>
        <v>OK</v>
      </c>
      <c r="AL569" t="str">
        <f t="shared" si="125"/>
        <v>Include</v>
      </c>
      <c r="AM569" t="str">
        <f t="shared" si="116"/>
        <v>Clean</v>
      </c>
    </row>
    <row r="570" spans="1:39">
      <c r="A570" t="s">
        <v>1800</v>
      </c>
      <c r="B570" s="4">
        <v>45312</v>
      </c>
      <c r="C570" s="4">
        <v>45315</v>
      </c>
      <c r="D570" s="6">
        <v>3</v>
      </c>
      <c r="E570" t="s">
        <v>2788</v>
      </c>
      <c r="F570" t="s">
        <v>2788</v>
      </c>
      <c r="G570" t="s">
        <v>2788</v>
      </c>
      <c r="H570" t="s">
        <v>1801</v>
      </c>
      <c r="I570" t="s">
        <v>264</v>
      </c>
      <c r="J570" t="s">
        <v>90</v>
      </c>
      <c r="K570" t="s">
        <v>25</v>
      </c>
      <c r="L570" t="s">
        <v>122</v>
      </c>
      <c r="M570" t="s">
        <v>123</v>
      </c>
      <c r="N570" t="s">
        <v>74</v>
      </c>
      <c r="O570" t="s">
        <v>274</v>
      </c>
      <c r="P570" t="s">
        <v>1802</v>
      </c>
      <c r="Q570" t="s">
        <v>44</v>
      </c>
      <c r="R570">
        <v>1</v>
      </c>
      <c r="S570">
        <v>3806.3</v>
      </c>
      <c r="T570">
        <v>0.25</v>
      </c>
      <c r="U570">
        <v>2854.73</v>
      </c>
      <c r="V570">
        <v>1968.12</v>
      </c>
      <c r="W570">
        <v>886.61</v>
      </c>
      <c r="X570" t="s">
        <v>32</v>
      </c>
      <c r="Y570" t="s">
        <v>33</v>
      </c>
      <c r="Z570" t="str">
        <f t="shared" si="112"/>
        <v>Unique</v>
      </c>
      <c r="AA570" t="str">
        <f t="shared" si="113"/>
        <v>Unique</v>
      </c>
      <c r="AB570" t="str">
        <f t="shared" si="117"/>
        <v>OK</v>
      </c>
      <c r="AC570">
        <f t="shared" si="118"/>
        <v>0.25</v>
      </c>
      <c r="AD570" t="str">
        <f t="shared" si="119"/>
        <v>OK</v>
      </c>
      <c r="AE570">
        <f t="shared" si="120"/>
        <v>2854.7250000000004</v>
      </c>
      <c r="AF570">
        <f t="shared" si="121"/>
        <v>886.60500000000047</v>
      </c>
      <c r="AG570">
        <f t="shared" si="122"/>
        <v>0.31057457373302172</v>
      </c>
      <c r="AH570" t="str">
        <f t="shared" si="114"/>
        <v>January</v>
      </c>
      <c r="AI570">
        <f t="shared" si="115"/>
        <v>2024</v>
      </c>
      <c r="AJ570" t="str">
        <f t="shared" si="123"/>
        <v>OK</v>
      </c>
      <c r="AK570" t="str">
        <f t="shared" si="124"/>
        <v>OK</v>
      </c>
      <c r="AL570" t="str">
        <f t="shared" si="125"/>
        <v>Include</v>
      </c>
      <c r="AM570" t="str">
        <f t="shared" si="116"/>
        <v>Clean</v>
      </c>
    </row>
    <row r="571" spans="1:39">
      <c r="A571" t="s">
        <v>1803</v>
      </c>
      <c r="B571" s="4">
        <v>45908</v>
      </c>
      <c r="C571" s="4">
        <v>45910</v>
      </c>
      <c r="D571" s="6">
        <v>2</v>
      </c>
      <c r="E571" t="s">
        <v>2788</v>
      </c>
      <c r="F571" t="s">
        <v>2788</v>
      </c>
      <c r="G571" t="s">
        <v>2788</v>
      </c>
      <c r="H571" t="s">
        <v>1804</v>
      </c>
      <c r="I571" t="s">
        <v>118</v>
      </c>
      <c r="J571" t="s">
        <v>95</v>
      </c>
      <c r="K571" t="s">
        <v>63</v>
      </c>
      <c r="L571" t="s">
        <v>64</v>
      </c>
      <c r="M571" t="s">
        <v>65</v>
      </c>
      <c r="N571" t="s">
        <v>41</v>
      </c>
      <c r="O571" t="s">
        <v>57</v>
      </c>
      <c r="P571" t="s">
        <v>1805</v>
      </c>
      <c r="Q571" t="s">
        <v>59</v>
      </c>
      <c r="R571">
        <v>6</v>
      </c>
      <c r="S571">
        <v>3251.17</v>
      </c>
      <c r="T571">
        <v>0.25</v>
      </c>
      <c r="U571">
        <v>14630.26</v>
      </c>
      <c r="V571">
        <v>11906.36</v>
      </c>
      <c r="W571">
        <v>2723.9</v>
      </c>
      <c r="X571" t="s">
        <v>102</v>
      </c>
      <c r="Y571" t="s">
        <v>103</v>
      </c>
      <c r="Z571" t="str">
        <f t="shared" si="112"/>
        <v>Unique</v>
      </c>
      <c r="AA571" t="str">
        <f t="shared" si="113"/>
        <v>Unique</v>
      </c>
      <c r="AB571" t="str">
        <f t="shared" si="117"/>
        <v>OK</v>
      </c>
      <c r="AC571">
        <f t="shared" si="118"/>
        <v>0.25</v>
      </c>
      <c r="AD571" t="str">
        <f t="shared" si="119"/>
        <v>OK</v>
      </c>
      <c r="AE571">
        <f t="shared" si="120"/>
        <v>14630.264999999999</v>
      </c>
      <c r="AF571">
        <f t="shared" si="121"/>
        <v>2723.9049999999988</v>
      </c>
      <c r="AG571">
        <f t="shared" si="122"/>
        <v>0.18618288868998606</v>
      </c>
      <c r="AH571" t="str">
        <f t="shared" si="114"/>
        <v>September</v>
      </c>
      <c r="AI571">
        <f t="shared" si="115"/>
        <v>2025</v>
      </c>
      <c r="AJ571" t="str">
        <f t="shared" si="123"/>
        <v>OK</v>
      </c>
      <c r="AK571" t="str">
        <f t="shared" si="124"/>
        <v>OK</v>
      </c>
      <c r="AL571" t="str">
        <f t="shared" si="125"/>
        <v>Exclude</v>
      </c>
      <c r="AM571" t="str">
        <f t="shared" si="116"/>
        <v>Clean</v>
      </c>
    </row>
    <row r="572" spans="1:39">
      <c r="A572" t="s">
        <v>1806</v>
      </c>
      <c r="B572" s="4">
        <v>45887</v>
      </c>
      <c r="C572" s="4">
        <v>45891</v>
      </c>
      <c r="D572" s="6">
        <v>4</v>
      </c>
      <c r="E572" t="s">
        <v>2788</v>
      </c>
      <c r="F572" t="s">
        <v>2788</v>
      </c>
      <c r="G572" t="s">
        <v>2788</v>
      </c>
      <c r="H572" t="s">
        <v>1807</v>
      </c>
      <c r="I572" t="s">
        <v>53</v>
      </c>
      <c r="J572" t="s">
        <v>24</v>
      </c>
      <c r="K572" t="s">
        <v>38</v>
      </c>
      <c r="L572" t="s">
        <v>228</v>
      </c>
      <c r="M572" t="s">
        <v>229</v>
      </c>
      <c r="N572" t="s">
        <v>41</v>
      </c>
      <c r="O572" t="s">
        <v>57</v>
      </c>
      <c r="P572" t="s">
        <v>1808</v>
      </c>
      <c r="Q572" t="s">
        <v>31</v>
      </c>
      <c r="R572">
        <v>3</v>
      </c>
      <c r="S572">
        <v>3946.44</v>
      </c>
      <c r="T572">
        <v>0.25</v>
      </c>
      <c r="U572">
        <v>8879.49</v>
      </c>
      <c r="V572">
        <v>6344.57</v>
      </c>
      <c r="W572">
        <v>2534.92</v>
      </c>
      <c r="X572" t="s">
        <v>155</v>
      </c>
      <c r="Y572" t="s">
        <v>103</v>
      </c>
      <c r="Z572" t="str">
        <f t="shared" si="112"/>
        <v>Unique</v>
      </c>
      <c r="AA572" t="str">
        <f t="shared" si="113"/>
        <v>Unique</v>
      </c>
      <c r="AB572" t="str">
        <f t="shared" si="117"/>
        <v>OK</v>
      </c>
      <c r="AC572">
        <f t="shared" si="118"/>
        <v>0.25</v>
      </c>
      <c r="AD572" t="str">
        <f t="shared" si="119"/>
        <v>OK</v>
      </c>
      <c r="AE572">
        <f t="shared" si="120"/>
        <v>8879.49</v>
      </c>
      <c r="AF572">
        <f t="shared" si="121"/>
        <v>2534.92</v>
      </c>
      <c r="AG572">
        <f t="shared" si="122"/>
        <v>0.28548035979543873</v>
      </c>
      <c r="AH572" t="str">
        <f t="shared" si="114"/>
        <v>August</v>
      </c>
      <c r="AI572">
        <f t="shared" si="115"/>
        <v>2025</v>
      </c>
      <c r="AJ572" t="str">
        <f t="shared" si="123"/>
        <v>OK</v>
      </c>
      <c r="AK572" t="str">
        <f t="shared" si="124"/>
        <v>OK</v>
      </c>
      <c r="AL572" t="str">
        <f t="shared" si="125"/>
        <v>Exclude</v>
      </c>
      <c r="AM572" t="str">
        <f t="shared" si="116"/>
        <v>Clean</v>
      </c>
    </row>
    <row r="573" spans="1:39">
      <c r="A573" t="s">
        <v>1809</v>
      </c>
      <c r="B573" s="4">
        <v>45698</v>
      </c>
      <c r="C573" s="4">
        <v>45702</v>
      </c>
      <c r="D573" s="6">
        <v>4</v>
      </c>
      <c r="E573" t="s">
        <v>2788</v>
      </c>
      <c r="F573" t="s">
        <v>2788</v>
      </c>
      <c r="G573" t="s">
        <v>2788</v>
      </c>
      <c r="H573" t="s">
        <v>1810</v>
      </c>
      <c r="I573" t="s">
        <v>114</v>
      </c>
      <c r="J573" t="s">
        <v>37</v>
      </c>
      <c r="K573" t="s">
        <v>25</v>
      </c>
      <c r="L573" t="s">
        <v>136</v>
      </c>
      <c r="M573" t="s">
        <v>137</v>
      </c>
      <c r="N573" t="s">
        <v>74</v>
      </c>
      <c r="O573" t="s">
        <v>171</v>
      </c>
      <c r="P573" t="s">
        <v>1811</v>
      </c>
      <c r="Q573" t="s">
        <v>2783</v>
      </c>
      <c r="R573">
        <v>5</v>
      </c>
      <c r="S573">
        <v>4276.29</v>
      </c>
      <c r="T573">
        <v>0</v>
      </c>
      <c r="U573">
        <v>21381.45</v>
      </c>
      <c r="V573">
        <v>13240.21</v>
      </c>
      <c r="W573">
        <v>8141.24</v>
      </c>
      <c r="X573" t="s">
        <v>155</v>
      </c>
      <c r="Y573" t="s">
        <v>103</v>
      </c>
      <c r="Z573" t="str">
        <f t="shared" si="112"/>
        <v>Unique</v>
      </c>
      <c r="AA573" t="str">
        <f t="shared" si="113"/>
        <v>Duplicate Order ID</v>
      </c>
      <c r="AB573" t="str">
        <f t="shared" si="117"/>
        <v>Conflicting Duplicate</v>
      </c>
      <c r="AC573">
        <f t="shared" si="118"/>
        <v>0</v>
      </c>
      <c r="AD573" t="str">
        <f t="shared" si="119"/>
        <v>OK</v>
      </c>
      <c r="AE573">
        <f t="shared" si="120"/>
        <v>21381.45</v>
      </c>
      <c r="AF573">
        <f t="shared" si="121"/>
        <v>8141.2400000000016</v>
      </c>
      <c r="AG573">
        <f t="shared" si="122"/>
        <v>0.38076182859441249</v>
      </c>
      <c r="AH573" t="str">
        <f t="shared" si="114"/>
        <v>February</v>
      </c>
      <c r="AI573">
        <f t="shared" si="115"/>
        <v>2025</v>
      </c>
      <c r="AJ573" t="str">
        <f t="shared" si="123"/>
        <v>OK</v>
      </c>
      <c r="AK573" t="str">
        <f t="shared" si="124"/>
        <v>OK</v>
      </c>
      <c r="AL573" t="str">
        <f t="shared" si="125"/>
        <v>Exclude</v>
      </c>
      <c r="AM573" t="str">
        <f t="shared" si="116"/>
        <v>Invalid</v>
      </c>
    </row>
    <row r="574" spans="1:39">
      <c r="A574" t="s">
        <v>1812</v>
      </c>
      <c r="B574" s="4">
        <v>45293</v>
      </c>
      <c r="C574" s="4">
        <v>45300</v>
      </c>
      <c r="D574" s="6">
        <v>7</v>
      </c>
      <c r="E574" t="s">
        <v>2788</v>
      </c>
      <c r="F574" t="s">
        <v>2788</v>
      </c>
      <c r="G574" t="s">
        <v>2788</v>
      </c>
      <c r="H574" t="s">
        <v>1813</v>
      </c>
      <c r="I574" t="s">
        <v>162</v>
      </c>
      <c r="J574" t="s">
        <v>90</v>
      </c>
      <c r="K574" t="s">
        <v>25</v>
      </c>
      <c r="L574" t="s">
        <v>350</v>
      </c>
      <c r="M574" t="s">
        <v>351</v>
      </c>
      <c r="N574" t="s">
        <v>74</v>
      </c>
      <c r="O574" t="s">
        <v>171</v>
      </c>
      <c r="P574" t="s">
        <v>1814</v>
      </c>
      <c r="Q574" t="s">
        <v>59</v>
      </c>
      <c r="R574">
        <v>3</v>
      </c>
      <c r="S574">
        <v>739.56</v>
      </c>
      <c r="T574">
        <v>0.2</v>
      </c>
      <c r="U574">
        <v>1774.94</v>
      </c>
      <c r="V574">
        <v>1007.4</v>
      </c>
      <c r="W574">
        <v>767.54</v>
      </c>
      <c r="X574" t="s">
        <v>32</v>
      </c>
      <c r="Y574" t="s">
        <v>33</v>
      </c>
      <c r="Z574" t="str">
        <f t="shared" si="112"/>
        <v>Unique</v>
      </c>
      <c r="AA574" t="str">
        <f t="shared" si="113"/>
        <v>Unique</v>
      </c>
      <c r="AB574" t="str">
        <f t="shared" si="117"/>
        <v>OK</v>
      </c>
      <c r="AC574">
        <f t="shared" si="118"/>
        <v>0.2</v>
      </c>
      <c r="AD574" t="str">
        <f t="shared" si="119"/>
        <v>OK</v>
      </c>
      <c r="AE574">
        <f t="shared" si="120"/>
        <v>1774.944</v>
      </c>
      <c r="AF574">
        <f t="shared" si="121"/>
        <v>767.54399999999998</v>
      </c>
      <c r="AG574">
        <f t="shared" si="122"/>
        <v>0.43243279787982042</v>
      </c>
      <c r="AH574" t="str">
        <f t="shared" si="114"/>
        <v>January</v>
      </c>
      <c r="AI574">
        <f t="shared" si="115"/>
        <v>2024</v>
      </c>
      <c r="AJ574" t="str">
        <f t="shared" si="123"/>
        <v>OK</v>
      </c>
      <c r="AK574" t="str">
        <f t="shared" si="124"/>
        <v>OK</v>
      </c>
      <c r="AL574" t="str">
        <f t="shared" si="125"/>
        <v>Include</v>
      </c>
      <c r="AM574" t="str">
        <f t="shared" si="116"/>
        <v>Clean</v>
      </c>
    </row>
    <row r="575" spans="1:39">
      <c r="A575" t="s">
        <v>1815</v>
      </c>
      <c r="B575" s="4">
        <v>45922</v>
      </c>
      <c r="C575" s="4">
        <v>45926</v>
      </c>
      <c r="D575" s="6">
        <v>4</v>
      </c>
      <c r="E575" t="s">
        <v>2788</v>
      </c>
      <c r="F575" t="s">
        <v>2788</v>
      </c>
      <c r="G575" t="s">
        <v>2788</v>
      </c>
      <c r="H575" t="s">
        <v>1816</v>
      </c>
      <c r="I575" t="s">
        <v>47</v>
      </c>
      <c r="J575" t="s">
        <v>24</v>
      </c>
      <c r="K575" t="s">
        <v>54</v>
      </c>
      <c r="L575" t="s">
        <v>84</v>
      </c>
      <c r="M575" t="s">
        <v>85</v>
      </c>
      <c r="N575" t="s">
        <v>74</v>
      </c>
      <c r="O575" t="s">
        <v>171</v>
      </c>
      <c r="P575" t="s">
        <v>1817</v>
      </c>
      <c r="Q575" t="s">
        <v>59</v>
      </c>
      <c r="R575">
        <v>1</v>
      </c>
      <c r="S575">
        <v>573.65</v>
      </c>
      <c r="T575">
        <v>0</v>
      </c>
      <c r="U575">
        <v>573.65</v>
      </c>
      <c r="V575">
        <v>322.67</v>
      </c>
      <c r="W575">
        <v>250.98</v>
      </c>
      <c r="X575" t="s">
        <v>32</v>
      </c>
      <c r="Y575" t="s">
        <v>33</v>
      </c>
      <c r="Z575" t="str">
        <f t="shared" si="112"/>
        <v>Unique</v>
      </c>
      <c r="AA575" t="str">
        <f t="shared" si="113"/>
        <v>Unique</v>
      </c>
      <c r="AB575" t="str">
        <f t="shared" si="117"/>
        <v>OK</v>
      </c>
      <c r="AC575">
        <f t="shared" si="118"/>
        <v>0</v>
      </c>
      <c r="AD575" t="str">
        <f t="shared" si="119"/>
        <v>OK</v>
      </c>
      <c r="AE575">
        <f t="shared" si="120"/>
        <v>573.65</v>
      </c>
      <c r="AF575">
        <f t="shared" si="121"/>
        <v>250.97999999999996</v>
      </c>
      <c r="AG575">
        <f t="shared" si="122"/>
        <v>0.43751416368866031</v>
      </c>
      <c r="AH575" t="str">
        <f t="shared" si="114"/>
        <v>September</v>
      </c>
      <c r="AI575">
        <f t="shared" si="115"/>
        <v>2025</v>
      </c>
      <c r="AJ575" t="str">
        <f t="shared" si="123"/>
        <v>OK</v>
      </c>
      <c r="AK575" t="str">
        <f t="shared" si="124"/>
        <v>OK</v>
      </c>
      <c r="AL575" t="str">
        <f t="shared" si="125"/>
        <v>Include</v>
      </c>
      <c r="AM575" t="str">
        <f t="shared" si="116"/>
        <v>Clean</v>
      </c>
    </row>
    <row r="576" spans="1:39">
      <c r="A576" t="s">
        <v>1818</v>
      </c>
      <c r="B576" s="4">
        <v>45342</v>
      </c>
      <c r="C576" s="4">
        <v>45347</v>
      </c>
      <c r="D576" s="6">
        <v>5</v>
      </c>
      <c r="E576" t="s">
        <v>2788</v>
      </c>
      <c r="F576" t="s">
        <v>2788</v>
      </c>
      <c r="G576" t="s">
        <v>2788</v>
      </c>
      <c r="H576" t="s">
        <v>802</v>
      </c>
      <c r="I576" t="s">
        <v>162</v>
      </c>
      <c r="J576" t="s">
        <v>95</v>
      </c>
      <c r="K576" t="s">
        <v>25</v>
      </c>
      <c r="L576" t="s">
        <v>122</v>
      </c>
      <c r="M576" t="s">
        <v>123</v>
      </c>
      <c r="N576" t="s">
        <v>74</v>
      </c>
      <c r="O576" t="s">
        <v>274</v>
      </c>
      <c r="P576" t="s">
        <v>1819</v>
      </c>
      <c r="Q576" t="s">
        <v>59</v>
      </c>
      <c r="R576">
        <v>4</v>
      </c>
      <c r="S576">
        <v>1355.8</v>
      </c>
      <c r="T576">
        <v>0</v>
      </c>
      <c r="U576">
        <v>5423.2</v>
      </c>
      <c r="V576">
        <v>4072.44</v>
      </c>
      <c r="W576">
        <v>1350.76</v>
      </c>
      <c r="X576" t="s">
        <v>32</v>
      </c>
      <c r="Y576" t="s">
        <v>33</v>
      </c>
      <c r="Z576" t="str">
        <f t="shared" si="112"/>
        <v>Unique</v>
      </c>
      <c r="AA576" t="str">
        <f t="shared" si="113"/>
        <v>Unique</v>
      </c>
      <c r="AB576" t="str">
        <f t="shared" si="117"/>
        <v>OK</v>
      </c>
      <c r="AC576">
        <f t="shared" si="118"/>
        <v>0</v>
      </c>
      <c r="AD576" t="str">
        <f t="shared" si="119"/>
        <v>OK</v>
      </c>
      <c r="AE576">
        <f t="shared" si="120"/>
        <v>5423.2</v>
      </c>
      <c r="AF576">
        <f t="shared" si="121"/>
        <v>1350.7599999999998</v>
      </c>
      <c r="AG576">
        <f t="shared" si="122"/>
        <v>0.24907065938929043</v>
      </c>
      <c r="AH576" t="str">
        <f t="shared" si="114"/>
        <v>February</v>
      </c>
      <c r="AI576">
        <f t="shared" si="115"/>
        <v>2024</v>
      </c>
      <c r="AJ576" t="str">
        <f t="shared" si="123"/>
        <v>OK</v>
      </c>
      <c r="AK576" t="str">
        <f t="shared" si="124"/>
        <v>OK</v>
      </c>
      <c r="AL576" t="str">
        <f t="shared" si="125"/>
        <v>Include</v>
      </c>
      <c r="AM576" t="str">
        <f t="shared" si="116"/>
        <v>Clean</v>
      </c>
    </row>
    <row r="577" spans="1:39">
      <c r="A577" t="s">
        <v>1820</v>
      </c>
      <c r="B577" s="4">
        <v>45727</v>
      </c>
      <c r="C577" s="4">
        <v>45730</v>
      </c>
      <c r="D577" s="6">
        <v>3</v>
      </c>
      <c r="E577" t="s">
        <v>2788</v>
      </c>
      <c r="F577" t="s">
        <v>2788</v>
      </c>
      <c r="G577" t="s">
        <v>2788</v>
      </c>
      <c r="H577" t="s">
        <v>1821</v>
      </c>
      <c r="I577" t="s">
        <v>132</v>
      </c>
      <c r="J577" t="s">
        <v>95</v>
      </c>
      <c r="K577" t="s">
        <v>54</v>
      </c>
      <c r="L577" t="s">
        <v>185</v>
      </c>
      <c r="M577" t="s">
        <v>186</v>
      </c>
      <c r="N577" t="s">
        <v>41</v>
      </c>
      <c r="O577" t="s">
        <v>57</v>
      </c>
      <c r="P577" t="s">
        <v>1822</v>
      </c>
      <c r="Q577" t="s">
        <v>44</v>
      </c>
      <c r="R577">
        <v>4</v>
      </c>
      <c r="S577">
        <v>1244.82</v>
      </c>
      <c r="T577">
        <v>0.2</v>
      </c>
      <c r="U577">
        <v>3983.42</v>
      </c>
      <c r="V577">
        <v>3174.91</v>
      </c>
      <c r="W577">
        <v>808.51</v>
      </c>
      <c r="X577" t="s">
        <v>155</v>
      </c>
      <c r="Y577" t="s">
        <v>103</v>
      </c>
      <c r="Z577" t="str">
        <f t="shared" si="112"/>
        <v>Unique</v>
      </c>
      <c r="AA577" t="str">
        <f t="shared" si="113"/>
        <v>Unique</v>
      </c>
      <c r="AB577" t="str">
        <f t="shared" si="117"/>
        <v>OK</v>
      </c>
      <c r="AC577">
        <f t="shared" si="118"/>
        <v>0.2</v>
      </c>
      <c r="AD577" t="str">
        <f t="shared" si="119"/>
        <v>OK</v>
      </c>
      <c r="AE577">
        <f t="shared" si="120"/>
        <v>3983.424</v>
      </c>
      <c r="AF577">
        <f t="shared" si="121"/>
        <v>808.51400000000012</v>
      </c>
      <c r="AG577">
        <f t="shared" si="122"/>
        <v>0.2029696060474607</v>
      </c>
      <c r="AH577" t="str">
        <f t="shared" si="114"/>
        <v>March</v>
      </c>
      <c r="AI577">
        <f t="shared" si="115"/>
        <v>2025</v>
      </c>
      <c r="AJ577" t="str">
        <f t="shared" si="123"/>
        <v>OK</v>
      </c>
      <c r="AK577" t="str">
        <f t="shared" si="124"/>
        <v>OK</v>
      </c>
      <c r="AL577" t="str">
        <f t="shared" si="125"/>
        <v>Exclude</v>
      </c>
      <c r="AM577" t="str">
        <f t="shared" si="116"/>
        <v>Clean</v>
      </c>
    </row>
    <row r="578" spans="1:39">
      <c r="A578" t="s">
        <v>1823</v>
      </c>
      <c r="B578" s="4">
        <v>45339</v>
      </c>
      <c r="C578" s="4">
        <v>45345</v>
      </c>
      <c r="D578" s="6">
        <v>6</v>
      </c>
      <c r="E578" t="s">
        <v>2788</v>
      </c>
      <c r="F578" t="s">
        <v>2788</v>
      </c>
      <c r="G578" t="s">
        <v>2788</v>
      </c>
      <c r="H578" t="s">
        <v>1824</v>
      </c>
      <c r="I578" t="s">
        <v>141</v>
      </c>
      <c r="J578" t="s">
        <v>95</v>
      </c>
      <c r="K578" t="s">
        <v>2783</v>
      </c>
      <c r="L578" t="s">
        <v>145</v>
      </c>
      <c r="M578" t="s">
        <v>146</v>
      </c>
      <c r="N578" t="s">
        <v>28</v>
      </c>
      <c r="O578" t="s">
        <v>153</v>
      </c>
      <c r="P578" t="s">
        <v>1825</v>
      </c>
      <c r="Q578" t="s">
        <v>59</v>
      </c>
      <c r="R578">
        <v>9</v>
      </c>
      <c r="S578">
        <v>2614.46</v>
      </c>
      <c r="T578">
        <v>0</v>
      </c>
      <c r="U578">
        <v>23530.14</v>
      </c>
      <c r="V578">
        <v>19537.79</v>
      </c>
      <c r="W578">
        <v>3992.35</v>
      </c>
      <c r="X578" t="s">
        <v>102</v>
      </c>
      <c r="Y578" t="s">
        <v>103</v>
      </c>
      <c r="Z578" t="str">
        <f t="shared" ref="Z578:Z641" si="126">IF(COUNTIFS($A:$A,A578,$B:$B,B578,$C:$C,C578,$H:$H,H578,$U:$U,U578,$W:$W,W578)&gt;1,"Exact Duplicate","Unique")</f>
        <v>Unique</v>
      </c>
      <c r="AA578" t="str">
        <f t="shared" ref="AA578:AA641" si="127">IF(COUNTIF($A:$A,A578)&gt;1,"Duplicate Order ID","Unique")</f>
        <v>Unique</v>
      </c>
      <c r="AB578" t="str">
        <f t="shared" si="117"/>
        <v>OK</v>
      </c>
      <c r="AC578">
        <f t="shared" si="118"/>
        <v>0</v>
      </c>
      <c r="AD578" t="str">
        <f t="shared" si="119"/>
        <v>OK</v>
      </c>
      <c r="AE578">
        <f t="shared" si="120"/>
        <v>23530.14</v>
      </c>
      <c r="AF578">
        <f t="shared" si="121"/>
        <v>3992.3499999999985</v>
      </c>
      <c r="AG578">
        <f t="shared" si="122"/>
        <v>0.16966962372514566</v>
      </c>
      <c r="AH578" t="str">
        <f t="shared" ref="AH578:AH641" si="128">IFERROR(TEXT(B578,"mmmm"),"")</f>
        <v>February</v>
      </c>
      <c r="AI578">
        <f t="shared" ref="AI578:AI641" si="129">IFERROR(YEAR(B578),"")</f>
        <v>2024</v>
      </c>
      <c r="AJ578" t="str">
        <f t="shared" si="123"/>
        <v>OK</v>
      </c>
      <c r="AK578" t="str">
        <f t="shared" si="124"/>
        <v>OK</v>
      </c>
      <c r="AL578" t="str">
        <f t="shared" si="125"/>
        <v>Exclude</v>
      </c>
      <c r="AM578" t="str">
        <f t="shared" ref="AM578:AM641" si="130">IF(OR(E578&lt;&gt;"OK",F578&lt;&gt;"OK",AD578&lt;&gt;"OK",AB578="Conflicting Duplicate"),"Invalid",IF(OR(G578&lt;&gt;"OK",AJ578&lt;&gt;"OK",AK578&lt;&gt;"OK"),"Warning","Clean"))</f>
        <v>Clean</v>
      </c>
    </row>
    <row r="579" spans="1:39">
      <c r="A579" t="s">
        <v>1826</v>
      </c>
      <c r="B579" s="4">
        <v>45897</v>
      </c>
      <c r="C579" s="4">
        <v>45903</v>
      </c>
      <c r="D579" s="6">
        <v>6</v>
      </c>
      <c r="E579" t="s">
        <v>2788</v>
      </c>
      <c r="F579" t="s">
        <v>2788</v>
      </c>
      <c r="G579" t="s">
        <v>2788</v>
      </c>
      <c r="H579" t="s">
        <v>1827</v>
      </c>
      <c r="I579" t="s">
        <v>114</v>
      </c>
      <c r="J579" t="s">
        <v>90</v>
      </c>
      <c r="K579" t="s">
        <v>63</v>
      </c>
      <c r="L579" t="s">
        <v>72</v>
      </c>
      <c r="M579" t="s">
        <v>73</v>
      </c>
      <c r="N579" t="s">
        <v>41</v>
      </c>
      <c r="O579" t="s">
        <v>57</v>
      </c>
      <c r="P579" t="s">
        <v>1828</v>
      </c>
      <c r="Q579" t="s">
        <v>59</v>
      </c>
      <c r="R579">
        <v>7</v>
      </c>
      <c r="S579">
        <v>268.45</v>
      </c>
      <c r="T579">
        <v>0</v>
      </c>
      <c r="U579">
        <v>1879.15</v>
      </c>
      <c r="V579">
        <v>1134.9000000000001</v>
      </c>
      <c r="W579">
        <v>744.25</v>
      </c>
      <c r="X579" t="s">
        <v>32</v>
      </c>
      <c r="Y579" t="s">
        <v>33</v>
      </c>
      <c r="Z579" t="str">
        <f t="shared" si="126"/>
        <v>Unique</v>
      </c>
      <c r="AA579" t="str">
        <f t="shared" si="127"/>
        <v>Unique</v>
      </c>
      <c r="AB579" t="str">
        <f t="shared" ref="AB579:AB642" si="131">IF(AND(AA579="Duplicate Order ID",Z579&lt;&gt;"Exact Duplicate"),"Conflicting Duplicate","OK")</f>
        <v>OK</v>
      </c>
      <c r="AC579">
        <f t="shared" ref="AC579:AC642" si="132">IF(OR(T579="",ISBLANK(T579)),0,T579)</f>
        <v>0</v>
      </c>
      <c r="AD579" t="str">
        <f t="shared" ref="AD579:AD642" si="133">IF(AC579&lt;0,"Invalid Negative Discount",IF(AC579&gt;1,"Invalid High Discount","OK"))</f>
        <v>OK</v>
      </c>
      <c r="AE579">
        <f t="shared" ref="AE579:AE642" si="134">R579*S579*(1-AC579)</f>
        <v>1879.1499999999999</v>
      </c>
      <c r="AF579">
        <f t="shared" ref="AF579:AF642" si="135">AE579-V579</f>
        <v>744.24999999999977</v>
      </c>
      <c r="AG579">
        <f t="shared" ref="AG579:AG642" si="136">IF(AE579=0,0,AF579/AE579)</f>
        <v>0.39605672777585599</v>
      </c>
      <c r="AH579" t="str">
        <f t="shared" si="128"/>
        <v>August</v>
      </c>
      <c r="AI579">
        <f t="shared" si="129"/>
        <v>2025</v>
      </c>
      <c r="AJ579" t="str">
        <f t="shared" ref="AJ579:AJ642" si="137">IF(ABS(U579-AE579)&gt;1,"Sales Mismatch","OK")</f>
        <v>OK</v>
      </c>
      <c r="AK579" t="str">
        <f t="shared" ref="AK579:AK642" si="138">IF(ABS(W579-AF579)&gt;1,"Profit Mismatch","OK")</f>
        <v>OK</v>
      </c>
      <c r="AL579" t="str">
        <f t="shared" ref="AL579:AL642" si="139">IF(AND(X579="Paid",Y579="Completed"),"Include","Exclude")</f>
        <v>Include</v>
      </c>
      <c r="AM579" t="str">
        <f t="shared" si="130"/>
        <v>Clean</v>
      </c>
    </row>
    <row r="580" spans="1:39">
      <c r="A580" t="s">
        <v>1829</v>
      </c>
      <c r="B580" s="4">
        <v>45343</v>
      </c>
      <c r="C580" s="4">
        <v>45345</v>
      </c>
      <c r="D580" s="6">
        <v>2</v>
      </c>
      <c r="E580" t="s">
        <v>2788</v>
      </c>
      <c r="F580" t="s">
        <v>2788</v>
      </c>
      <c r="G580" t="s">
        <v>2788</v>
      </c>
      <c r="H580" t="s">
        <v>295</v>
      </c>
      <c r="I580" t="s">
        <v>79</v>
      </c>
      <c r="J580" t="s">
        <v>37</v>
      </c>
      <c r="K580" t="s">
        <v>63</v>
      </c>
      <c r="L580" t="s">
        <v>180</v>
      </c>
      <c r="M580" t="s">
        <v>181</v>
      </c>
      <c r="N580" t="s">
        <v>74</v>
      </c>
      <c r="O580" t="s">
        <v>80</v>
      </c>
      <c r="P580" t="s">
        <v>1830</v>
      </c>
      <c r="Q580" t="s">
        <v>50</v>
      </c>
      <c r="R580">
        <v>6</v>
      </c>
      <c r="S580">
        <v>2633.65</v>
      </c>
      <c r="T580">
        <v>0.05</v>
      </c>
      <c r="U580">
        <v>15011.81</v>
      </c>
      <c r="V580">
        <v>9660.36</v>
      </c>
      <c r="W580">
        <v>5351.45</v>
      </c>
      <c r="X580" t="s">
        <v>32</v>
      </c>
      <c r="Y580" t="s">
        <v>33</v>
      </c>
      <c r="Z580" t="str">
        <f t="shared" si="126"/>
        <v>Unique</v>
      </c>
      <c r="AA580" t="str">
        <f t="shared" si="127"/>
        <v>Unique</v>
      </c>
      <c r="AB580" t="str">
        <f t="shared" si="131"/>
        <v>OK</v>
      </c>
      <c r="AC580">
        <f t="shared" si="132"/>
        <v>0.05</v>
      </c>
      <c r="AD580" t="str">
        <f t="shared" si="133"/>
        <v>OK</v>
      </c>
      <c r="AE580">
        <f t="shared" si="134"/>
        <v>15011.805</v>
      </c>
      <c r="AF580">
        <f t="shared" si="135"/>
        <v>5351.4449999999997</v>
      </c>
      <c r="AG580">
        <f t="shared" si="136"/>
        <v>0.35648244831317749</v>
      </c>
      <c r="AH580" t="str">
        <f t="shared" si="128"/>
        <v>February</v>
      </c>
      <c r="AI580">
        <f t="shared" si="129"/>
        <v>2024</v>
      </c>
      <c r="AJ580" t="str">
        <f t="shared" si="137"/>
        <v>OK</v>
      </c>
      <c r="AK580" t="str">
        <f t="shared" si="138"/>
        <v>OK</v>
      </c>
      <c r="AL580" t="str">
        <f t="shared" si="139"/>
        <v>Include</v>
      </c>
      <c r="AM580" t="str">
        <f t="shared" si="130"/>
        <v>Clean</v>
      </c>
    </row>
    <row r="581" spans="1:39">
      <c r="A581" t="s">
        <v>1831</v>
      </c>
      <c r="B581" s="4">
        <v>45462</v>
      </c>
      <c r="C581" s="4">
        <v>45467</v>
      </c>
      <c r="D581" s="6">
        <v>5</v>
      </c>
      <c r="E581" t="s">
        <v>2788</v>
      </c>
      <c r="F581" t="s">
        <v>2788</v>
      </c>
      <c r="G581" t="s">
        <v>2788</v>
      </c>
      <c r="H581" t="s">
        <v>1832</v>
      </c>
      <c r="I581" t="s">
        <v>128</v>
      </c>
      <c r="J581" t="s">
        <v>37</v>
      </c>
      <c r="K581" t="s">
        <v>54</v>
      </c>
      <c r="L581" t="s">
        <v>247</v>
      </c>
      <c r="M581" t="s">
        <v>248</v>
      </c>
      <c r="N581" t="s">
        <v>28</v>
      </c>
      <c r="O581" t="s">
        <v>124</v>
      </c>
      <c r="P581" t="s">
        <v>1833</v>
      </c>
      <c r="Q581" t="s">
        <v>44</v>
      </c>
      <c r="R581">
        <v>1</v>
      </c>
      <c r="S581">
        <v>3202.41</v>
      </c>
      <c r="T581">
        <v>0</v>
      </c>
      <c r="U581">
        <v>3202.41</v>
      </c>
      <c r="V581">
        <v>2608.44</v>
      </c>
      <c r="W581">
        <v>593.97</v>
      </c>
      <c r="X581" t="s">
        <v>32</v>
      </c>
      <c r="Y581" t="s">
        <v>33</v>
      </c>
      <c r="Z581" t="str">
        <f t="shared" si="126"/>
        <v>Unique</v>
      </c>
      <c r="AA581" t="str">
        <f t="shared" si="127"/>
        <v>Unique</v>
      </c>
      <c r="AB581" t="str">
        <f t="shared" si="131"/>
        <v>OK</v>
      </c>
      <c r="AC581">
        <f t="shared" si="132"/>
        <v>0</v>
      </c>
      <c r="AD581" t="str">
        <f t="shared" si="133"/>
        <v>OK</v>
      </c>
      <c r="AE581">
        <f t="shared" si="134"/>
        <v>3202.41</v>
      </c>
      <c r="AF581">
        <f t="shared" si="135"/>
        <v>593.9699999999998</v>
      </c>
      <c r="AG581">
        <f t="shared" si="136"/>
        <v>0.18547593843386695</v>
      </c>
      <c r="AH581" t="str">
        <f t="shared" si="128"/>
        <v>June</v>
      </c>
      <c r="AI581">
        <f t="shared" si="129"/>
        <v>2024</v>
      </c>
      <c r="AJ581" t="str">
        <f t="shared" si="137"/>
        <v>OK</v>
      </c>
      <c r="AK581" t="str">
        <f t="shared" si="138"/>
        <v>OK</v>
      </c>
      <c r="AL581" t="str">
        <f t="shared" si="139"/>
        <v>Include</v>
      </c>
      <c r="AM581" t="str">
        <f t="shared" si="130"/>
        <v>Clean</v>
      </c>
    </row>
    <row r="582" spans="1:39">
      <c r="A582" t="s">
        <v>1834</v>
      </c>
      <c r="B582" s="4">
        <v>45722</v>
      </c>
      <c r="C582" s="4">
        <v>45729</v>
      </c>
      <c r="D582" s="6">
        <v>7</v>
      </c>
      <c r="E582" t="s">
        <v>2788</v>
      </c>
      <c r="F582" t="s">
        <v>2788</v>
      </c>
      <c r="G582" t="s">
        <v>2788</v>
      </c>
      <c r="H582" t="s">
        <v>1835</v>
      </c>
      <c r="I582" t="s">
        <v>264</v>
      </c>
      <c r="J582" t="s">
        <v>24</v>
      </c>
      <c r="K582" t="s">
        <v>54</v>
      </c>
      <c r="L582" t="s">
        <v>185</v>
      </c>
      <c r="M582" t="s">
        <v>186</v>
      </c>
      <c r="N582" t="s">
        <v>41</v>
      </c>
      <c r="O582" t="s">
        <v>66</v>
      </c>
      <c r="P582" t="s">
        <v>1836</v>
      </c>
      <c r="Q582" t="s">
        <v>59</v>
      </c>
      <c r="R582">
        <v>3</v>
      </c>
      <c r="S582">
        <v>163.72</v>
      </c>
      <c r="T582">
        <v>0.15</v>
      </c>
      <c r="U582">
        <v>417.49</v>
      </c>
      <c r="V582">
        <v>261.67</v>
      </c>
      <c r="W582">
        <v>155.82</v>
      </c>
      <c r="X582" t="s">
        <v>155</v>
      </c>
      <c r="Y582" t="s">
        <v>103</v>
      </c>
      <c r="Z582" t="str">
        <f t="shared" si="126"/>
        <v>Unique</v>
      </c>
      <c r="AA582" t="str">
        <f t="shared" si="127"/>
        <v>Unique</v>
      </c>
      <c r="AB582" t="str">
        <f t="shared" si="131"/>
        <v>OK</v>
      </c>
      <c r="AC582">
        <f t="shared" si="132"/>
        <v>0.15</v>
      </c>
      <c r="AD582" t="str">
        <f t="shared" si="133"/>
        <v>OK</v>
      </c>
      <c r="AE582">
        <f t="shared" si="134"/>
        <v>417.48599999999999</v>
      </c>
      <c r="AF582">
        <f t="shared" si="135"/>
        <v>155.81599999999997</v>
      </c>
      <c r="AG582">
        <f t="shared" si="136"/>
        <v>0.37322449136018926</v>
      </c>
      <c r="AH582" t="str">
        <f t="shared" si="128"/>
        <v>March</v>
      </c>
      <c r="AI582">
        <f t="shared" si="129"/>
        <v>2025</v>
      </c>
      <c r="AJ582" t="str">
        <f t="shared" si="137"/>
        <v>OK</v>
      </c>
      <c r="AK582" t="str">
        <f t="shared" si="138"/>
        <v>OK</v>
      </c>
      <c r="AL582" t="str">
        <f t="shared" si="139"/>
        <v>Exclude</v>
      </c>
      <c r="AM582" t="str">
        <f t="shared" si="130"/>
        <v>Clean</v>
      </c>
    </row>
    <row r="583" spans="1:39">
      <c r="A583" t="s">
        <v>1837</v>
      </c>
      <c r="B583" s="4">
        <v>45878</v>
      </c>
      <c r="C583" s="4">
        <v>45879</v>
      </c>
      <c r="D583" s="6">
        <v>1</v>
      </c>
      <c r="E583" t="s">
        <v>2788</v>
      </c>
      <c r="F583" t="s">
        <v>2788</v>
      </c>
      <c r="G583" t="s">
        <v>2788</v>
      </c>
      <c r="H583" t="s">
        <v>1838</v>
      </c>
      <c r="I583" t="s">
        <v>79</v>
      </c>
      <c r="J583" t="s">
        <v>24</v>
      </c>
      <c r="K583" t="s">
        <v>25</v>
      </c>
      <c r="L583" t="s">
        <v>350</v>
      </c>
      <c r="M583" t="s">
        <v>351</v>
      </c>
      <c r="N583" t="s">
        <v>28</v>
      </c>
      <c r="O583" t="s">
        <v>48</v>
      </c>
      <c r="P583" t="s">
        <v>1839</v>
      </c>
      <c r="Q583" t="s">
        <v>31</v>
      </c>
      <c r="R583">
        <v>4</v>
      </c>
      <c r="S583">
        <v>4080.95</v>
      </c>
      <c r="T583">
        <v>0</v>
      </c>
      <c r="U583">
        <v>16323.8</v>
      </c>
      <c r="V583">
        <v>9965.7900000000009</v>
      </c>
      <c r="W583">
        <v>6358.01</v>
      </c>
      <c r="X583" t="s">
        <v>102</v>
      </c>
      <c r="Y583" t="s">
        <v>103</v>
      </c>
      <c r="Z583" t="str">
        <f t="shared" si="126"/>
        <v>Unique</v>
      </c>
      <c r="AA583" t="str">
        <f t="shared" si="127"/>
        <v>Unique</v>
      </c>
      <c r="AB583" t="str">
        <f t="shared" si="131"/>
        <v>OK</v>
      </c>
      <c r="AC583">
        <f t="shared" si="132"/>
        <v>0</v>
      </c>
      <c r="AD583" t="str">
        <f t="shared" si="133"/>
        <v>OK</v>
      </c>
      <c r="AE583">
        <f t="shared" si="134"/>
        <v>16323.8</v>
      </c>
      <c r="AF583">
        <f t="shared" si="135"/>
        <v>6358.0099999999984</v>
      </c>
      <c r="AG583">
        <f t="shared" si="136"/>
        <v>0.38949325524693995</v>
      </c>
      <c r="AH583" t="str">
        <f t="shared" si="128"/>
        <v>August</v>
      </c>
      <c r="AI583">
        <f t="shared" si="129"/>
        <v>2025</v>
      </c>
      <c r="AJ583" t="str">
        <f t="shared" si="137"/>
        <v>OK</v>
      </c>
      <c r="AK583" t="str">
        <f t="shared" si="138"/>
        <v>OK</v>
      </c>
      <c r="AL583" t="str">
        <f t="shared" si="139"/>
        <v>Exclude</v>
      </c>
      <c r="AM583" t="str">
        <f t="shared" si="130"/>
        <v>Clean</v>
      </c>
    </row>
    <row r="584" spans="1:39">
      <c r="A584" t="s">
        <v>1840</v>
      </c>
      <c r="B584" s="4">
        <v>45580</v>
      </c>
      <c r="C584" s="4">
        <v>45585</v>
      </c>
      <c r="D584" s="6">
        <v>5</v>
      </c>
      <c r="E584" t="s">
        <v>2788</v>
      </c>
      <c r="F584" t="s">
        <v>2788</v>
      </c>
      <c r="G584" t="s">
        <v>2788</v>
      </c>
      <c r="H584" t="s">
        <v>1841</v>
      </c>
      <c r="I584" t="s">
        <v>62</v>
      </c>
      <c r="J584" t="s">
        <v>24</v>
      </c>
      <c r="K584" t="s">
        <v>38</v>
      </c>
      <c r="L584" t="s">
        <v>39</v>
      </c>
      <c r="M584" t="s">
        <v>40</v>
      </c>
      <c r="N584" t="s">
        <v>28</v>
      </c>
      <c r="O584" t="s">
        <v>48</v>
      </c>
      <c r="P584" t="s">
        <v>1842</v>
      </c>
      <c r="Q584" t="s">
        <v>50</v>
      </c>
      <c r="R584">
        <v>5</v>
      </c>
      <c r="S584">
        <v>671.24</v>
      </c>
      <c r="T584">
        <v>0</v>
      </c>
      <c r="U584">
        <v>3356.2</v>
      </c>
      <c r="V584">
        <v>2205.7199999999998</v>
      </c>
      <c r="W584">
        <v>1150.48</v>
      </c>
      <c r="X584" t="s">
        <v>111</v>
      </c>
      <c r="Y584" t="s">
        <v>103</v>
      </c>
      <c r="Z584" t="str">
        <f t="shared" si="126"/>
        <v>Unique</v>
      </c>
      <c r="AA584" t="str">
        <f t="shared" si="127"/>
        <v>Unique</v>
      </c>
      <c r="AB584" t="str">
        <f t="shared" si="131"/>
        <v>OK</v>
      </c>
      <c r="AC584">
        <f t="shared" si="132"/>
        <v>0</v>
      </c>
      <c r="AD584" t="str">
        <f t="shared" si="133"/>
        <v>OK</v>
      </c>
      <c r="AE584">
        <f t="shared" si="134"/>
        <v>3356.2</v>
      </c>
      <c r="AF584">
        <f t="shared" si="135"/>
        <v>1150.48</v>
      </c>
      <c r="AG584">
        <f t="shared" si="136"/>
        <v>0.34279244383528995</v>
      </c>
      <c r="AH584" t="str">
        <f t="shared" si="128"/>
        <v>October</v>
      </c>
      <c r="AI584">
        <f t="shared" si="129"/>
        <v>2024</v>
      </c>
      <c r="AJ584" t="str">
        <f t="shared" si="137"/>
        <v>OK</v>
      </c>
      <c r="AK584" t="str">
        <f t="shared" si="138"/>
        <v>OK</v>
      </c>
      <c r="AL584" t="str">
        <f t="shared" si="139"/>
        <v>Exclude</v>
      </c>
      <c r="AM584" t="str">
        <f t="shared" si="130"/>
        <v>Clean</v>
      </c>
    </row>
    <row r="585" spans="1:39">
      <c r="A585" t="s">
        <v>1843</v>
      </c>
      <c r="B585" s="4">
        <v>45350</v>
      </c>
      <c r="C585" s="4">
        <v>45350</v>
      </c>
      <c r="D585" s="6">
        <v>0</v>
      </c>
      <c r="E585" t="s">
        <v>2788</v>
      </c>
      <c r="F585" t="s">
        <v>2788</v>
      </c>
      <c r="G585" t="s">
        <v>2788</v>
      </c>
      <c r="H585" t="s">
        <v>1844</v>
      </c>
      <c r="I585" t="s">
        <v>141</v>
      </c>
      <c r="J585" t="s">
        <v>37</v>
      </c>
      <c r="K585" t="s">
        <v>38</v>
      </c>
      <c r="L585" t="s">
        <v>99</v>
      </c>
      <c r="M585" t="s">
        <v>100</v>
      </c>
      <c r="N585" t="s">
        <v>28</v>
      </c>
      <c r="O585" t="s">
        <v>124</v>
      </c>
      <c r="P585" t="s">
        <v>1845</v>
      </c>
      <c r="Q585" t="s">
        <v>50</v>
      </c>
      <c r="R585">
        <v>1</v>
      </c>
      <c r="S585">
        <v>2626.84</v>
      </c>
      <c r="T585">
        <v>0.2</v>
      </c>
      <c r="U585">
        <v>2101.4699999999998</v>
      </c>
      <c r="V585">
        <v>1217.83</v>
      </c>
      <c r="W585">
        <v>883.64</v>
      </c>
      <c r="X585" t="s">
        <v>155</v>
      </c>
      <c r="Y585" t="s">
        <v>103</v>
      </c>
      <c r="Z585" t="str">
        <f t="shared" si="126"/>
        <v>Unique</v>
      </c>
      <c r="AA585" t="str">
        <f t="shared" si="127"/>
        <v>Unique</v>
      </c>
      <c r="AB585" t="str">
        <f t="shared" si="131"/>
        <v>OK</v>
      </c>
      <c r="AC585">
        <f t="shared" si="132"/>
        <v>0.2</v>
      </c>
      <c r="AD585" t="str">
        <f t="shared" si="133"/>
        <v>OK</v>
      </c>
      <c r="AE585">
        <f t="shared" si="134"/>
        <v>2101.4720000000002</v>
      </c>
      <c r="AF585">
        <f t="shared" si="135"/>
        <v>883.64200000000028</v>
      </c>
      <c r="AG585">
        <f t="shared" si="136"/>
        <v>0.42048716328364127</v>
      </c>
      <c r="AH585" t="str">
        <f t="shared" si="128"/>
        <v>February</v>
      </c>
      <c r="AI585">
        <f t="shared" si="129"/>
        <v>2024</v>
      </c>
      <c r="AJ585" t="str">
        <f t="shared" si="137"/>
        <v>OK</v>
      </c>
      <c r="AK585" t="str">
        <f t="shared" si="138"/>
        <v>OK</v>
      </c>
      <c r="AL585" t="str">
        <f t="shared" si="139"/>
        <v>Exclude</v>
      </c>
      <c r="AM585" t="str">
        <f t="shared" si="130"/>
        <v>Clean</v>
      </c>
    </row>
    <row r="586" spans="1:39">
      <c r="A586" t="s">
        <v>1846</v>
      </c>
      <c r="B586" s="4">
        <v>45508</v>
      </c>
      <c r="C586" s="4">
        <v>45514</v>
      </c>
      <c r="D586" s="6">
        <v>6</v>
      </c>
      <c r="E586" t="s">
        <v>2788</v>
      </c>
      <c r="F586" t="s">
        <v>2788</v>
      </c>
      <c r="G586" t="s">
        <v>2788</v>
      </c>
      <c r="H586" t="s">
        <v>1847</v>
      </c>
      <c r="I586" t="s">
        <v>71</v>
      </c>
      <c r="J586" t="s">
        <v>24</v>
      </c>
      <c r="K586" t="s">
        <v>38</v>
      </c>
      <c r="L586" t="s">
        <v>145</v>
      </c>
      <c r="M586" t="s">
        <v>146</v>
      </c>
      <c r="N586" t="s">
        <v>28</v>
      </c>
      <c r="O586" t="s">
        <v>48</v>
      </c>
      <c r="P586" t="s">
        <v>1848</v>
      </c>
      <c r="Q586" t="s">
        <v>44</v>
      </c>
      <c r="R586">
        <v>1</v>
      </c>
      <c r="S586">
        <v>984.93</v>
      </c>
      <c r="T586">
        <v>0.15</v>
      </c>
      <c r="U586">
        <v>837.19</v>
      </c>
      <c r="V586">
        <v>583.79</v>
      </c>
      <c r="W586">
        <v>253.4</v>
      </c>
      <c r="X586" t="s">
        <v>111</v>
      </c>
      <c r="Y586" t="s">
        <v>103</v>
      </c>
      <c r="Z586" t="str">
        <f t="shared" si="126"/>
        <v>Unique</v>
      </c>
      <c r="AA586" t="str">
        <f t="shared" si="127"/>
        <v>Unique</v>
      </c>
      <c r="AB586" t="str">
        <f t="shared" si="131"/>
        <v>OK</v>
      </c>
      <c r="AC586">
        <f t="shared" si="132"/>
        <v>0.15</v>
      </c>
      <c r="AD586" t="str">
        <f t="shared" si="133"/>
        <v>OK</v>
      </c>
      <c r="AE586">
        <f t="shared" si="134"/>
        <v>837.19049999999993</v>
      </c>
      <c r="AF586">
        <f t="shared" si="135"/>
        <v>253.40049999999997</v>
      </c>
      <c r="AG586">
        <f t="shared" si="136"/>
        <v>0.30267961712417901</v>
      </c>
      <c r="AH586" t="str">
        <f t="shared" si="128"/>
        <v>August</v>
      </c>
      <c r="AI586">
        <f t="shared" si="129"/>
        <v>2024</v>
      </c>
      <c r="AJ586" t="str">
        <f t="shared" si="137"/>
        <v>OK</v>
      </c>
      <c r="AK586" t="str">
        <f t="shared" si="138"/>
        <v>OK</v>
      </c>
      <c r="AL586" t="str">
        <f t="shared" si="139"/>
        <v>Exclude</v>
      </c>
      <c r="AM586" t="str">
        <f t="shared" si="130"/>
        <v>Clean</v>
      </c>
    </row>
    <row r="587" spans="1:39">
      <c r="A587" t="s">
        <v>1849</v>
      </c>
      <c r="B587" s="4">
        <v>45830</v>
      </c>
      <c r="C587" s="4">
        <v>45833</v>
      </c>
      <c r="D587" s="6">
        <v>3</v>
      </c>
      <c r="E587" t="s">
        <v>2788</v>
      </c>
      <c r="F587" t="s">
        <v>2788</v>
      </c>
      <c r="G587" t="s">
        <v>2788</v>
      </c>
      <c r="H587" t="s">
        <v>1850</v>
      </c>
      <c r="I587" t="s">
        <v>162</v>
      </c>
      <c r="J587" t="s">
        <v>37</v>
      </c>
      <c r="K587" t="s">
        <v>63</v>
      </c>
      <c r="L587" t="s">
        <v>64</v>
      </c>
      <c r="M587" t="s">
        <v>65</v>
      </c>
      <c r="N587" t="s">
        <v>74</v>
      </c>
      <c r="O587" t="s">
        <v>171</v>
      </c>
      <c r="P587" t="s">
        <v>1851</v>
      </c>
      <c r="Q587" t="s">
        <v>50</v>
      </c>
      <c r="R587">
        <v>8</v>
      </c>
      <c r="S587">
        <v>3453.66</v>
      </c>
      <c r="T587">
        <v>0</v>
      </c>
      <c r="U587">
        <v>27629.279999999999</v>
      </c>
      <c r="V587">
        <v>22026.48</v>
      </c>
      <c r="W587">
        <v>5602.8</v>
      </c>
      <c r="X587" t="s">
        <v>32</v>
      </c>
      <c r="Y587" t="s">
        <v>33</v>
      </c>
      <c r="Z587" t="str">
        <f t="shared" si="126"/>
        <v>Unique</v>
      </c>
      <c r="AA587" t="str">
        <f t="shared" si="127"/>
        <v>Unique</v>
      </c>
      <c r="AB587" t="str">
        <f t="shared" si="131"/>
        <v>OK</v>
      </c>
      <c r="AC587">
        <f t="shared" si="132"/>
        <v>0</v>
      </c>
      <c r="AD587" t="str">
        <f t="shared" si="133"/>
        <v>OK</v>
      </c>
      <c r="AE587">
        <f t="shared" si="134"/>
        <v>27629.279999999999</v>
      </c>
      <c r="AF587">
        <f t="shared" si="135"/>
        <v>5602.7999999999993</v>
      </c>
      <c r="AG587">
        <f t="shared" si="136"/>
        <v>0.20278487170132553</v>
      </c>
      <c r="AH587" t="str">
        <f t="shared" si="128"/>
        <v>June</v>
      </c>
      <c r="AI587">
        <f t="shared" si="129"/>
        <v>2025</v>
      </c>
      <c r="AJ587" t="str">
        <f t="shared" si="137"/>
        <v>OK</v>
      </c>
      <c r="AK587" t="str">
        <f t="shared" si="138"/>
        <v>OK</v>
      </c>
      <c r="AL587" t="str">
        <f t="shared" si="139"/>
        <v>Include</v>
      </c>
      <c r="AM587" t="str">
        <f t="shared" si="130"/>
        <v>Clean</v>
      </c>
    </row>
    <row r="588" spans="1:39">
      <c r="A588" t="s">
        <v>1852</v>
      </c>
      <c r="B588" s="4">
        <v>45759</v>
      </c>
      <c r="C588" s="4">
        <v>45759</v>
      </c>
      <c r="D588" s="6">
        <v>0</v>
      </c>
      <c r="E588" t="s">
        <v>2788</v>
      </c>
      <c r="F588" t="s">
        <v>2788</v>
      </c>
      <c r="G588" t="s">
        <v>2788</v>
      </c>
      <c r="H588" t="s">
        <v>1853</v>
      </c>
      <c r="I588" t="s">
        <v>36</v>
      </c>
      <c r="J588" t="s">
        <v>95</v>
      </c>
      <c r="K588" t="s">
        <v>25</v>
      </c>
      <c r="L588" t="s">
        <v>122</v>
      </c>
      <c r="M588" t="s">
        <v>123</v>
      </c>
      <c r="N588" t="s">
        <v>28</v>
      </c>
      <c r="O588" t="s">
        <v>153</v>
      </c>
      <c r="P588" t="s">
        <v>1854</v>
      </c>
      <c r="Q588" t="s">
        <v>31</v>
      </c>
      <c r="R588">
        <v>7</v>
      </c>
      <c r="S588">
        <v>1334.2</v>
      </c>
      <c r="T588">
        <v>0.2</v>
      </c>
      <c r="U588">
        <v>7471.52</v>
      </c>
      <c r="V588">
        <v>6184.32</v>
      </c>
      <c r="W588">
        <v>1287.2</v>
      </c>
      <c r="X588" t="s">
        <v>32</v>
      </c>
      <c r="Y588" t="s">
        <v>33</v>
      </c>
      <c r="Z588" t="str">
        <f t="shared" si="126"/>
        <v>Unique</v>
      </c>
      <c r="AA588" t="str">
        <f t="shared" si="127"/>
        <v>Unique</v>
      </c>
      <c r="AB588" t="str">
        <f t="shared" si="131"/>
        <v>OK</v>
      </c>
      <c r="AC588">
        <f t="shared" si="132"/>
        <v>0.2</v>
      </c>
      <c r="AD588" t="str">
        <f t="shared" si="133"/>
        <v>OK</v>
      </c>
      <c r="AE588">
        <f t="shared" si="134"/>
        <v>7471.52</v>
      </c>
      <c r="AF588">
        <f t="shared" si="135"/>
        <v>1287.2000000000007</v>
      </c>
      <c r="AG588">
        <f t="shared" si="136"/>
        <v>0.17228087457438387</v>
      </c>
      <c r="AH588" t="str">
        <f t="shared" si="128"/>
        <v>April</v>
      </c>
      <c r="AI588">
        <f t="shared" si="129"/>
        <v>2025</v>
      </c>
      <c r="AJ588" t="str">
        <f t="shared" si="137"/>
        <v>OK</v>
      </c>
      <c r="AK588" t="str">
        <f t="shared" si="138"/>
        <v>OK</v>
      </c>
      <c r="AL588" t="str">
        <f t="shared" si="139"/>
        <v>Include</v>
      </c>
      <c r="AM588" t="str">
        <f t="shared" si="130"/>
        <v>Clean</v>
      </c>
    </row>
    <row r="589" spans="1:39">
      <c r="A589" t="s">
        <v>1855</v>
      </c>
      <c r="B589" s="4">
        <v>45861</v>
      </c>
      <c r="C589" s="4">
        <v>45869</v>
      </c>
      <c r="D589" s="6">
        <v>8</v>
      </c>
      <c r="E589" t="s">
        <v>2788</v>
      </c>
      <c r="F589" t="s">
        <v>2788</v>
      </c>
      <c r="G589" t="s">
        <v>2788</v>
      </c>
      <c r="H589" t="s">
        <v>1856</v>
      </c>
      <c r="I589" t="s">
        <v>264</v>
      </c>
      <c r="J589" t="s">
        <v>95</v>
      </c>
      <c r="K589" t="s">
        <v>63</v>
      </c>
      <c r="L589" t="s">
        <v>72</v>
      </c>
      <c r="M589" t="s">
        <v>73</v>
      </c>
      <c r="N589" t="s">
        <v>74</v>
      </c>
      <c r="O589" t="s">
        <v>75</v>
      </c>
      <c r="P589" t="s">
        <v>1857</v>
      </c>
      <c r="Q589" t="s">
        <v>50</v>
      </c>
      <c r="R589">
        <v>1</v>
      </c>
      <c r="S589">
        <v>4253.84</v>
      </c>
      <c r="T589">
        <v>0.15</v>
      </c>
      <c r="U589">
        <v>3615.76</v>
      </c>
      <c r="V589">
        <v>2951.52</v>
      </c>
      <c r="W589">
        <v>664.24</v>
      </c>
      <c r="X589" t="s">
        <v>102</v>
      </c>
      <c r="Y589" t="s">
        <v>68</v>
      </c>
      <c r="Z589" t="str">
        <f t="shared" si="126"/>
        <v>Unique</v>
      </c>
      <c r="AA589" t="str">
        <f t="shared" si="127"/>
        <v>Unique</v>
      </c>
      <c r="AB589" t="str">
        <f t="shared" si="131"/>
        <v>OK</v>
      </c>
      <c r="AC589">
        <f t="shared" si="132"/>
        <v>0.15</v>
      </c>
      <c r="AD589" t="str">
        <f t="shared" si="133"/>
        <v>OK</v>
      </c>
      <c r="AE589">
        <f t="shared" si="134"/>
        <v>3615.7640000000001</v>
      </c>
      <c r="AF589">
        <f t="shared" si="135"/>
        <v>664.24400000000014</v>
      </c>
      <c r="AG589">
        <f t="shared" si="136"/>
        <v>0.18370778623826114</v>
      </c>
      <c r="AH589" t="str">
        <f t="shared" si="128"/>
        <v>July</v>
      </c>
      <c r="AI589">
        <f t="shared" si="129"/>
        <v>2025</v>
      </c>
      <c r="AJ589" t="str">
        <f t="shared" si="137"/>
        <v>OK</v>
      </c>
      <c r="AK589" t="str">
        <f t="shared" si="138"/>
        <v>OK</v>
      </c>
      <c r="AL589" t="str">
        <f t="shared" si="139"/>
        <v>Exclude</v>
      </c>
      <c r="AM589" t="str">
        <f t="shared" si="130"/>
        <v>Clean</v>
      </c>
    </row>
    <row r="590" spans="1:39">
      <c r="A590" t="s">
        <v>1858</v>
      </c>
      <c r="B590" s="4">
        <v>45727</v>
      </c>
      <c r="C590" s="4">
        <v>45731</v>
      </c>
      <c r="D590" s="6">
        <v>4</v>
      </c>
      <c r="E590" t="s">
        <v>2788</v>
      </c>
      <c r="F590" t="s">
        <v>2788</v>
      </c>
      <c r="G590" t="s">
        <v>2788</v>
      </c>
      <c r="H590" t="s">
        <v>1859</v>
      </c>
      <c r="I590" t="s">
        <v>128</v>
      </c>
      <c r="J590" t="s">
        <v>95</v>
      </c>
      <c r="K590" t="s">
        <v>54</v>
      </c>
      <c r="L590" t="s">
        <v>175</v>
      </c>
      <c r="M590" t="s">
        <v>176</v>
      </c>
      <c r="N590" t="s">
        <v>74</v>
      </c>
      <c r="O590" t="s">
        <v>75</v>
      </c>
      <c r="P590" t="s">
        <v>1860</v>
      </c>
      <c r="Q590" t="s">
        <v>31</v>
      </c>
      <c r="R590">
        <v>8</v>
      </c>
      <c r="S590">
        <v>4446.3599999999997</v>
      </c>
      <c r="T590">
        <v>0.1</v>
      </c>
      <c r="U590">
        <v>32013.79</v>
      </c>
      <c r="V590">
        <v>20896.88</v>
      </c>
      <c r="W590">
        <v>11116.91</v>
      </c>
      <c r="X590" t="s">
        <v>102</v>
      </c>
      <c r="Y590" t="s">
        <v>68</v>
      </c>
      <c r="Z590" t="str">
        <f t="shared" si="126"/>
        <v>Unique</v>
      </c>
      <c r="AA590" t="str">
        <f t="shared" si="127"/>
        <v>Unique</v>
      </c>
      <c r="AB590" t="str">
        <f t="shared" si="131"/>
        <v>OK</v>
      </c>
      <c r="AC590">
        <f t="shared" si="132"/>
        <v>0.1</v>
      </c>
      <c r="AD590" t="str">
        <f t="shared" si="133"/>
        <v>OK</v>
      </c>
      <c r="AE590">
        <f t="shared" si="134"/>
        <v>32013.791999999998</v>
      </c>
      <c r="AF590">
        <f t="shared" si="135"/>
        <v>11116.911999999997</v>
      </c>
      <c r="AG590">
        <f t="shared" si="136"/>
        <v>0.34725383359771933</v>
      </c>
      <c r="AH590" t="str">
        <f t="shared" si="128"/>
        <v>March</v>
      </c>
      <c r="AI590">
        <f t="shared" si="129"/>
        <v>2025</v>
      </c>
      <c r="AJ590" t="str">
        <f t="shared" si="137"/>
        <v>OK</v>
      </c>
      <c r="AK590" t="str">
        <f t="shared" si="138"/>
        <v>OK</v>
      </c>
      <c r="AL590" t="str">
        <f t="shared" si="139"/>
        <v>Exclude</v>
      </c>
      <c r="AM590" t="str">
        <f t="shared" si="130"/>
        <v>Clean</v>
      </c>
    </row>
    <row r="591" spans="1:39">
      <c r="A591" t="s">
        <v>1861</v>
      </c>
      <c r="B591" s="4">
        <v>45632</v>
      </c>
      <c r="C591" s="4">
        <v>45638</v>
      </c>
      <c r="D591" s="6">
        <v>6</v>
      </c>
      <c r="E591" t="s">
        <v>2788</v>
      </c>
      <c r="F591" t="s">
        <v>2788</v>
      </c>
      <c r="G591" t="s">
        <v>2788</v>
      </c>
      <c r="H591" t="s">
        <v>1862</v>
      </c>
      <c r="I591" t="s">
        <v>141</v>
      </c>
      <c r="J591" t="s">
        <v>90</v>
      </c>
      <c r="K591" t="s">
        <v>25</v>
      </c>
      <c r="L591" t="s">
        <v>136</v>
      </c>
      <c r="M591" t="s">
        <v>137</v>
      </c>
      <c r="N591" t="s">
        <v>74</v>
      </c>
      <c r="O591" t="s">
        <v>171</v>
      </c>
      <c r="P591" t="s">
        <v>1863</v>
      </c>
      <c r="Q591" t="s">
        <v>50</v>
      </c>
      <c r="R591">
        <v>3</v>
      </c>
      <c r="S591">
        <v>524.75</v>
      </c>
      <c r="T591">
        <v>0</v>
      </c>
      <c r="U591">
        <v>1574.25</v>
      </c>
      <c r="V591">
        <v>1326.12</v>
      </c>
      <c r="W591">
        <v>248.13</v>
      </c>
      <c r="X591" t="s">
        <v>32</v>
      </c>
      <c r="Y591" t="s">
        <v>33</v>
      </c>
      <c r="Z591" t="str">
        <f t="shared" si="126"/>
        <v>Unique</v>
      </c>
      <c r="AA591" t="str">
        <f t="shared" si="127"/>
        <v>Unique</v>
      </c>
      <c r="AB591" t="str">
        <f t="shared" si="131"/>
        <v>OK</v>
      </c>
      <c r="AC591">
        <f t="shared" si="132"/>
        <v>0</v>
      </c>
      <c r="AD591" t="str">
        <f t="shared" si="133"/>
        <v>OK</v>
      </c>
      <c r="AE591">
        <f t="shared" si="134"/>
        <v>1574.25</v>
      </c>
      <c r="AF591">
        <f t="shared" si="135"/>
        <v>248.13000000000011</v>
      </c>
      <c r="AG591">
        <f t="shared" si="136"/>
        <v>0.15761791329204389</v>
      </c>
      <c r="AH591" t="str">
        <f t="shared" si="128"/>
        <v>December</v>
      </c>
      <c r="AI591">
        <f t="shared" si="129"/>
        <v>2024</v>
      </c>
      <c r="AJ591" t="str">
        <f t="shared" si="137"/>
        <v>OK</v>
      </c>
      <c r="AK591" t="str">
        <f t="shared" si="138"/>
        <v>OK</v>
      </c>
      <c r="AL591" t="str">
        <f t="shared" si="139"/>
        <v>Include</v>
      </c>
      <c r="AM591" t="str">
        <f t="shared" si="130"/>
        <v>Clean</v>
      </c>
    </row>
    <row r="592" spans="1:39">
      <c r="A592" t="s">
        <v>1864</v>
      </c>
      <c r="B592" s="4">
        <v>45441</v>
      </c>
      <c r="C592" s="4">
        <v>45441</v>
      </c>
      <c r="D592" s="6">
        <v>0</v>
      </c>
      <c r="E592" t="s">
        <v>2788</v>
      </c>
      <c r="F592" t="s">
        <v>2788</v>
      </c>
      <c r="G592" t="s">
        <v>2788</v>
      </c>
      <c r="H592" t="s">
        <v>1865</v>
      </c>
      <c r="I592" t="s">
        <v>128</v>
      </c>
      <c r="J592" t="s">
        <v>95</v>
      </c>
      <c r="K592" t="s">
        <v>25</v>
      </c>
      <c r="L592" t="s">
        <v>350</v>
      </c>
      <c r="M592" t="s">
        <v>351</v>
      </c>
      <c r="N592" t="s">
        <v>41</v>
      </c>
      <c r="O592" t="s">
        <v>66</v>
      </c>
      <c r="P592" t="s">
        <v>1866</v>
      </c>
      <c r="Q592" t="s">
        <v>44</v>
      </c>
      <c r="R592">
        <v>6</v>
      </c>
      <c r="S592">
        <v>3430.35</v>
      </c>
      <c r="T592">
        <v>0</v>
      </c>
      <c r="U592">
        <v>20582.099999999999</v>
      </c>
      <c r="V592">
        <v>15897.65</v>
      </c>
      <c r="W592">
        <v>4684.45</v>
      </c>
      <c r="X592" t="s">
        <v>111</v>
      </c>
      <c r="Y592" t="s">
        <v>68</v>
      </c>
      <c r="Z592" t="str">
        <f t="shared" si="126"/>
        <v>Unique</v>
      </c>
      <c r="AA592" t="str">
        <f t="shared" si="127"/>
        <v>Unique</v>
      </c>
      <c r="AB592" t="str">
        <f t="shared" si="131"/>
        <v>OK</v>
      </c>
      <c r="AC592">
        <f t="shared" si="132"/>
        <v>0</v>
      </c>
      <c r="AD592" t="str">
        <f t="shared" si="133"/>
        <v>OK</v>
      </c>
      <c r="AE592">
        <f t="shared" si="134"/>
        <v>20582.099999999999</v>
      </c>
      <c r="AF592">
        <f t="shared" si="135"/>
        <v>4684.4499999999989</v>
      </c>
      <c r="AG592">
        <f t="shared" si="136"/>
        <v>0.22759825285077806</v>
      </c>
      <c r="AH592" t="str">
        <f t="shared" si="128"/>
        <v>May</v>
      </c>
      <c r="AI592">
        <f t="shared" si="129"/>
        <v>2024</v>
      </c>
      <c r="AJ592" t="str">
        <f t="shared" si="137"/>
        <v>OK</v>
      </c>
      <c r="AK592" t="str">
        <f t="shared" si="138"/>
        <v>OK</v>
      </c>
      <c r="AL592" t="str">
        <f t="shared" si="139"/>
        <v>Exclude</v>
      </c>
      <c r="AM592" t="str">
        <f t="shared" si="130"/>
        <v>Clean</v>
      </c>
    </row>
    <row r="593" spans="1:39">
      <c r="A593" t="s">
        <v>1867</v>
      </c>
      <c r="B593" s="4">
        <v>45344</v>
      </c>
      <c r="C593" s="4">
        <v>45346</v>
      </c>
      <c r="D593" s="6">
        <v>2</v>
      </c>
      <c r="E593" t="s">
        <v>2788</v>
      </c>
      <c r="F593" t="s">
        <v>2788</v>
      </c>
      <c r="G593" t="s">
        <v>2788</v>
      </c>
      <c r="H593" t="s">
        <v>1868</v>
      </c>
      <c r="I593" t="s">
        <v>132</v>
      </c>
      <c r="J593" t="s">
        <v>24</v>
      </c>
      <c r="K593" t="s">
        <v>54</v>
      </c>
      <c r="L593" t="s">
        <v>175</v>
      </c>
      <c r="M593" t="s">
        <v>176</v>
      </c>
      <c r="N593" t="s">
        <v>74</v>
      </c>
      <c r="O593" t="s">
        <v>80</v>
      </c>
      <c r="P593" t="s">
        <v>1869</v>
      </c>
      <c r="Q593" t="s">
        <v>50</v>
      </c>
      <c r="R593">
        <v>3</v>
      </c>
      <c r="S593">
        <v>3545.08</v>
      </c>
      <c r="T593">
        <v>0</v>
      </c>
      <c r="U593">
        <v>10635.24</v>
      </c>
      <c r="V593">
        <v>6031.88</v>
      </c>
      <c r="W593">
        <v>4603.3599999999997</v>
      </c>
      <c r="X593" t="s">
        <v>155</v>
      </c>
      <c r="Y593" t="s">
        <v>103</v>
      </c>
      <c r="Z593" t="str">
        <f t="shared" si="126"/>
        <v>Unique</v>
      </c>
      <c r="AA593" t="str">
        <f t="shared" si="127"/>
        <v>Unique</v>
      </c>
      <c r="AB593" t="str">
        <f t="shared" si="131"/>
        <v>OK</v>
      </c>
      <c r="AC593">
        <f t="shared" si="132"/>
        <v>0</v>
      </c>
      <c r="AD593" t="str">
        <f t="shared" si="133"/>
        <v>OK</v>
      </c>
      <c r="AE593">
        <f t="shared" si="134"/>
        <v>10635.24</v>
      </c>
      <c r="AF593">
        <f t="shared" si="135"/>
        <v>4603.3599999999997</v>
      </c>
      <c r="AG593">
        <f t="shared" si="136"/>
        <v>0.43284025560307055</v>
      </c>
      <c r="AH593" t="str">
        <f t="shared" si="128"/>
        <v>February</v>
      </c>
      <c r="AI593">
        <f t="shared" si="129"/>
        <v>2024</v>
      </c>
      <c r="AJ593" t="str">
        <f t="shared" si="137"/>
        <v>OK</v>
      </c>
      <c r="AK593" t="str">
        <f t="shared" si="138"/>
        <v>OK</v>
      </c>
      <c r="AL593" t="str">
        <f t="shared" si="139"/>
        <v>Exclude</v>
      </c>
      <c r="AM593" t="str">
        <f t="shared" si="130"/>
        <v>Clean</v>
      </c>
    </row>
    <row r="594" spans="1:39">
      <c r="A594" t="s">
        <v>1870</v>
      </c>
      <c r="B594" s="4">
        <v>45355</v>
      </c>
      <c r="C594" s="4">
        <v>45360</v>
      </c>
      <c r="D594" s="6">
        <v>5</v>
      </c>
      <c r="E594" t="s">
        <v>2788</v>
      </c>
      <c r="F594" t="s">
        <v>2788</v>
      </c>
      <c r="G594" t="s">
        <v>2788</v>
      </c>
      <c r="H594" t="s">
        <v>1871</v>
      </c>
      <c r="I594" t="s">
        <v>36</v>
      </c>
      <c r="J594" t="s">
        <v>24</v>
      </c>
      <c r="K594" t="s">
        <v>38</v>
      </c>
      <c r="L594" t="s">
        <v>99</v>
      </c>
      <c r="M594" t="s">
        <v>100</v>
      </c>
      <c r="N594" t="s">
        <v>74</v>
      </c>
      <c r="O594" t="s">
        <v>75</v>
      </c>
      <c r="P594" t="s">
        <v>1872</v>
      </c>
      <c r="Q594" t="s">
        <v>44</v>
      </c>
      <c r="R594">
        <v>8</v>
      </c>
      <c r="S594">
        <v>4401.41</v>
      </c>
      <c r="T594">
        <v>0.15</v>
      </c>
      <c r="U594">
        <v>29929.59</v>
      </c>
      <c r="V594">
        <v>22436.03</v>
      </c>
      <c r="W594">
        <v>7493.56</v>
      </c>
      <c r="X594" t="s">
        <v>32</v>
      </c>
      <c r="Y594" t="s">
        <v>33</v>
      </c>
      <c r="Z594" t="str">
        <f t="shared" si="126"/>
        <v>Unique</v>
      </c>
      <c r="AA594" t="str">
        <f t="shared" si="127"/>
        <v>Unique</v>
      </c>
      <c r="AB594" t="str">
        <f t="shared" si="131"/>
        <v>OK</v>
      </c>
      <c r="AC594">
        <f t="shared" si="132"/>
        <v>0.15</v>
      </c>
      <c r="AD594" t="str">
        <f t="shared" si="133"/>
        <v>OK</v>
      </c>
      <c r="AE594">
        <f t="shared" si="134"/>
        <v>29929.588</v>
      </c>
      <c r="AF594">
        <f t="shared" si="135"/>
        <v>7493.5580000000009</v>
      </c>
      <c r="AG594">
        <f t="shared" si="136"/>
        <v>0.25037290857461858</v>
      </c>
      <c r="AH594" t="str">
        <f t="shared" si="128"/>
        <v>March</v>
      </c>
      <c r="AI594">
        <f t="shared" si="129"/>
        <v>2024</v>
      </c>
      <c r="AJ594" t="str">
        <f t="shared" si="137"/>
        <v>OK</v>
      </c>
      <c r="AK594" t="str">
        <f t="shared" si="138"/>
        <v>OK</v>
      </c>
      <c r="AL594" t="str">
        <f t="shared" si="139"/>
        <v>Include</v>
      </c>
      <c r="AM594" t="str">
        <f t="shared" si="130"/>
        <v>Clean</v>
      </c>
    </row>
    <row r="595" spans="1:39">
      <c r="A595" t="s">
        <v>1873</v>
      </c>
      <c r="B595" s="4">
        <v>45927</v>
      </c>
      <c r="C595" s="4">
        <v>45929</v>
      </c>
      <c r="D595" s="6">
        <v>2</v>
      </c>
      <c r="E595" t="s">
        <v>2788</v>
      </c>
      <c r="F595" t="s">
        <v>2788</v>
      </c>
      <c r="G595" t="s">
        <v>2788</v>
      </c>
      <c r="H595" t="s">
        <v>1665</v>
      </c>
      <c r="I595" t="s">
        <v>53</v>
      </c>
      <c r="J595" t="s">
        <v>95</v>
      </c>
      <c r="K595" t="s">
        <v>25</v>
      </c>
      <c r="L595" t="s">
        <v>136</v>
      </c>
      <c r="M595" t="s">
        <v>137</v>
      </c>
      <c r="N595" t="s">
        <v>41</v>
      </c>
      <c r="O595" t="s">
        <v>42</v>
      </c>
      <c r="P595" t="s">
        <v>1874</v>
      </c>
      <c r="Q595" t="s">
        <v>31</v>
      </c>
      <c r="R595">
        <v>9</v>
      </c>
      <c r="S595">
        <v>4100.1099999999997</v>
      </c>
      <c r="T595">
        <v>0.25</v>
      </c>
      <c r="U595">
        <v>27675.74</v>
      </c>
      <c r="V595">
        <v>15571.08</v>
      </c>
      <c r="W595">
        <v>12104.66</v>
      </c>
      <c r="X595" t="s">
        <v>32</v>
      </c>
      <c r="Y595" t="s">
        <v>33</v>
      </c>
      <c r="Z595" t="str">
        <f t="shared" si="126"/>
        <v>Unique</v>
      </c>
      <c r="AA595" t="str">
        <f t="shared" si="127"/>
        <v>Unique</v>
      </c>
      <c r="AB595" t="str">
        <f t="shared" si="131"/>
        <v>OK</v>
      </c>
      <c r="AC595">
        <f t="shared" si="132"/>
        <v>0.25</v>
      </c>
      <c r="AD595" t="str">
        <f t="shared" si="133"/>
        <v>OK</v>
      </c>
      <c r="AE595">
        <f t="shared" si="134"/>
        <v>27675.7425</v>
      </c>
      <c r="AF595">
        <f t="shared" si="135"/>
        <v>12104.6625</v>
      </c>
      <c r="AG595">
        <f t="shared" si="136"/>
        <v>0.4373744444254748</v>
      </c>
      <c r="AH595" t="str">
        <f t="shared" si="128"/>
        <v>September</v>
      </c>
      <c r="AI595">
        <f t="shared" si="129"/>
        <v>2025</v>
      </c>
      <c r="AJ595" t="str">
        <f t="shared" si="137"/>
        <v>OK</v>
      </c>
      <c r="AK595" t="str">
        <f t="shared" si="138"/>
        <v>OK</v>
      </c>
      <c r="AL595" t="str">
        <f t="shared" si="139"/>
        <v>Include</v>
      </c>
      <c r="AM595" t="str">
        <f t="shared" si="130"/>
        <v>Clean</v>
      </c>
    </row>
    <row r="596" spans="1:39">
      <c r="A596" t="s">
        <v>1875</v>
      </c>
      <c r="B596" s="4">
        <v>45554</v>
      </c>
      <c r="C596" s="4">
        <v>45556</v>
      </c>
      <c r="D596" s="6">
        <v>2</v>
      </c>
      <c r="E596" t="s">
        <v>2788</v>
      </c>
      <c r="F596" t="s">
        <v>2788</v>
      </c>
      <c r="G596" t="s">
        <v>2788</v>
      </c>
      <c r="H596" t="s">
        <v>1876</v>
      </c>
      <c r="I596" t="s">
        <v>23</v>
      </c>
      <c r="J596" t="s">
        <v>37</v>
      </c>
      <c r="K596" t="s">
        <v>38</v>
      </c>
      <c r="L596" t="s">
        <v>99</v>
      </c>
      <c r="M596" t="s">
        <v>100</v>
      </c>
      <c r="N596" t="s">
        <v>41</v>
      </c>
      <c r="O596" t="s">
        <v>66</v>
      </c>
      <c r="P596" t="s">
        <v>1877</v>
      </c>
      <c r="Q596" t="s">
        <v>50</v>
      </c>
      <c r="R596">
        <v>3</v>
      </c>
      <c r="S596">
        <v>3981.76</v>
      </c>
      <c r="T596">
        <v>0</v>
      </c>
      <c r="U596">
        <v>11945.28</v>
      </c>
      <c r="V596">
        <v>9700.31</v>
      </c>
      <c r="W596">
        <v>2244.9699999999998</v>
      </c>
      <c r="X596" t="s">
        <v>32</v>
      </c>
      <c r="Y596" t="s">
        <v>33</v>
      </c>
      <c r="Z596" t="str">
        <f t="shared" si="126"/>
        <v>Unique</v>
      </c>
      <c r="AA596" t="str">
        <f t="shared" si="127"/>
        <v>Unique</v>
      </c>
      <c r="AB596" t="str">
        <f t="shared" si="131"/>
        <v>OK</v>
      </c>
      <c r="AC596">
        <f t="shared" si="132"/>
        <v>0</v>
      </c>
      <c r="AD596" t="str">
        <f t="shared" si="133"/>
        <v>OK</v>
      </c>
      <c r="AE596">
        <f t="shared" si="134"/>
        <v>11945.28</v>
      </c>
      <c r="AF596">
        <f t="shared" si="135"/>
        <v>2244.9700000000012</v>
      </c>
      <c r="AG596">
        <f t="shared" si="136"/>
        <v>0.18793782983739193</v>
      </c>
      <c r="AH596" t="str">
        <f t="shared" si="128"/>
        <v>September</v>
      </c>
      <c r="AI596">
        <f t="shared" si="129"/>
        <v>2024</v>
      </c>
      <c r="AJ596" t="str">
        <f t="shared" si="137"/>
        <v>OK</v>
      </c>
      <c r="AK596" t="str">
        <f t="shared" si="138"/>
        <v>OK</v>
      </c>
      <c r="AL596" t="str">
        <f t="shared" si="139"/>
        <v>Include</v>
      </c>
      <c r="AM596" t="str">
        <f t="shared" si="130"/>
        <v>Clean</v>
      </c>
    </row>
    <row r="597" spans="1:39">
      <c r="A597" t="s">
        <v>1878</v>
      </c>
      <c r="B597" s="4">
        <v>45699</v>
      </c>
      <c r="C597" s="4">
        <v>45704</v>
      </c>
      <c r="D597" s="6">
        <v>5</v>
      </c>
      <c r="E597" t="s">
        <v>2788</v>
      </c>
      <c r="F597" t="s">
        <v>2788</v>
      </c>
      <c r="G597" t="s">
        <v>2788</v>
      </c>
      <c r="H597" t="s">
        <v>1879</v>
      </c>
      <c r="I597" t="s">
        <v>36</v>
      </c>
      <c r="J597" t="s">
        <v>90</v>
      </c>
      <c r="K597" t="s">
        <v>25</v>
      </c>
      <c r="L597" t="s">
        <v>136</v>
      </c>
      <c r="M597" t="s">
        <v>137</v>
      </c>
      <c r="N597" t="s">
        <v>74</v>
      </c>
      <c r="O597" t="s">
        <v>171</v>
      </c>
      <c r="P597" t="s">
        <v>1880</v>
      </c>
      <c r="Q597" t="s">
        <v>50</v>
      </c>
      <c r="R597">
        <v>8</v>
      </c>
      <c r="S597">
        <v>1825.56</v>
      </c>
      <c r="T597">
        <v>0.1</v>
      </c>
      <c r="U597">
        <v>13144.03</v>
      </c>
      <c r="V597">
        <v>9764</v>
      </c>
      <c r="W597">
        <v>3380.03</v>
      </c>
      <c r="X597" t="s">
        <v>32</v>
      </c>
      <c r="Y597" t="s">
        <v>33</v>
      </c>
      <c r="Z597" t="str">
        <f t="shared" si="126"/>
        <v>Unique</v>
      </c>
      <c r="AA597" t="str">
        <f t="shared" si="127"/>
        <v>Unique</v>
      </c>
      <c r="AB597" t="str">
        <f t="shared" si="131"/>
        <v>OK</v>
      </c>
      <c r="AC597">
        <f t="shared" si="132"/>
        <v>0.1</v>
      </c>
      <c r="AD597" t="str">
        <f t="shared" si="133"/>
        <v>OK</v>
      </c>
      <c r="AE597">
        <f t="shared" si="134"/>
        <v>13144.031999999999</v>
      </c>
      <c r="AF597">
        <f t="shared" si="135"/>
        <v>3380.0319999999992</v>
      </c>
      <c r="AG597">
        <f t="shared" si="136"/>
        <v>0.25715336055176974</v>
      </c>
      <c r="AH597" t="str">
        <f t="shared" si="128"/>
        <v>February</v>
      </c>
      <c r="AI597">
        <f t="shared" si="129"/>
        <v>2025</v>
      </c>
      <c r="AJ597" t="str">
        <f t="shared" si="137"/>
        <v>OK</v>
      </c>
      <c r="AK597" t="str">
        <f t="shared" si="138"/>
        <v>OK</v>
      </c>
      <c r="AL597" t="str">
        <f t="shared" si="139"/>
        <v>Include</v>
      </c>
      <c r="AM597" t="str">
        <f t="shared" si="130"/>
        <v>Clean</v>
      </c>
    </row>
    <row r="598" spans="1:39">
      <c r="A598" t="s">
        <v>1881</v>
      </c>
      <c r="B598" s="4">
        <v>45392</v>
      </c>
      <c r="C598" s="4">
        <v>45398</v>
      </c>
      <c r="D598" s="6">
        <v>6</v>
      </c>
      <c r="E598" t="s">
        <v>2788</v>
      </c>
      <c r="F598" t="s">
        <v>2788</v>
      </c>
      <c r="G598" t="s">
        <v>2788</v>
      </c>
      <c r="H598" t="s">
        <v>1882</v>
      </c>
      <c r="I598" t="s">
        <v>89</v>
      </c>
      <c r="J598" t="s">
        <v>24</v>
      </c>
      <c r="K598" t="s">
        <v>54</v>
      </c>
      <c r="L598" t="s">
        <v>185</v>
      </c>
      <c r="M598" t="s">
        <v>186</v>
      </c>
      <c r="N598" t="s">
        <v>41</v>
      </c>
      <c r="O598" t="s">
        <v>66</v>
      </c>
      <c r="P598" t="s">
        <v>1883</v>
      </c>
      <c r="Q598" t="s">
        <v>31</v>
      </c>
      <c r="R598">
        <v>9</v>
      </c>
      <c r="S598">
        <v>2723.26</v>
      </c>
      <c r="T598">
        <v>0.25</v>
      </c>
      <c r="U598">
        <v>18382.009999999998</v>
      </c>
      <c r="V598">
        <v>13108.2</v>
      </c>
      <c r="W598">
        <v>5273.81</v>
      </c>
      <c r="X598" t="s">
        <v>32</v>
      </c>
      <c r="Y598" t="s">
        <v>33</v>
      </c>
      <c r="Z598" t="str">
        <f t="shared" si="126"/>
        <v>Unique</v>
      </c>
      <c r="AA598" t="str">
        <f t="shared" si="127"/>
        <v>Unique</v>
      </c>
      <c r="AB598" t="str">
        <f t="shared" si="131"/>
        <v>OK</v>
      </c>
      <c r="AC598">
        <f t="shared" si="132"/>
        <v>0.25</v>
      </c>
      <c r="AD598" t="str">
        <f t="shared" si="133"/>
        <v>OK</v>
      </c>
      <c r="AE598">
        <f t="shared" si="134"/>
        <v>18382.005000000005</v>
      </c>
      <c r="AF598">
        <f t="shared" si="135"/>
        <v>5273.8050000000039</v>
      </c>
      <c r="AG598">
        <f t="shared" si="136"/>
        <v>0.28690042245119629</v>
      </c>
      <c r="AH598" t="str">
        <f t="shared" si="128"/>
        <v>April</v>
      </c>
      <c r="AI598">
        <f t="shared" si="129"/>
        <v>2024</v>
      </c>
      <c r="AJ598" t="str">
        <f t="shared" si="137"/>
        <v>OK</v>
      </c>
      <c r="AK598" t="str">
        <f t="shared" si="138"/>
        <v>OK</v>
      </c>
      <c r="AL598" t="str">
        <f t="shared" si="139"/>
        <v>Include</v>
      </c>
      <c r="AM598" t="str">
        <f t="shared" si="130"/>
        <v>Clean</v>
      </c>
    </row>
    <row r="599" spans="1:39">
      <c r="A599" t="s">
        <v>1884</v>
      </c>
      <c r="B599" s="4">
        <v>45846</v>
      </c>
      <c r="C599" s="4">
        <v>45846</v>
      </c>
      <c r="D599" s="6">
        <v>0</v>
      </c>
      <c r="E599" t="s">
        <v>2788</v>
      </c>
      <c r="F599" t="s">
        <v>2788</v>
      </c>
      <c r="G599" t="s">
        <v>2788</v>
      </c>
      <c r="H599" t="s">
        <v>1885</v>
      </c>
      <c r="I599" t="s">
        <v>89</v>
      </c>
      <c r="J599" t="s">
        <v>24</v>
      </c>
      <c r="K599" t="s">
        <v>54</v>
      </c>
      <c r="L599" t="s">
        <v>55</v>
      </c>
      <c r="M599" t="s">
        <v>56</v>
      </c>
      <c r="N599" t="s">
        <v>74</v>
      </c>
      <c r="O599" t="s">
        <v>80</v>
      </c>
      <c r="P599" t="s">
        <v>1886</v>
      </c>
      <c r="Q599" t="s">
        <v>44</v>
      </c>
      <c r="R599">
        <v>9</v>
      </c>
      <c r="S599">
        <v>274.88</v>
      </c>
      <c r="T599">
        <v>0.25</v>
      </c>
      <c r="U599">
        <v>1855.44</v>
      </c>
      <c r="V599">
        <v>1262.74</v>
      </c>
      <c r="W599">
        <v>592.70000000000005</v>
      </c>
      <c r="X599" t="s">
        <v>32</v>
      </c>
      <c r="Y599" t="s">
        <v>33</v>
      </c>
      <c r="Z599" t="str">
        <f t="shared" si="126"/>
        <v>Unique</v>
      </c>
      <c r="AA599" t="str">
        <f t="shared" si="127"/>
        <v>Unique</v>
      </c>
      <c r="AB599" t="str">
        <f t="shared" si="131"/>
        <v>OK</v>
      </c>
      <c r="AC599">
        <f t="shared" si="132"/>
        <v>0.25</v>
      </c>
      <c r="AD599" t="str">
        <f t="shared" si="133"/>
        <v>OK</v>
      </c>
      <c r="AE599">
        <f t="shared" si="134"/>
        <v>1855.44</v>
      </c>
      <c r="AF599">
        <f t="shared" si="135"/>
        <v>592.70000000000005</v>
      </c>
      <c r="AG599">
        <f t="shared" si="136"/>
        <v>0.3194390548872505</v>
      </c>
      <c r="AH599" t="str">
        <f t="shared" si="128"/>
        <v>July</v>
      </c>
      <c r="AI599">
        <f t="shared" si="129"/>
        <v>2025</v>
      </c>
      <c r="AJ599" t="str">
        <f t="shared" si="137"/>
        <v>OK</v>
      </c>
      <c r="AK599" t="str">
        <f t="shared" si="138"/>
        <v>OK</v>
      </c>
      <c r="AL599" t="str">
        <f t="shared" si="139"/>
        <v>Include</v>
      </c>
      <c r="AM599" t="str">
        <f t="shared" si="130"/>
        <v>Clean</v>
      </c>
    </row>
    <row r="600" spans="1:39">
      <c r="A600" t="s">
        <v>1887</v>
      </c>
      <c r="B600" s="4">
        <v>45521</v>
      </c>
      <c r="C600" s="4">
        <v>45528</v>
      </c>
      <c r="D600" s="6">
        <v>7</v>
      </c>
      <c r="E600" t="s">
        <v>2788</v>
      </c>
      <c r="F600" t="s">
        <v>2788</v>
      </c>
      <c r="G600" t="s">
        <v>2788</v>
      </c>
      <c r="H600" t="s">
        <v>1888</v>
      </c>
      <c r="I600" t="s">
        <v>62</v>
      </c>
      <c r="J600" t="s">
        <v>90</v>
      </c>
      <c r="K600" t="s">
        <v>38</v>
      </c>
      <c r="L600" t="s">
        <v>99</v>
      </c>
      <c r="M600" t="s">
        <v>100</v>
      </c>
      <c r="N600" t="s">
        <v>74</v>
      </c>
      <c r="O600" t="s">
        <v>80</v>
      </c>
      <c r="P600" t="s">
        <v>1889</v>
      </c>
      <c r="Q600" t="s">
        <v>44</v>
      </c>
      <c r="R600">
        <v>3</v>
      </c>
      <c r="S600">
        <v>1490.69</v>
      </c>
      <c r="T600">
        <v>0.25</v>
      </c>
      <c r="U600">
        <v>3354.05</v>
      </c>
      <c r="V600">
        <v>2672.67</v>
      </c>
      <c r="W600">
        <v>681.38</v>
      </c>
      <c r="X600" t="s">
        <v>32</v>
      </c>
      <c r="Y600" t="s">
        <v>33</v>
      </c>
      <c r="Z600" t="str">
        <f t="shared" si="126"/>
        <v>Exact Duplicate</v>
      </c>
      <c r="AA600" t="str">
        <f t="shared" si="127"/>
        <v>Duplicate Order ID</v>
      </c>
      <c r="AB600" t="str">
        <f t="shared" si="131"/>
        <v>OK</v>
      </c>
      <c r="AC600">
        <f t="shared" si="132"/>
        <v>0.25</v>
      </c>
      <c r="AD600" t="str">
        <f t="shared" si="133"/>
        <v>OK</v>
      </c>
      <c r="AE600">
        <f t="shared" si="134"/>
        <v>3354.0524999999998</v>
      </c>
      <c r="AF600">
        <f t="shared" si="135"/>
        <v>681.38249999999971</v>
      </c>
      <c r="AG600">
        <f t="shared" si="136"/>
        <v>0.20315200790685289</v>
      </c>
      <c r="AH600" t="str">
        <f t="shared" si="128"/>
        <v>August</v>
      </c>
      <c r="AI600">
        <f t="shared" si="129"/>
        <v>2024</v>
      </c>
      <c r="AJ600" t="str">
        <f t="shared" si="137"/>
        <v>OK</v>
      </c>
      <c r="AK600" t="str">
        <f t="shared" si="138"/>
        <v>OK</v>
      </c>
      <c r="AL600" t="str">
        <f t="shared" si="139"/>
        <v>Include</v>
      </c>
      <c r="AM600" t="str">
        <f t="shared" si="130"/>
        <v>Clean</v>
      </c>
    </row>
    <row r="601" spans="1:39">
      <c r="A601" t="s">
        <v>1890</v>
      </c>
      <c r="B601" s="4">
        <v>45523</v>
      </c>
      <c r="C601" s="4">
        <v>45525</v>
      </c>
      <c r="D601" s="6">
        <v>2</v>
      </c>
      <c r="E601" t="s">
        <v>2788</v>
      </c>
      <c r="F601" t="s">
        <v>2788</v>
      </c>
      <c r="G601" t="s">
        <v>2788</v>
      </c>
      <c r="H601" t="s">
        <v>1891</v>
      </c>
      <c r="I601" t="s">
        <v>53</v>
      </c>
      <c r="J601" t="s">
        <v>24</v>
      </c>
      <c r="K601" t="s">
        <v>25</v>
      </c>
      <c r="L601" t="s">
        <v>122</v>
      </c>
      <c r="M601" t="s">
        <v>123</v>
      </c>
      <c r="N601" t="s">
        <v>74</v>
      </c>
      <c r="O601" t="s">
        <v>171</v>
      </c>
      <c r="P601" t="s">
        <v>1892</v>
      </c>
      <c r="Q601" t="s">
        <v>50</v>
      </c>
      <c r="R601">
        <v>3</v>
      </c>
      <c r="S601">
        <v>1103.54</v>
      </c>
      <c r="T601">
        <v>0.25</v>
      </c>
      <c r="U601">
        <v>2482.9699999999998</v>
      </c>
      <c r="V601">
        <v>1621.72</v>
      </c>
      <c r="W601">
        <v>861.25</v>
      </c>
      <c r="X601" t="s">
        <v>32</v>
      </c>
      <c r="Y601" t="s">
        <v>33</v>
      </c>
      <c r="Z601" t="str">
        <f t="shared" si="126"/>
        <v>Unique</v>
      </c>
      <c r="AA601" t="str">
        <f t="shared" si="127"/>
        <v>Unique</v>
      </c>
      <c r="AB601" t="str">
        <f t="shared" si="131"/>
        <v>OK</v>
      </c>
      <c r="AC601">
        <f t="shared" si="132"/>
        <v>0.25</v>
      </c>
      <c r="AD601" t="str">
        <f t="shared" si="133"/>
        <v>OK</v>
      </c>
      <c r="AE601">
        <f t="shared" si="134"/>
        <v>2482.9650000000001</v>
      </c>
      <c r="AF601">
        <f t="shared" si="135"/>
        <v>861.24500000000012</v>
      </c>
      <c r="AG601">
        <f t="shared" si="136"/>
        <v>0.34686151435884116</v>
      </c>
      <c r="AH601" t="str">
        <f t="shared" si="128"/>
        <v>August</v>
      </c>
      <c r="AI601">
        <f t="shared" si="129"/>
        <v>2024</v>
      </c>
      <c r="AJ601" t="str">
        <f t="shared" si="137"/>
        <v>OK</v>
      </c>
      <c r="AK601" t="str">
        <f t="shared" si="138"/>
        <v>OK</v>
      </c>
      <c r="AL601" t="str">
        <f t="shared" si="139"/>
        <v>Include</v>
      </c>
      <c r="AM601" t="str">
        <f t="shared" si="130"/>
        <v>Clean</v>
      </c>
    </row>
    <row r="602" spans="1:39">
      <c r="A602" t="s">
        <v>1893</v>
      </c>
      <c r="B602" s="4">
        <v>45721</v>
      </c>
      <c r="C602" s="4">
        <v>45728</v>
      </c>
      <c r="D602" s="6">
        <v>7</v>
      </c>
      <c r="E602" t="s">
        <v>2788</v>
      </c>
      <c r="F602" t="s">
        <v>2788</v>
      </c>
      <c r="G602" t="s">
        <v>2788</v>
      </c>
      <c r="H602" t="s">
        <v>1894</v>
      </c>
      <c r="I602" t="s">
        <v>62</v>
      </c>
      <c r="J602" t="s">
        <v>90</v>
      </c>
      <c r="K602" t="s">
        <v>63</v>
      </c>
      <c r="L602" t="s">
        <v>72</v>
      </c>
      <c r="M602" t="s">
        <v>73</v>
      </c>
      <c r="N602" t="s">
        <v>28</v>
      </c>
      <c r="O602" t="s">
        <v>124</v>
      </c>
      <c r="P602" t="s">
        <v>1895</v>
      </c>
      <c r="Q602" t="s">
        <v>44</v>
      </c>
      <c r="R602">
        <v>3</v>
      </c>
      <c r="S602">
        <v>3682.75</v>
      </c>
      <c r="U602">
        <v>11048.25</v>
      </c>
      <c r="V602">
        <v>9062.7199999999993</v>
      </c>
      <c r="W602">
        <v>1985.53</v>
      </c>
      <c r="X602" t="s">
        <v>32</v>
      </c>
      <c r="Y602" t="s">
        <v>33</v>
      </c>
      <c r="Z602" t="str">
        <f t="shared" si="126"/>
        <v>Unique</v>
      </c>
      <c r="AA602" t="str">
        <f t="shared" si="127"/>
        <v>Unique</v>
      </c>
      <c r="AB602" t="str">
        <f t="shared" si="131"/>
        <v>OK</v>
      </c>
      <c r="AC602">
        <f t="shared" si="132"/>
        <v>0</v>
      </c>
      <c r="AD602" t="str">
        <f t="shared" si="133"/>
        <v>OK</v>
      </c>
      <c r="AE602">
        <f t="shared" si="134"/>
        <v>11048.25</v>
      </c>
      <c r="AF602">
        <f t="shared" si="135"/>
        <v>1985.5300000000007</v>
      </c>
      <c r="AG602">
        <f t="shared" si="136"/>
        <v>0.17971443441268986</v>
      </c>
      <c r="AH602" t="str">
        <f t="shared" si="128"/>
        <v>March</v>
      </c>
      <c r="AI602">
        <f t="shared" si="129"/>
        <v>2025</v>
      </c>
      <c r="AJ602" t="str">
        <f t="shared" si="137"/>
        <v>OK</v>
      </c>
      <c r="AK602" t="str">
        <f t="shared" si="138"/>
        <v>OK</v>
      </c>
      <c r="AL602" t="str">
        <f t="shared" si="139"/>
        <v>Include</v>
      </c>
      <c r="AM602" t="str">
        <f t="shared" si="130"/>
        <v>Clean</v>
      </c>
    </row>
    <row r="603" spans="1:39">
      <c r="A603" t="s">
        <v>1896</v>
      </c>
      <c r="B603" s="4">
        <v>45317</v>
      </c>
      <c r="C603" s="4">
        <v>45322</v>
      </c>
      <c r="D603" s="6">
        <v>5</v>
      </c>
      <c r="E603" t="s">
        <v>2788</v>
      </c>
      <c r="F603" t="s">
        <v>2788</v>
      </c>
      <c r="G603" t="s">
        <v>2788</v>
      </c>
      <c r="H603" t="s">
        <v>1897</v>
      </c>
      <c r="I603" t="s">
        <v>62</v>
      </c>
      <c r="J603" t="s">
        <v>95</v>
      </c>
      <c r="K603" t="s">
        <v>38</v>
      </c>
      <c r="L603" t="s">
        <v>99</v>
      </c>
      <c r="M603" t="s">
        <v>100</v>
      </c>
      <c r="N603" t="s">
        <v>28</v>
      </c>
      <c r="O603" t="s">
        <v>29</v>
      </c>
      <c r="P603" t="s">
        <v>1898</v>
      </c>
      <c r="Q603" t="s">
        <v>31</v>
      </c>
      <c r="R603">
        <v>5</v>
      </c>
      <c r="S603">
        <v>1615.03</v>
      </c>
      <c r="T603">
        <v>0.2</v>
      </c>
      <c r="U603">
        <v>6460.12</v>
      </c>
      <c r="V603">
        <v>3604.03</v>
      </c>
      <c r="W603">
        <v>2856.09</v>
      </c>
      <c r="X603" t="s">
        <v>32</v>
      </c>
      <c r="Y603" t="s">
        <v>33</v>
      </c>
      <c r="Z603" t="str">
        <f t="shared" si="126"/>
        <v>Unique</v>
      </c>
      <c r="AA603" t="str">
        <f t="shared" si="127"/>
        <v>Unique</v>
      </c>
      <c r="AB603" t="str">
        <f t="shared" si="131"/>
        <v>OK</v>
      </c>
      <c r="AC603">
        <f t="shared" si="132"/>
        <v>0.2</v>
      </c>
      <c r="AD603" t="str">
        <f t="shared" si="133"/>
        <v>OK</v>
      </c>
      <c r="AE603">
        <f t="shared" si="134"/>
        <v>6460.12</v>
      </c>
      <c r="AF603">
        <f t="shared" si="135"/>
        <v>2856.0899999999997</v>
      </c>
      <c r="AG603">
        <f t="shared" si="136"/>
        <v>0.44211098245853014</v>
      </c>
      <c r="AH603" t="str">
        <f t="shared" si="128"/>
        <v>January</v>
      </c>
      <c r="AI603">
        <f t="shared" si="129"/>
        <v>2024</v>
      </c>
      <c r="AJ603" t="str">
        <f t="shared" si="137"/>
        <v>OK</v>
      </c>
      <c r="AK603" t="str">
        <f t="shared" si="138"/>
        <v>OK</v>
      </c>
      <c r="AL603" t="str">
        <f t="shared" si="139"/>
        <v>Include</v>
      </c>
      <c r="AM603" t="str">
        <f t="shared" si="130"/>
        <v>Clean</v>
      </c>
    </row>
    <row r="604" spans="1:39">
      <c r="A604" t="s">
        <v>1899</v>
      </c>
      <c r="B604" s="4">
        <v>45588</v>
      </c>
      <c r="C604" s="4">
        <v>45595</v>
      </c>
      <c r="D604" s="6">
        <v>7</v>
      </c>
      <c r="E604" t="s">
        <v>2788</v>
      </c>
      <c r="F604" t="s">
        <v>2788</v>
      </c>
      <c r="G604" t="s">
        <v>2788</v>
      </c>
      <c r="H604" t="s">
        <v>1900</v>
      </c>
      <c r="I604" t="s">
        <v>128</v>
      </c>
      <c r="J604" t="s">
        <v>24</v>
      </c>
      <c r="K604" t="s">
        <v>38</v>
      </c>
      <c r="L604" t="s">
        <v>228</v>
      </c>
      <c r="M604" t="s">
        <v>229</v>
      </c>
      <c r="N604" t="s">
        <v>74</v>
      </c>
      <c r="O604" t="s">
        <v>80</v>
      </c>
      <c r="P604" t="s">
        <v>1901</v>
      </c>
      <c r="Q604" t="s">
        <v>31</v>
      </c>
      <c r="R604">
        <v>9</v>
      </c>
      <c r="S604">
        <v>3423.82</v>
      </c>
      <c r="T604">
        <v>0.15</v>
      </c>
      <c r="U604">
        <v>26192.22</v>
      </c>
      <c r="V604">
        <v>20795.55</v>
      </c>
      <c r="W604">
        <v>5396.67</v>
      </c>
      <c r="X604" t="s">
        <v>32</v>
      </c>
      <c r="Y604" t="s">
        <v>33</v>
      </c>
      <c r="Z604" t="str">
        <f t="shared" si="126"/>
        <v>Unique</v>
      </c>
      <c r="AA604" t="str">
        <f t="shared" si="127"/>
        <v>Unique</v>
      </c>
      <c r="AB604" t="str">
        <f t="shared" si="131"/>
        <v>OK</v>
      </c>
      <c r="AC604">
        <f t="shared" si="132"/>
        <v>0.15</v>
      </c>
      <c r="AD604" t="str">
        <f t="shared" si="133"/>
        <v>OK</v>
      </c>
      <c r="AE604">
        <f t="shared" si="134"/>
        <v>26192.223000000002</v>
      </c>
      <c r="AF604">
        <f t="shared" si="135"/>
        <v>5396.6730000000025</v>
      </c>
      <c r="AG604">
        <f t="shared" si="136"/>
        <v>0.20604104508426041</v>
      </c>
      <c r="AH604" t="str">
        <f t="shared" si="128"/>
        <v>October</v>
      </c>
      <c r="AI604">
        <f t="shared" si="129"/>
        <v>2024</v>
      </c>
      <c r="AJ604" t="str">
        <f t="shared" si="137"/>
        <v>OK</v>
      </c>
      <c r="AK604" t="str">
        <f t="shared" si="138"/>
        <v>OK</v>
      </c>
      <c r="AL604" t="str">
        <f t="shared" si="139"/>
        <v>Include</v>
      </c>
      <c r="AM604" t="str">
        <f t="shared" si="130"/>
        <v>Clean</v>
      </c>
    </row>
    <row r="605" spans="1:39">
      <c r="A605" t="s">
        <v>1902</v>
      </c>
      <c r="B605" s="4">
        <v>45660</v>
      </c>
      <c r="C605" s="4">
        <v>45668</v>
      </c>
      <c r="D605" s="6">
        <v>8</v>
      </c>
      <c r="E605" t="s">
        <v>2788</v>
      </c>
      <c r="F605" t="s">
        <v>2788</v>
      </c>
      <c r="G605" t="s">
        <v>2788</v>
      </c>
      <c r="H605" t="s">
        <v>334</v>
      </c>
      <c r="I605" t="s">
        <v>71</v>
      </c>
      <c r="J605" t="s">
        <v>90</v>
      </c>
      <c r="K605" t="s">
        <v>38</v>
      </c>
      <c r="L605" t="s">
        <v>145</v>
      </c>
      <c r="M605" t="s">
        <v>146</v>
      </c>
      <c r="N605" t="s">
        <v>74</v>
      </c>
      <c r="O605" t="s">
        <v>75</v>
      </c>
      <c r="P605" t="s">
        <v>1903</v>
      </c>
      <c r="Q605" t="s">
        <v>50</v>
      </c>
      <c r="R605">
        <v>8</v>
      </c>
      <c r="S605">
        <v>2574.29</v>
      </c>
      <c r="T605">
        <v>0.05</v>
      </c>
      <c r="U605">
        <v>19564.599999999999</v>
      </c>
      <c r="V605">
        <v>11154.59</v>
      </c>
      <c r="W605">
        <v>8410.01</v>
      </c>
      <c r="X605" t="s">
        <v>111</v>
      </c>
      <c r="Y605" t="s">
        <v>68</v>
      </c>
      <c r="Z605" t="str">
        <f t="shared" si="126"/>
        <v>Unique</v>
      </c>
      <c r="AA605" t="str">
        <f t="shared" si="127"/>
        <v>Unique</v>
      </c>
      <c r="AB605" t="str">
        <f t="shared" si="131"/>
        <v>OK</v>
      </c>
      <c r="AC605">
        <f t="shared" si="132"/>
        <v>0.05</v>
      </c>
      <c r="AD605" t="str">
        <f t="shared" si="133"/>
        <v>OK</v>
      </c>
      <c r="AE605">
        <f t="shared" si="134"/>
        <v>19564.603999999999</v>
      </c>
      <c r="AF605">
        <f t="shared" si="135"/>
        <v>8410.0139999999992</v>
      </c>
      <c r="AG605">
        <f t="shared" si="136"/>
        <v>0.42985863654587642</v>
      </c>
      <c r="AH605" t="str">
        <f t="shared" si="128"/>
        <v>January</v>
      </c>
      <c r="AI605">
        <f t="shared" si="129"/>
        <v>2025</v>
      </c>
      <c r="AJ605" t="str">
        <f t="shared" si="137"/>
        <v>OK</v>
      </c>
      <c r="AK605" t="str">
        <f t="shared" si="138"/>
        <v>OK</v>
      </c>
      <c r="AL605" t="str">
        <f t="shared" si="139"/>
        <v>Exclude</v>
      </c>
      <c r="AM605" t="str">
        <f t="shared" si="130"/>
        <v>Clean</v>
      </c>
    </row>
    <row r="606" spans="1:39">
      <c r="A606" t="s">
        <v>1904</v>
      </c>
      <c r="B606" s="4">
        <v>45693</v>
      </c>
      <c r="C606" s="4">
        <v>45694</v>
      </c>
      <c r="D606" s="6">
        <v>1</v>
      </c>
      <c r="E606" t="s">
        <v>2788</v>
      </c>
      <c r="F606" t="s">
        <v>2788</v>
      </c>
      <c r="G606" t="s">
        <v>2788</v>
      </c>
      <c r="H606" t="s">
        <v>1905</v>
      </c>
      <c r="I606" t="s">
        <v>62</v>
      </c>
      <c r="J606" t="s">
        <v>24</v>
      </c>
      <c r="K606" t="s">
        <v>63</v>
      </c>
      <c r="L606" t="s">
        <v>72</v>
      </c>
      <c r="M606" t="s">
        <v>73</v>
      </c>
      <c r="N606" t="s">
        <v>28</v>
      </c>
      <c r="O606" t="s">
        <v>153</v>
      </c>
      <c r="P606" t="s">
        <v>1906</v>
      </c>
      <c r="Q606" t="s">
        <v>44</v>
      </c>
      <c r="R606">
        <v>3</v>
      </c>
      <c r="S606">
        <v>1076.3</v>
      </c>
      <c r="T606">
        <v>0</v>
      </c>
      <c r="U606">
        <v>3228.9</v>
      </c>
      <c r="V606">
        <v>1853.23</v>
      </c>
      <c r="W606">
        <v>1375.67</v>
      </c>
      <c r="X606" t="s">
        <v>32</v>
      </c>
      <c r="Y606" t="s">
        <v>33</v>
      </c>
      <c r="Z606" t="str">
        <f t="shared" si="126"/>
        <v>Unique</v>
      </c>
      <c r="AA606" t="str">
        <f t="shared" si="127"/>
        <v>Unique</v>
      </c>
      <c r="AB606" t="str">
        <f t="shared" si="131"/>
        <v>OK</v>
      </c>
      <c r="AC606">
        <f t="shared" si="132"/>
        <v>0</v>
      </c>
      <c r="AD606" t="str">
        <f t="shared" si="133"/>
        <v>OK</v>
      </c>
      <c r="AE606">
        <f t="shared" si="134"/>
        <v>3228.8999999999996</v>
      </c>
      <c r="AF606">
        <f t="shared" si="135"/>
        <v>1375.6699999999996</v>
      </c>
      <c r="AG606">
        <f t="shared" si="136"/>
        <v>0.42604911889497965</v>
      </c>
      <c r="AH606" t="str">
        <f t="shared" si="128"/>
        <v>February</v>
      </c>
      <c r="AI606">
        <f t="shared" si="129"/>
        <v>2025</v>
      </c>
      <c r="AJ606" t="str">
        <f t="shared" si="137"/>
        <v>OK</v>
      </c>
      <c r="AK606" t="str">
        <f t="shared" si="138"/>
        <v>OK</v>
      </c>
      <c r="AL606" t="str">
        <f t="shared" si="139"/>
        <v>Include</v>
      </c>
      <c r="AM606" t="str">
        <f t="shared" si="130"/>
        <v>Clean</v>
      </c>
    </row>
    <row r="607" spans="1:39">
      <c r="A607" t="s">
        <v>1907</v>
      </c>
      <c r="B607" s="4">
        <v>45847</v>
      </c>
      <c r="C607" s="4">
        <v>45851</v>
      </c>
      <c r="D607" s="6">
        <v>4</v>
      </c>
      <c r="E607" t="s">
        <v>2788</v>
      </c>
      <c r="F607" t="s">
        <v>2788</v>
      </c>
      <c r="G607" t="s">
        <v>2788</v>
      </c>
      <c r="H607" t="s">
        <v>1908</v>
      </c>
      <c r="I607" t="s">
        <v>264</v>
      </c>
      <c r="J607" t="s">
        <v>90</v>
      </c>
      <c r="K607" t="s">
        <v>63</v>
      </c>
      <c r="L607" t="s">
        <v>190</v>
      </c>
      <c r="M607" t="s">
        <v>191</v>
      </c>
      <c r="N607" t="s">
        <v>41</v>
      </c>
      <c r="O607" t="s">
        <v>57</v>
      </c>
      <c r="P607" t="s">
        <v>1909</v>
      </c>
      <c r="Q607" t="s">
        <v>31</v>
      </c>
      <c r="R607">
        <v>5</v>
      </c>
      <c r="S607">
        <v>1680.01</v>
      </c>
      <c r="T607" t="s">
        <v>767</v>
      </c>
      <c r="U607">
        <v>7560.04</v>
      </c>
      <c r="V607">
        <v>6448.05</v>
      </c>
      <c r="W607">
        <v>1111.99</v>
      </c>
      <c r="X607" t="s">
        <v>32</v>
      </c>
      <c r="Y607" t="s">
        <v>68</v>
      </c>
      <c r="Z607" t="str">
        <f t="shared" si="126"/>
        <v>Unique</v>
      </c>
      <c r="AA607" t="str">
        <f t="shared" si="127"/>
        <v>Unique</v>
      </c>
      <c r="AB607" t="str">
        <f t="shared" si="131"/>
        <v>OK</v>
      </c>
      <c r="AC607" t="str">
        <f t="shared" si="132"/>
        <v>85%</v>
      </c>
      <c r="AD607" t="str">
        <f t="shared" si="133"/>
        <v>Invalid High Discount</v>
      </c>
      <c r="AE607">
        <f t="shared" si="134"/>
        <v>1260.0075000000002</v>
      </c>
      <c r="AF607">
        <f t="shared" si="135"/>
        <v>-5188.0424999999996</v>
      </c>
      <c r="AG607">
        <f t="shared" si="136"/>
        <v>-4.1174695388717915</v>
      </c>
      <c r="AH607" t="str">
        <f t="shared" si="128"/>
        <v>July</v>
      </c>
      <c r="AI607">
        <f t="shared" si="129"/>
        <v>2025</v>
      </c>
      <c r="AJ607" t="str">
        <f t="shared" si="137"/>
        <v>Sales Mismatch</v>
      </c>
      <c r="AK607" t="str">
        <f t="shared" si="138"/>
        <v>Profit Mismatch</v>
      </c>
      <c r="AL607" t="str">
        <f t="shared" si="139"/>
        <v>Exclude</v>
      </c>
      <c r="AM607" t="str">
        <f t="shared" si="130"/>
        <v>Invalid</v>
      </c>
    </row>
    <row r="608" spans="1:39">
      <c r="A608" t="s">
        <v>1910</v>
      </c>
      <c r="B608" s="4">
        <v>45710</v>
      </c>
      <c r="C608" s="4">
        <v>45716</v>
      </c>
      <c r="D608" s="6">
        <v>6</v>
      </c>
      <c r="E608" t="s">
        <v>2788</v>
      </c>
      <c r="F608" t="s">
        <v>2788</v>
      </c>
      <c r="G608" t="s">
        <v>2788</v>
      </c>
      <c r="H608" t="s">
        <v>1911</v>
      </c>
      <c r="I608" t="s">
        <v>118</v>
      </c>
      <c r="J608" t="s">
        <v>95</v>
      </c>
      <c r="K608" t="s">
        <v>63</v>
      </c>
      <c r="L608" t="s">
        <v>72</v>
      </c>
      <c r="M608" t="s">
        <v>73</v>
      </c>
      <c r="N608" t="s">
        <v>74</v>
      </c>
      <c r="O608" t="s">
        <v>80</v>
      </c>
      <c r="P608" t="s">
        <v>1912</v>
      </c>
      <c r="Q608" t="s">
        <v>44</v>
      </c>
      <c r="R608">
        <v>3</v>
      </c>
      <c r="S608">
        <v>3890.81</v>
      </c>
      <c r="T608">
        <v>0.25</v>
      </c>
      <c r="U608">
        <v>8754.32</v>
      </c>
      <c r="V608">
        <v>6238.9</v>
      </c>
      <c r="W608">
        <v>2515.42</v>
      </c>
      <c r="X608" t="s">
        <v>32</v>
      </c>
      <c r="Y608" t="s">
        <v>33</v>
      </c>
      <c r="Z608" t="str">
        <f t="shared" si="126"/>
        <v>Unique</v>
      </c>
      <c r="AA608" t="str">
        <f t="shared" si="127"/>
        <v>Unique</v>
      </c>
      <c r="AB608" t="str">
        <f t="shared" si="131"/>
        <v>OK</v>
      </c>
      <c r="AC608">
        <f t="shared" si="132"/>
        <v>0.25</v>
      </c>
      <c r="AD608" t="str">
        <f t="shared" si="133"/>
        <v>OK</v>
      </c>
      <c r="AE608">
        <f t="shared" si="134"/>
        <v>8754.3225000000002</v>
      </c>
      <c r="AF608">
        <f t="shared" si="135"/>
        <v>2515.4225000000006</v>
      </c>
      <c r="AG608">
        <f t="shared" si="136"/>
        <v>0.28733491369549163</v>
      </c>
      <c r="AH608" t="str">
        <f t="shared" si="128"/>
        <v>February</v>
      </c>
      <c r="AI608">
        <f t="shared" si="129"/>
        <v>2025</v>
      </c>
      <c r="AJ608" t="str">
        <f t="shared" si="137"/>
        <v>OK</v>
      </c>
      <c r="AK608" t="str">
        <f t="shared" si="138"/>
        <v>OK</v>
      </c>
      <c r="AL608" t="str">
        <f t="shared" si="139"/>
        <v>Include</v>
      </c>
      <c r="AM608" t="str">
        <f t="shared" si="130"/>
        <v>Clean</v>
      </c>
    </row>
    <row r="609" spans="1:39">
      <c r="A609" t="s">
        <v>1913</v>
      </c>
      <c r="B609" s="4">
        <v>45704</v>
      </c>
      <c r="C609" s="4">
        <v>45710</v>
      </c>
      <c r="D609" s="6">
        <v>6</v>
      </c>
      <c r="E609" t="s">
        <v>2788</v>
      </c>
      <c r="F609" t="s">
        <v>2788</v>
      </c>
      <c r="G609" t="s">
        <v>2788</v>
      </c>
      <c r="H609" t="s">
        <v>1914</v>
      </c>
      <c r="I609" t="s">
        <v>132</v>
      </c>
      <c r="J609" t="s">
        <v>95</v>
      </c>
      <c r="K609" t="s">
        <v>38</v>
      </c>
      <c r="L609" t="s">
        <v>145</v>
      </c>
      <c r="M609" t="s">
        <v>146</v>
      </c>
      <c r="N609" t="s">
        <v>28</v>
      </c>
      <c r="O609" t="s">
        <v>124</v>
      </c>
      <c r="P609" t="s">
        <v>1915</v>
      </c>
      <c r="Q609" t="s">
        <v>44</v>
      </c>
      <c r="R609">
        <v>5</v>
      </c>
      <c r="S609">
        <v>954.67</v>
      </c>
      <c r="T609">
        <v>0.15</v>
      </c>
      <c r="U609">
        <v>4057.35</v>
      </c>
      <c r="V609">
        <v>2862.03</v>
      </c>
      <c r="W609">
        <v>1195.32</v>
      </c>
      <c r="X609" t="s">
        <v>32</v>
      </c>
      <c r="Y609" t="s">
        <v>33</v>
      </c>
      <c r="Z609" t="str">
        <f t="shared" si="126"/>
        <v>Unique</v>
      </c>
      <c r="AA609" t="str">
        <f t="shared" si="127"/>
        <v>Unique</v>
      </c>
      <c r="AB609" t="str">
        <f t="shared" si="131"/>
        <v>OK</v>
      </c>
      <c r="AC609">
        <f t="shared" si="132"/>
        <v>0.15</v>
      </c>
      <c r="AD609" t="str">
        <f t="shared" si="133"/>
        <v>OK</v>
      </c>
      <c r="AE609">
        <f t="shared" si="134"/>
        <v>4057.3474999999994</v>
      </c>
      <c r="AF609">
        <f t="shared" si="135"/>
        <v>1195.3174999999992</v>
      </c>
      <c r="AG609">
        <f t="shared" si="136"/>
        <v>0.29460565061286947</v>
      </c>
      <c r="AH609" t="str">
        <f t="shared" si="128"/>
        <v>February</v>
      </c>
      <c r="AI609">
        <f t="shared" si="129"/>
        <v>2025</v>
      </c>
      <c r="AJ609" t="str">
        <f t="shared" si="137"/>
        <v>OK</v>
      </c>
      <c r="AK609" t="str">
        <f t="shared" si="138"/>
        <v>OK</v>
      </c>
      <c r="AL609" t="str">
        <f t="shared" si="139"/>
        <v>Include</v>
      </c>
      <c r="AM609" t="str">
        <f t="shared" si="130"/>
        <v>Clean</v>
      </c>
    </row>
    <row r="610" spans="1:39">
      <c r="A610" t="s">
        <v>1916</v>
      </c>
      <c r="B610" s="4">
        <v>45464</v>
      </c>
      <c r="C610" s="4">
        <v>45466</v>
      </c>
      <c r="D610" s="6">
        <v>2</v>
      </c>
      <c r="E610" t="s">
        <v>2788</v>
      </c>
      <c r="F610" t="s">
        <v>2788</v>
      </c>
      <c r="G610" t="s">
        <v>2788</v>
      </c>
      <c r="H610" t="s">
        <v>1694</v>
      </c>
      <c r="I610" t="s">
        <v>23</v>
      </c>
      <c r="J610" t="s">
        <v>95</v>
      </c>
      <c r="K610" t="s">
        <v>63</v>
      </c>
      <c r="L610" t="s">
        <v>190</v>
      </c>
      <c r="M610" t="s">
        <v>191</v>
      </c>
      <c r="N610" t="s">
        <v>41</v>
      </c>
      <c r="O610" t="s">
        <v>57</v>
      </c>
      <c r="P610" t="s">
        <v>1917</v>
      </c>
      <c r="Q610" t="s">
        <v>31</v>
      </c>
      <c r="R610">
        <v>9</v>
      </c>
      <c r="S610">
        <v>2153.75</v>
      </c>
      <c r="T610">
        <v>0</v>
      </c>
      <c r="U610">
        <v>19383.75</v>
      </c>
      <c r="V610">
        <v>11667.43</v>
      </c>
      <c r="W610">
        <v>7716.32</v>
      </c>
      <c r="X610" t="s">
        <v>32</v>
      </c>
      <c r="Y610" t="s">
        <v>33</v>
      </c>
      <c r="Z610" t="str">
        <f t="shared" si="126"/>
        <v>Unique</v>
      </c>
      <c r="AA610" t="str">
        <f t="shared" si="127"/>
        <v>Unique</v>
      </c>
      <c r="AB610" t="str">
        <f t="shared" si="131"/>
        <v>OK</v>
      </c>
      <c r="AC610">
        <f t="shared" si="132"/>
        <v>0</v>
      </c>
      <c r="AD610" t="str">
        <f t="shared" si="133"/>
        <v>OK</v>
      </c>
      <c r="AE610">
        <f t="shared" si="134"/>
        <v>19383.75</v>
      </c>
      <c r="AF610">
        <f t="shared" si="135"/>
        <v>7716.32</v>
      </c>
      <c r="AG610">
        <f t="shared" si="136"/>
        <v>0.39808189849745274</v>
      </c>
      <c r="AH610" t="str">
        <f t="shared" si="128"/>
        <v>June</v>
      </c>
      <c r="AI610">
        <f t="shared" si="129"/>
        <v>2024</v>
      </c>
      <c r="AJ610" t="str">
        <f t="shared" si="137"/>
        <v>OK</v>
      </c>
      <c r="AK610" t="str">
        <f t="shared" si="138"/>
        <v>OK</v>
      </c>
      <c r="AL610" t="str">
        <f t="shared" si="139"/>
        <v>Include</v>
      </c>
      <c r="AM610" t="str">
        <f t="shared" si="130"/>
        <v>Clean</v>
      </c>
    </row>
    <row r="611" spans="1:39">
      <c r="A611" t="s">
        <v>1918</v>
      </c>
      <c r="B611" s="4">
        <v>45665</v>
      </c>
      <c r="C611" s="4">
        <v>45669</v>
      </c>
      <c r="D611" s="6">
        <v>4</v>
      </c>
      <c r="E611" t="s">
        <v>2788</v>
      </c>
      <c r="F611" t="s">
        <v>2788</v>
      </c>
      <c r="G611" t="s">
        <v>2788</v>
      </c>
      <c r="H611" t="s">
        <v>1919</v>
      </c>
      <c r="I611" t="s">
        <v>132</v>
      </c>
      <c r="J611" t="s">
        <v>95</v>
      </c>
      <c r="K611" t="s">
        <v>54</v>
      </c>
      <c r="L611" t="s">
        <v>175</v>
      </c>
      <c r="M611" t="s">
        <v>176</v>
      </c>
      <c r="N611" t="s">
        <v>41</v>
      </c>
      <c r="O611" t="s">
        <v>66</v>
      </c>
      <c r="P611" t="s">
        <v>1920</v>
      </c>
      <c r="Q611" t="s">
        <v>59</v>
      </c>
      <c r="R611">
        <v>7</v>
      </c>
      <c r="S611">
        <v>4337.4799999999996</v>
      </c>
      <c r="T611">
        <v>0</v>
      </c>
      <c r="U611">
        <v>30362.36</v>
      </c>
      <c r="V611">
        <v>25065.4</v>
      </c>
      <c r="W611">
        <v>5296.96</v>
      </c>
      <c r="X611" t="s">
        <v>32</v>
      </c>
      <c r="Y611" t="s">
        <v>33</v>
      </c>
      <c r="Z611" t="str">
        <f t="shared" si="126"/>
        <v>Unique</v>
      </c>
      <c r="AA611" t="str">
        <f t="shared" si="127"/>
        <v>Unique</v>
      </c>
      <c r="AB611" t="str">
        <f t="shared" si="131"/>
        <v>OK</v>
      </c>
      <c r="AC611">
        <f t="shared" si="132"/>
        <v>0</v>
      </c>
      <c r="AD611" t="str">
        <f t="shared" si="133"/>
        <v>OK</v>
      </c>
      <c r="AE611">
        <f t="shared" si="134"/>
        <v>30362.359999999997</v>
      </c>
      <c r="AF611">
        <f t="shared" si="135"/>
        <v>5296.9599999999955</v>
      </c>
      <c r="AG611">
        <f t="shared" si="136"/>
        <v>0.17445811195177174</v>
      </c>
      <c r="AH611" t="str">
        <f t="shared" si="128"/>
        <v>January</v>
      </c>
      <c r="AI611">
        <f t="shared" si="129"/>
        <v>2025</v>
      </c>
      <c r="AJ611" t="str">
        <f t="shared" si="137"/>
        <v>OK</v>
      </c>
      <c r="AK611" t="str">
        <f t="shared" si="138"/>
        <v>OK</v>
      </c>
      <c r="AL611" t="str">
        <f t="shared" si="139"/>
        <v>Include</v>
      </c>
      <c r="AM611" t="str">
        <f t="shared" si="130"/>
        <v>Clean</v>
      </c>
    </row>
    <row r="612" spans="1:39">
      <c r="A612" t="s">
        <v>1921</v>
      </c>
      <c r="B612" s="4">
        <v>45432</v>
      </c>
      <c r="C612" s="4">
        <v>45432</v>
      </c>
      <c r="D612" s="6">
        <v>0</v>
      </c>
      <c r="E612" t="s">
        <v>2788</v>
      </c>
      <c r="F612" t="s">
        <v>2788</v>
      </c>
      <c r="G612" t="s">
        <v>2788</v>
      </c>
      <c r="H612" t="s">
        <v>1366</v>
      </c>
      <c r="I612" t="s">
        <v>23</v>
      </c>
      <c r="J612" t="s">
        <v>95</v>
      </c>
      <c r="K612" t="s">
        <v>63</v>
      </c>
      <c r="L612" t="s">
        <v>72</v>
      </c>
      <c r="M612" t="s">
        <v>73</v>
      </c>
      <c r="N612" t="s">
        <v>41</v>
      </c>
      <c r="O612" t="s">
        <v>66</v>
      </c>
      <c r="P612" t="s">
        <v>1922</v>
      </c>
      <c r="Q612" t="s">
        <v>59</v>
      </c>
      <c r="R612">
        <v>1</v>
      </c>
      <c r="S612">
        <v>3032.95</v>
      </c>
      <c r="T612">
        <v>0.1</v>
      </c>
      <c r="U612">
        <v>2729.65</v>
      </c>
      <c r="V612">
        <v>1715.36</v>
      </c>
      <c r="W612">
        <v>1014.29</v>
      </c>
      <c r="X612" t="s">
        <v>32</v>
      </c>
      <c r="Y612" t="s">
        <v>33</v>
      </c>
      <c r="Z612" t="str">
        <f t="shared" si="126"/>
        <v>Unique</v>
      </c>
      <c r="AA612" t="str">
        <f t="shared" si="127"/>
        <v>Unique</v>
      </c>
      <c r="AB612" t="str">
        <f t="shared" si="131"/>
        <v>OK</v>
      </c>
      <c r="AC612">
        <f t="shared" si="132"/>
        <v>0.1</v>
      </c>
      <c r="AD612" t="str">
        <f t="shared" si="133"/>
        <v>OK</v>
      </c>
      <c r="AE612">
        <f t="shared" si="134"/>
        <v>2729.6549999999997</v>
      </c>
      <c r="AF612">
        <f t="shared" si="135"/>
        <v>1014.2949999999998</v>
      </c>
      <c r="AG612">
        <f t="shared" si="136"/>
        <v>0.37158358840219735</v>
      </c>
      <c r="AH612" t="str">
        <f t="shared" si="128"/>
        <v>May</v>
      </c>
      <c r="AI612">
        <f t="shared" si="129"/>
        <v>2024</v>
      </c>
      <c r="AJ612" t="str">
        <f t="shared" si="137"/>
        <v>OK</v>
      </c>
      <c r="AK612" t="str">
        <f t="shared" si="138"/>
        <v>OK</v>
      </c>
      <c r="AL612" t="str">
        <f t="shared" si="139"/>
        <v>Include</v>
      </c>
      <c r="AM612" t="str">
        <f t="shared" si="130"/>
        <v>Clean</v>
      </c>
    </row>
    <row r="613" spans="1:39">
      <c r="A613" t="s">
        <v>1923</v>
      </c>
      <c r="B613" s="4">
        <v>45846</v>
      </c>
      <c r="C613" s="4">
        <v>45853</v>
      </c>
      <c r="D613" s="6">
        <v>7</v>
      </c>
      <c r="E613" t="s">
        <v>2788</v>
      </c>
      <c r="F613" t="s">
        <v>2788</v>
      </c>
      <c r="G613" t="s">
        <v>2788</v>
      </c>
      <c r="H613" t="s">
        <v>1924</v>
      </c>
      <c r="I613" t="s">
        <v>62</v>
      </c>
      <c r="J613" t="s">
        <v>37</v>
      </c>
      <c r="K613" t="s">
        <v>25</v>
      </c>
      <c r="L613" t="s">
        <v>26</v>
      </c>
      <c r="M613" t="s">
        <v>27</v>
      </c>
      <c r="N613" t="s">
        <v>28</v>
      </c>
      <c r="O613" t="s">
        <v>153</v>
      </c>
      <c r="P613" t="s">
        <v>1925</v>
      </c>
      <c r="Q613" t="s">
        <v>44</v>
      </c>
      <c r="R613">
        <v>8</v>
      </c>
      <c r="S613">
        <v>655.28</v>
      </c>
      <c r="T613">
        <v>0.1</v>
      </c>
      <c r="U613">
        <v>4718.0200000000004</v>
      </c>
      <c r="V613">
        <v>3908.23</v>
      </c>
      <c r="W613">
        <v>809.79</v>
      </c>
      <c r="X613" t="s">
        <v>32</v>
      </c>
      <c r="Y613" t="s">
        <v>33</v>
      </c>
      <c r="Z613" t="str">
        <f t="shared" si="126"/>
        <v>Unique</v>
      </c>
      <c r="AA613" t="str">
        <f t="shared" si="127"/>
        <v>Unique</v>
      </c>
      <c r="AB613" t="str">
        <f t="shared" si="131"/>
        <v>OK</v>
      </c>
      <c r="AC613">
        <f t="shared" si="132"/>
        <v>0.1</v>
      </c>
      <c r="AD613" t="str">
        <f t="shared" si="133"/>
        <v>OK</v>
      </c>
      <c r="AE613">
        <f t="shared" si="134"/>
        <v>4718.0159999999996</v>
      </c>
      <c r="AF613">
        <f t="shared" si="135"/>
        <v>809.7859999999996</v>
      </c>
      <c r="AG613">
        <f t="shared" si="136"/>
        <v>0.17163697622051297</v>
      </c>
      <c r="AH613" t="str">
        <f t="shared" si="128"/>
        <v>July</v>
      </c>
      <c r="AI613">
        <f t="shared" si="129"/>
        <v>2025</v>
      </c>
      <c r="AJ613" t="str">
        <f t="shared" si="137"/>
        <v>OK</v>
      </c>
      <c r="AK613" t="str">
        <f t="shared" si="138"/>
        <v>OK</v>
      </c>
      <c r="AL613" t="str">
        <f t="shared" si="139"/>
        <v>Include</v>
      </c>
      <c r="AM613" t="str">
        <f t="shared" si="130"/>
        <v>Clean</v>
      </c>
    </row>
    <row r="614" spans="1:39">
      <c r="A614" t="s">
        <v>1926</v>
      </c>
      <c r="B614" s="4">
        <v>45753</v>
      </c>
      <c r="C614" s="4">
        <v>45760</v>
      </c>
      <c r="D614" s="6">
        <v>7</v>
      </c>
      <c r="E614" t="s">
        <v>2788</v>
      </c>
      <c r="F614" t="s">
        <v>2788</v>
      </c>
      <c r="G614" t="s">
        <v>2788</v>
      </c>
      <c r="H614" t="s">
        <v>1927</v>
      </c>
      <c r="I614" t="s">
        <v>89</v>
      </c>
      <c r="J614" t="s">
        <v>24</v>
      </c>
      <c r="K614" t="s">
        <v>2783</v>
      </c>
      <c r="L614" t="s">
        <v>39</v>
      </c>
      <c r="M614" t="s">
        <v>40</v>
      </c>
      <c r="N614" t="s">
        <v>74</v>
      </c>
      <c r="O614" t="s">
        <v>171</v>
      </c>
      <c r="P614" t="s">
        <v>1928</v>
      </c>
      <c r="Q614" t="s">
        <v>59</v>
      </c>
      <c r="R614">
        <v>1</v>
      </c>
      <c r="S614">
        <v>3844.01</v>
      </c>
      <c r="T614">
        <v>0</v>
      </c>
      <c r="U614">
        <v>3844.01</v>
      </c>
      <c r="V614">
        <v>2195.79</v>
      </c>
      <c r="W614">
        <v>1648.22</v>
      </c>
      <c r="X614" t="s">
        <v>32</v>
      </c>
      <c r="Y614" t="s">
        <v>33</v>
      </c>
      <c r="Z614" t="str">
        <f t="shared" si="126"/>
        <v>Unique</v>
      </c>
      <c r="AA614" t="str">
        <f t="shared" si="127"/>
        <v>Unique</v>
      </c>
      <c r="AB614" t="str">
        <f t="shared" si="131"/>
        <v>OK</v>
      </c>
      <c r="AC614">
        <f t="shared" si="132"/>
        <v>0</v>
      </c>
      <c r="AD614" t="str">
        <f t="shared" si="133"/>
        <v>OK</v>
      </c>
      <c r="AE614">
        <f t="shared" si="134"/>
        <v>3844.01</v>
      </c>
      <c r="AF614">
        <f t="shared" si="135"/>
        <v>1648.2200000000003</v>
      </c>
      <c r="AG614">
        <f t="shared" si="136"/>
        <v>0.42877619985379856</v>
      </c>
      <c r="AH614" t="str">
        <f t="shared" si="128"/>
        <v>April</v>
      </c>
      <c r="AI614">
        <f t="shared" si="129"/>
        <v>2025</v>
      </c>
      <c r="AJ614" t="str">
        <f t="shared" si="137"/>
        <v>OK</v>
      </c>
      <c r="AK614" t="str">
        <f t="shared" si="138"/>
        <v>OK</v>
      </c>
      <c r="AL614" t="str">
        <f t="shared" si="139"/>
        <v>Include</v>
      </c>
      <c r="AM614" t="str">
        <f t="shared" si="130"/>
        <v>Clean</v>
      </c>
    </row>
    <row r="615" spans="1:39">
      <c r="A615" t="s">
        <v>1929</v>
      </c>
      <c r="B615" s="4">
        <v>45570</v>
      </c>
      <c r="C615" s="4">
        <v>45575</v>
      </c>
      <c r="D615" s="6">
        <v>5</v>
      </c>
      <c r="E615" t="s">
        <v>2788</v>
      </c>
      <c r="F615" t="s">
        <v>2788</v>
      </c>
      <c r="G615" t="s">
        <v>2788</v>
      </c>
      <c r="H615" t="s">
        <v>1930</v>
      </c>
      <c r="I615" t="s">
        <v>162</v>
      </c>
      <c r="J615" t="s">
        <v>95</v>
      </c>
      <c r="K615" t="s">
        <v>63</v>
      </c>
      <c r="L615" t="s">
        <v>180</v>
      </c>
      <c r="M615" t="s">
        <v>181</v>
      </c>
      <c r="N615" t="s">
        <v>74</v>
      </c>
      <c r="O615" t="s">
        <v>274</v>
      </c>
      <c r="P615" t="s">
        <v>1931</v>
      </c>
      <c r="Q615" t="s">
        <v>44</v>
      </c>
      <c r="R615">
        <v>9</v>
      </c>
      <c r="S615">
        <v>3361.3</v>
      </c>
      <c r="T615">
        <v>0.25</v>
      </c>
      <c r="U615">
        <v>22688.78</v>
      </c>
      <c r="V615">
        <v>14672.41</v>
      </c>
      <c r="W615">
        <v>8016.37</v>
      </c>
      <c r="X615" t="s">
        <v>32</v>
      </c>
      <c r="Y615" t="s">
        <v>33</v>
      </c>
      <c r="Z615" t="str">
        <f t="shared" si="126"/>
        <v>Unique</v>
      </c>
      <c r="AA615" t="str">
        <f t="shared" si="127"/>
        <v>Unique</v>
      </c>
      <c r="AB615" t="str">
        <f t="shared" si="131"/>
        <v>OK</v>
      </c>
      <c r="AC615">
        <f t="shared" si="132"/>
        <v>0.25</v>
      </c>
      <c r="AD615" t="str">
        <f t="shared" si="133"/>
        <v>OK</v>
      </c>
      <c r="AE615">
        <f t="shared" si="134"/>
        <v>22688.775000000001</v>
      </c>
      <c r="AF615">
        <f t="shared" si="135"/>
        <v>8016.3650000000016</v>
      </c>
      <c r="AG615">
        <f t="shared" si="136"/>
        <v>0.35331854628555315</v>
      </c>
      <c r="AH615" t="str">
        <f t="shared" si="128"/>
        <v>October</v>
      </c>
      <c r="AI615">
        <f t="shared" si="129"/>
        <v>2024</v>
      </c>
      <c r="AJ615" t="str">
        <f t="shared" si="137"/>
        <v>OK</v>
      </c>
      <c r="AK615" t="str">
        <f t="shared" si="138"/>
        <v>OK</v>
      </c>
      <c r="AL615" t="str">
        <f t="shared" si="139"/>
        <v>Include</v>
      </c>
      <c r="AM615" t="str">
        <f t="shared" si="130"/>
        <v>Clean</v>
      </c>
    </row>
    <row r="616" spans="1:39">
      <c r="A616" t="s">
        <v>1932</v>
      </c>
      <c r="B616" s="4">
        <v>45333</v>
      </c>
      <c r="C616" s="4">
        <v>45341</v>
      </c>
      <c r="D616" s="6">
        <v>8</v>
      </c>
      <c r="E616" t="s">
        <v>2788</v>
      </c>
      <c r="F616" t="s">
        <v>2788</v>
      </c>
      <c r="G616" t="s">
        <v>2788</v>
      </c>
      <c r="H616" t="s">
        <v>1933</v>
      </c>
      <c r="I616" t="s">
        <v>62</v>
      </c>
      <c r="J616" t="s">
        <v>95</v>
      </c>
      <c r="K616" t="s">
        <v>54</v>
      </c>
      <c r="L616" t="s">
        <v>55</v>
      </c>
      <c r="M616" t="s">
        <v>56</v>
      </c>
      <c r="N616" t="s">
        <v>41</v>
      </c>
      <c r="O616" t="s">
        <v>66</v>
      </c>
      <c r="P616" t="s">
        <v>1934</v>
      </c>
      <c r="Q616" t="s">
        <v>59</v>
      </c>
      <c r="R616">
        <v>8</v>
      </c>
      <c r="S616">
        <v>3398.32</v>
      </c>
      <c r="T616">
        <v>0.25</v>
      </c>
      <c r="U616">
        <v>20389.919999999998</v>
      </c>
      <c r="V616">
        <v>16661.080000000002</v>
      </c>
      <c r="W616">
        <v>3728.84</v>
      </c>
      <c r="X616" t="s">
        <v>102</v>
      </c>
      <c r="Y616" t="s">
        <v>68</v>
      </c>
      <c r="Z616" t="str">
        <f t="shared" si="126"/>
        <v>Unique</v>
      </c>
      <c r="AA616" t="str">
        <f t="shared" si="127"/>
        <v>Unique</v>
      </c>
      <c r="AB616" t="str">
        <f t="shared" si="131"/>
        <v>OK</v>
      </c>
      <c r="AC616">
        <f t="shared" si="132"/>
        <v>0.25</v>
      </c>
      <c r="AD616" t="str">
        <f t="shared" si="133"/>
        <v>OK</v>
      </c>
      <c r="AE616">
        <f t="shared" si="134"/>
        <v>20389.920000000002</v>
      </c>
      <c r="AF616">
        <f t="shared" si="135"/>
        <v>3728.84</v>
      </c>
      <c r="AG616">
        <f t="shared" si="136"/>
        <v>0.18287663708342161</v>
      </c>
      <c r="AH616" t="str">
        <f t="shared" si="128"/>
        <v>February</v>
      </c>
      <c r="AI616">
        <f t="shared" si="129"/>
        <v>2024</v>
      </c>
      <c r="AJ616" t="str">
        <f t="shared" si="137"/>
        <v>OK</v>
      </c>
      <c r="AK616" t="str">
        <f t="shared" si="138"/>
        <v>OK</v>
      </c>
      <c r="AL616" t="str">
        <f t="shared" si="139"/>
        <v>Exclude</v>
      </c>
      <c r="AM616" t="str">
        <f t="shared" si="130"/>
        <v>Clean</v>
      </c>
    </row>
    <row r="617" spans="1:39">
      <c r="A617" t="s">
        <v>1935</v>
      </c>
      <c r="B617" s="4">
        <v>45569</v>
      </c>
      <c r="C617" s="4">
        <v>45572</v>
      </c>
      <c r="D617" s="6">
        <v>3</v>
      </c>
      <c r="E617" t="s">
        <v>2788</v>
      </c>
      <c r="F617" t="s">
        <v>2788</v>
      </c>
      <c r="G617" t="s">
        <v>2788</v>
      </c>
      <c r="H617" t="s">
        <v>1936</v>
      </c>
      <c r="I617" t="s">
        <v>118</v>
      </c>
      <c r="J617" t="s">
        <v>90</v>
      </c>
      <c r="K617" t="s">
        <v>54</v>
      </c>
      <c r="L617" t="s">
        <v>185</v>
      </c>
      <c r="M617" t="s">
        <v>186</v>
      </c>
      <c r="N617" t="s">
        <v>28</v>
      </c>
      <c r="O617" t="s">
        <v>48</v>
      </c>
      <c r="P617" t="s">
        <v>1937</v>
      </c>
      <c r="Q617" t="s">
        <v>31</v>
      </c>
      <c r="R617">
        <v>2</v>
      </c>
      <c r="S617">
        <v>3144.38</v>
      </c>
      <c r="T617">
        <v>0.1</v>
      </c>
      <c r="U617">
        <v>5904.57</v>
      </c>
      <c r="V617">
        <v>4337.79</v>
      </c>
      <c r="W617">
        <v>1322.09</v>
      </c>
      <c r="X617" t="s">
        <v>32</v>
      </c>
      <c r="Y617" t="s">
        <v>33</v>
      </c>
      <c r="Z617" t="str">
        <f t="shared" si="126"/>
        <v>Unique</v>
      </c>
      <c r="AA617" t="str">
        <f t="shared" si="127"/>
        <v>Unique</v>
      </c>
      <c r="AB617" t="str">
        <f t="shared" si="131"/>
        <v>OK</v>
      </c>
      <c r="AC617">
        <f t="shared" si="132"/>
        <v>0.1</v>
      </c>
      <c r="AD617" t="str">
        <f t="shared" si="133"/>
        <v>OK</v>
      </c>
      <c r="AE617">
        <f t="shared" si="134"/>
        <v>5659.884</v>
      </c>
      <c r="AF617">
        <f t="shared" si="135"/>
        <v>1322.0940000000001</v>
      </c>
      <c r="AG617">
        <f t="shared" si="136"/>
        <v>0.23359029973052453</v>
      </c>
      <c r="AH617" t="str">
        <f t="shared" si="128"/>
        <v>October</v>
      </c>
      <c r="AI617">
        <f t="shared" si="129"/>
        <v>2024</v>
      </c>
      <c r="AJ617" t="str">
        <f t="shared" si="137"/>
        <v>Sales Mismatch</v>
      </c>
      <c r="AK617" t="str">
        <f t="shared" si="138"/>
        <v>OK</v>
      </c>
      <c r="AL617" t="str">
        <f t="shared" si="139"/>
        <v>Include</v>
      </c>
      <c r="AM617" t="str">
        <f t="shared" si="130"/>
        <v>Warning</v>
      </c>
    </row>
    <row r="618" spans="1:39">
      <c r="A618" t="s">
        <v>1938</v>
      </c>
      <c r="B618" s="4">
        <v>45520</v>
      </c>
      <c r="C618" s="4">
        <v>45523</v>
      </c>
      <c r="D618" s="6">
        <v>3</v>
      </c>
      <c r="E618" t="s">
        <v>2788</v>
      </c>
      <c r="F618" t="s">
        <v>2788</v>
      </c>
      <c r="G618" t="s">
        <v>2788</v>
      </c>
      <c r="H618" t="s">
        <v>1939</v>
      </c>
      <c r="I618" t="s">
        <v>264</v>
      </c>
      <c r="J618" t="s">
        <v>24</v>
      </c>
      <c r="K618" t="s">
        <v>54</v>
      </c>
      <c r="L618" t="s">
        <v>55</v>
      </c>
      <c r="M618" t="s">
        <v>56</v>
      </c>
      <c r="N618" t="s">
        <v>28</v>
      </c>
      <c r="O618" t="s">
        <v>29</v>
      </c>
      <c r="P618" t="s">
        <v>1940</v>
      </c>
      <c r="Q618" t="s">
        <v>59</v>
      </c>
      <c r="R618">
        <v>6</v>
      </c>
      <c r="S618">
        <v>3925.55</v>
      </c>
      <c r="T618">
        <v>0.2</v>
      </c>
      <c r="U618">
        <v>18842.64</v>
      </c>
      <c r="V618">
        <v>11840.58</v>
      </c>
      <c r="W618">
        <v>7002.06</v>
      </c>
      <c r="X618" t="s">
        <v>32</v>
      </c>
      <c r="Y618" t="s">
        <v>33</v>
      </c>
      <c r="Z618" t="str">
        <f t="shared" si="126"/>
        <v>Unique</v>
      </c>
      <c r="AA618" t="str">
        <f t="shared" si="127"/>
        <v>Unique</v>
      </c>
      <c r="AB618" t="str">
        <f t="shared" si="131"/>
        <v>OK</v>
      </c>
      <c r="AC618">
        <f t="shared" si="132"/>
        <v>0.2</v>
      </c>
      <c r="AD618" t="str">
        <f t="shared" si="133"/>
        <v>OK</v>
      </c>
      <c r="AE618">
        <f t="shared" si="134"/>
        <v>18842.640000000003</v>
      </c>
      <c r="AF618">
        <f t="shared" si="135"/>
        <v>7002.0600000000031</v>
      </c>
      <c r="AG618">
        <f t="shared" si="136"/>
        <v>0.37160716332743193</v>
      </c>
      <c r="AH618" t="str">
        <f t="shared" si="128"/>
        <v>August</v>
      </c>
      <c r="AI618">
        <f t="shared" si="129"/>
        <v>2024</v>
      </c>
      <c r="AJ618" t="str">
        <f t="shared" si="137"/>
        <v>OK</v>
      </c>
      <c r="AK618" t="str">
        <f t="shared" si="138"/>
        <v>OK</v>
      </c>
      <c r="AL618" t="str">
        <f t="shared" si="139"/>
        <v>Include</v>
      </c>
      <c r="AM618" t="str">
        <f t="shared" si="130"/>
        <v>Clean</v>
      </c>
    </row>
    <row r="619" spans="1:39">
      <c r="A619" t="s">
        <v>1941</v>
      </c>
      <c r="B619" s="4">
        <v>45564</v>
      </c>
      <c r="C619" s="4">
        <v>45565</v>
      </c>
      <c r="D619" s="6">
        <v>1</v>
      </c>
      <c r="E619" t="s">
        <v>2788</v>
      </c>
      <c r="F619" t="s">
        <v>2788</v>
      </c>
      <c r="G619" t="s">
        <v>2788</v>
      </c>
      <c r="H619" t="s">
        <v>1942</v>
      </c>
      <c r="I619" t="s">
        <v>36</v>
      </c>
      <c r="J619" t="s">
        <v>95</v>
      </c>
      <c r="K619" t="s">
        <v>54</v>
      </c>
      <c r="L619" t="s">
        <v>55</v>
      </c>
      <c r="M619" t="s">
        <v>56</v>
      </c>
      <c r="N619" t="s">
        <v>74</v>
      </c>
      <c r="O619" t="s">
        <v>171</v>
      </c>
      <c r="P619" t="s">
        <v>1943</v>
      </c>
      <c r="Q619" t="s">
        <v>59</v>
      </c>
      <c r="R619">
        <v>9</v>
      </c>
      <c r="S619">
        <v>2741.91</v>
      </c>
      <c r="T619">
        <v>0</v>
      </c>
      <c r="U619">
        <v>24677.19</v>
      </c>
      <c r="V619">
        <v>20350.849999999999</v>
      </c>
      <c r="W619">
        <v>4326.34</v>
      </c>
      <c r="X619" t="s">
        <v>32</v>
      </c>
      <c r="Y619" t="s">
        <v>33</v>
      </c>
      <c r="Z619" t="str">
        <f t="shared" si="126"/>
        <v>Unique</v>
      </c>
      <c r="AA619" t="str">
        <f t="shared" si="127"/>
        <v>Unique</v>
      </c>
      <c r="AB619" t="str">
        <f t="shared" si="131"/>
        <v>OK</v>
      </c>
      <c r="AC619">
        <f t="shared" si="132"/>
        <v>0</v>
      </c>
      <c r="AD619" t="str">
        <f t="shared" si="133"/>
        <v>OK</v>
      </c>
      <c r="AE619">
        <f t="shared" si="134"/>
        <v>24677.19</v>
      </c>
      <c r="AF619">
        <f t="shared" si="135"/>
        <v>4326.34</v>
      </c>
      <c r="AG619">
        <f t="shared" si="136"/>
        <v>0.17531736798233513</v>
      </c>
      <c r="AH619" t="str">
        <f t="shared" si="128"/>
        <v>September</v>
      </c>
      <c r="AI619">
        <f t="shared" si="129"/>
        <v>2024</v>
      </c>
      <c r="AJ619" t="str">
        <f t="shared" si="137"/>
        <v>OK</v>
      </c>
      <c r="AK619" t="str">
        <f t="shared" si="138"/>
        <v>OK</v>
      </c>
      <c r="AL619" t="str">
        <f t="shared" si="139"/>
        <v>Include</v>
      </c>
      <c r="AM619" t="str">
        <f t="shared" si="130"/>
        <v>Clean</v>
      </c>
    </row>
    <row r="620" spans="1:39">
      <c r="A620" t="s">
        <v>1944</v>
      </c>
      <c r="B620" s="4">
        <v>45496</v>
      </c>
      <c r="C620" s="4">
        <v>45503</v>
      </c>
      <c r="D620" s="6">
        <v>7</v>
      </c>
      <c r="E620" t="s">
        <v>2788</v>
      </c>
      <c r="F620" t="s">
        <v>2788</v>
      </c>
      <c r="G620" t="s">
        <v>2788</v>
      </c>
      <c r="H620" t="s">
        <v>1945</v>
      </c>
      <c r="I620" t="s">
        <v>264</v>
      </c>
      <c r="J620" t="s">
        <v>90</v>
      </c>
      <c r="K620" t="s">
        <v>25</v>
      </c>
      <c r="L620" t="s">
        <v>26</v>
      </c>
      <c r="M620" t="s">
        <v>27</v>
      </c>
      <c r="N620" t="s">
        <v>41</v>
      </c>
      <c r="O620" t="s">
        <v>42</v>
      </c>
      <c r="P620" t="s">
        <v>1946</v>
      </c>
      <c r="Q620" t="s">
        <v>44</v>
      </c>
      <c r="R620">
        <v>9</v>
      </c>
      <c r="S620">
        <v>1870.11</v>
      </c>
      <c r="T620">
        <v>0.25</v>
      </c>
      <c r="U620">
        <v>12623.24</v>
      </c>
      <c r="V620">
        <v>10540.8</v>
      </c>
      <c r="W620">
        <v>2082.44</v>
      </c>
      <c r="X620" t="s">
        <v>155</v>
      </c>
      <c r="Y620" t="s">
        <v>68</v>
      </c>
      <c r="Z620" t="str">
        <f t="shared" si="126"/>
        <v>Unique</v>
      </c>
      <c r="AA620" t="str">
        <f t="shared" si="127"/>
        <v>Unique</v>
      </c>
      <c r="AB620" t="str">
        <f t="shared" si="131"/>
        <v>OK</v>
      </c>
      <c r="AC620">
        <f t="shared" si="132"/>
        <v>0.25</v>
      </c>
      <c r="AD620" t="str">
        <f t="shared" si="133"/>
        <v>OK</v>
      </c>
      <c r="AE620">
        <f t="shared" si="134"/>
        <v>12623.242499999998</v>
      </c>
      <c r="AF620">
        <f t="shared" si="135"/>
        <v>2082.4424999999992</v>
      </c>
      <c r="AG620">
        <f t="shared" si="136"/>
        <v>0.16496890557239943</v>
      </c>
      <c r="AH620" t="str">
        <f t="shared" si="128"/>
        <v>July</v>
      </c>
      <c r="AI620">
        <f t="shared" si="129"/>
        <v>2024</v>
      </c>
      <c r="AJ620" t="str">
        <f t="shared" si="137"/>
        <v>OK</v>
      </c>
      <c r="AK620" t="str">
        <f t="shared" si="138"/>
        <v>OK</v>
      </c>
      <c r="AL620" t="str">
        <f t="shared" si="139"/>
        <v>Exclude</v>
      </c>
      <c r="AM620" t="str">
        <f t="shared" si="130"/>
        <v>Clean</v>
      </c>
    </row>
    <row r="621" spans="1:39">
      <c r="A621" t="s">
        <v>1947</v>
      </c>
      <c r="B621" s="4">
        <v>45618</v>
      </c>
      <c r="C621" s="4">
        <v>45623</v>
      </c>
      <c r="D621" s="6">
        <v>5</v>
      </c>
      <c r="E621" t="s">
        <v>2788</v>
      </c>
      <c r="F621" t="s">
        <v>2788</v>
      </c>
      <c r="G621" t="s">
        <v>2788</v>
      </c>
      <c r="H621" t="s">
        <v>1948</v>
      </c>
      <c r="I621" t="s">
        <v>114</v>
      </c>
      <c r="J621" t="s">
        <v>90</v>
      </c>
      <c r="K621" t="s">
        <v>54</v>
      </c>
      <c r="L621" t="s">
        <v>247</v>
      </c>
      <c r="M621" t="s">
        <v>248</v>
      </c>
      <c r="N621" t="s">
        <v>28</v>
      </c>
      <c r="O621" t="s">
        <v>153</v>
      </c>
      <c r="P621" t="s">
        <v>1949</v>
      </c>
      <c r="Q621" t="s">
        <v>50</v>
      </c>
      <c r="R621">
        <v>1</v>
      </c>
      <c r="S621">
        <v>4251.26</v>
      </c>
      <c r="T621">
        <v>0.2</v>
      </c>
      <c r="U621">
        <v>3401.01</v>
      </c>
      <c r="V621">
        <v>2917.54</v>
      </c>
      <c r="W621">
        <v>483.47</v>
      </c>
      <c r="X621" t="s">
        <v>102</v>
      </c>
      <c r="Y621" t="s">
        <v>103</v>
      </c>
      <c r="Z621" t="str">
        <f t="shared" si="126"/>
        <v>Unique</v>
      </c>
      <c r="AA621" t="str">
        <f t="shared" si="127"/>
        <v>Unique</v>
      </c>
      <c r="AB621" t="str">
        <f t="shared" si="131"/>
        <v>OK</v>
      </c>
      <c r="AC621">
        <f t="shared" si="132"/>
        <v>0.2</v>
      </c>
      <c r="AD621" t="str">
        <f t="shared" si="133"/>
        <v>OK</v>
      </c>
      <c r="AE621">
        <f t="shared" si="134"/>
        <v>3401.0080000000003</v>
      </c>
      <c r="AF621">
        <f t="shared" si="135"/>
        <v>483.4680000000003</v>
      </c>
      <c r="AG621">
        <f t="shared" si="136"/>
        <v>0.14215432601158254</v>
      </c>
      <c r="AH621" t="str">
        <f t="shared" si="128"/>
        <v>November</v>
      </c>
      <c r="AI621">
        <f t="shared" si="129"/>
        <v>2024</v>
      </c>
      <c r="AJ621" t="str">
        <f t="shared" si="137"/>
        <v>OK</v>
      </c>
      <c r="AK621" t="str">
        <f t="shared" si="138"/>
        <v>OK</v>
      </c>
      <c r="AL621" t="str">
        <f t="shared" si="139"/>
        <v>Exclude</v>
      </c>
      <c r="AM621" t="str">
        <f t="shared" si="130"/>
        <v>Clean</v>
      </c>
    </row>
    <row r="622" spans="1:39">
      <c r="A622" t="s">
        <v>1950</v>
      </c>
      <c r="B622" s="4">
        <v>45522</v>
      </c>
      <c r="C622" s="4">
        <v>45525</v>
      </c>
      <c r="D622" s="6">
        <v>3</v>
      </c>
      <c r="E622" t="s">
        <v>2788</v>
      </c>
      <c r="F622" t="s">
        <v>2788</v>
      </c>
      <c r="G622" t="s">
        <v>2788</v>
      </c>
      <c r="H622" t="s">
        <v>1951</v>
      </c>
      <c r="I622" t="s">
        <v>71</v>
      </c>
      <c r="J622" t="s">
        <v>24</v>
      </c>
      <c r="K622" t="s">
        <v>25</v>
      </c>
      <c r="L622" t="s">
        <v>136</v>
      </c>
      <c r="M622" t="s">
        <v>137</v>
      </c>
      <c r="N622" t="s">
        <v>74</v>
      </c>
      <c r="O622" t="s">
        <v>274</v>
      </c>
      <c r="P622" t="s">
        <v>1952</v>
      </c>
      <c r="Q622" t="s">
        <v>59</v>
      </c>
      <c r="R622">
        <v>9</v>
      </c>
      <c r="S622">
        <v>734.34</v>
      </c>
      <c r="T622">
        <v>0</v>
      </c>
      <c r="U622">
        <v>6609.06</v>
      </c>
      <c r="V622">
        <v>4946.78</v>
      </c>
      <c r="W622">
        <v>1662.28</v>
      </c>
      <c r="X622" t="s">
        <v>32</v>
      </c>
      <c r="Y622" t="s">
        <v>33</v>
      </c>
      <c r="Z622" t="str">
        <f t="shared" si="126"/>
        <v>Unique</v>
      </c>
      <c r="AA622" t="str">
        <f t="shared" si="127"/>
        <v>Unique</v>
      </c>
      <c r="AB622" t="str">
        <f t="shared" si="131"/>
        <v>OK</v>
      </c>
      <c r="AC622">
        <f t="shared" si="132"/>
        <v>0</v>
      </c>
      <c r="AD622" t="str">
        <f t="shared" si="133"/>
        <v>OK</v>
      </c>
      <c r="AE622">
        <f t="shared" si="134"/>
        <v>6609.06</v>
      </c>
      <c r="AF622">
        <f t="shared" si="135"/>
        <v>1662.2800000000007</v>
      </c>
      <c r="AG622">
        <f t="shared" si="136"/>
        <v>0.25151534408826681</v>
      </c>
      <c r="AH622" t="str">
        <f t="shared" si="128"/>
        <v>August</v>
      </c>
      <c r="AI622">
        <f t="shared" si="129"/>
        <v>2024</v>
      </c>
      <c r="AJ622" t="str">
        <f t="shared" si="137"/>
        <v>OK</v>
      </c>
      <c r="AK622" t="str">
        <f t="shared" si="138"/>
        <v>OK</v>
      </c>
      <c r="AL622" t="str">
        <f t="shared" si="139"/>
        <v>Include</v>
      </c>
      <c r="AM622" t="str">
        <f t="shared" si="130"/>
        <v>Clean</v>
      </c>
    </row>
    <row r="623" spans="1:39">
      <c r="A623" t="s">
        <v>1953</v>
      </c>
      <c r="B623" s="4">
        <v>45624</v>
      </c>
      <c r="C623" s="4">
        <v>45632</v>
      </c>
      <c r="D623" s="6">
        <v>8</v>
      </c>
      <c r="E623" t="s">
        <v>2788</v>
      </c>
      <c r="F623" t="s">
        <v>2788</v>
      </c>
      <c r="G623" t="s">
        <v>2788</v>
      </c>
      <c r="H623" t="s">
        <v>1954</v>
      </c>
      <c r="I623" t="s">
        <v>89</v>
      </c>
      <c r="J623" t="s">
        <v>24</v>
      </c>
      <c r="K623" t="s">
        <v>63</v>
      </c>
      <c r="L623" t="s">
        <v>64</v>
      </c>
      <c r="M623" t="s">
        <v>65</v>
      </c>
      <c r="N623" t="s">
        <v>41</v>
      </c>
      <c r="O623" t="s">
        <v>66</v>
      </c>
      <c r="P623" t="s">
        <v>1955</v>
      </c>
      <c r="Q623" t="s">
        <v>44</v>
      </c>
      <c r="R623">
        <v>5</v>
      </c>
      <c r="S623">
        <v>1092.8399999999999</v>
      </c>
      <c r="U623">
        <v>5464.2</v>
      </c>
      <c r="V623">
        <v>3318.09</v>
      </c>
      <c r="W623">
        <v>2146.11</v>
      </c>
      <c r="X623" t="s">
        <v>32</v>
      </c>
      <c r="Y623" t="s">
        <v>33</v>
      </c>
      <c r="Z623" t="str">
        <f t="shared" si="126"/>
        <v>Unique</v>
      </c>
      <c r="AA623" t="str">
        <f t="shared" si="127"/>
        <v>Unique</v>
      </c>
      <c r="AB623" t="str">
        <f t="shared" si="131"/>
        <v>OK</v>
      </c>
      <c r="AC623">
        <f t="shared" si="132"/>
        <v>0</v>
      </c>
      <c r="AD623" t="str">
        <f t="shared" si="133"/>
        <v>OK</v>
      </c>
      <c r="AE623">
        <f t="shared" si="134"/>
        <v>5464.2</v>
      </c>
      <c r="AF623">
        <f t="shared" si="135"/>
        <v>2146.1099999999997</v>
      </c>
      <c r="AG623">
        <f t="shared" si="136"/>
        <v>0.39275831777753373</v>
      </c>
      <c r="AH623" t="str">
        <f t="shared" si="128"/>
        <v>November</v>
      </c>
      <c r="AI623">
        <f t="shared" si="129"/>
        <v>2024</v>
      </c>
      <c r="AJ623" t="str">
        <f t="shared" si="137"/>
        <v>OK</v>
      </c>
      <c r="AK623" t="str">
        <f t="shared" si="138"/>
        <v>OK</v>
      </c>
      <c r="AL623" t="str">
        <f t="shared" si="139"/>
        <v>Include</v>
      </c>
      <c r="AM623" t="str">
        <f t="shared" si="130"/>
        <v>Clean</v>
      </c>
    </row>
    <row r="624" spans="1:39">
      <c r="A624" t="s">
        <v>1956</v>
      </c>
      <c r="B624" s="4">
        <v>45686</v>
      </c>
      <c r="C624" s="4">
        <v>45694</v>
      </c>
      <c r="D624" s="6">
        <v>8</v>
      </c>
      <c r="E624" t="s">
        <v>2788</v>
      </c>
      <c r="F624" t="s">
        <v>2788</v>
      </c>
      <c r="G624" t="s">
        <v>2788</v>
      </c>
      <c r="H624" t="s">
        <v>1957</v>
      </c>
      <c r="I624" t="s">
        <v>71</v>
      </c>
      <c r="J624" t="s">
        <v>24</v>
      </c>
      <c r="K624" t="s">
        <v>38</v>
      </c>
      <c r="L624" t="s">
        <v>145</v>
      </c>
      <c r="M624" t="s">
        <v>146</v>
      </c>
      <c r="N624" t="s">
        <v>28</v>
      </c>
      <c r="O624" t="s">
        <v>124</v>
      </c>
      <c r="P624" t="s">
        <v>1958</v>
      </c>
      <c r="Q624" t="s">
        <v>59</v>
      </c>
      <c r="R624">
        <v>4</v>
      </c>
      <c r="S624">
        <v>2759.01</v>
      </c>
      <c r="T624">
        <v>0.05</v>
      </c>
      <c r="U624">
        <v>10484.24</v>
      </c>
      <c r="V624">
        <v>6680.15</v>
      </c>
      <c r="W624">
        <v>3804.09</v>
      </c>
      <c r="X624" t="s">
        <v>32</v>
      </c>
      <c r="Y624" t="s">
        <v>33</v>
      </c>
      <c r="Z624" t="str">
        <f t="shared" si="126"/>
        <v>Unique</v>
      </c>
      <c r="AA624" t="str">
        <f t="shared" si="127"/>
        <v>Unique</v>
      </c>
      <c r="AB624" t="str">
        <f t="shared" si="131"/>
        <v>OK</v>
      </c>
      <c r="AC624">
        <f t="shared" si="132"/>
        <v>0.05</v>
      </c>
      <c r="AD624" t="str">
        <f t="shared" si="133"/>
        <v>OK</v>
      </c>
      <c r="AE624">
        <f t="shared" si="134"/>
        <v>10484.238000000001</v>
      </c>
      <c r="AF624">
        <f t="shared" si="135"/>
        <v>3804.0880000000016</v>
      </c>
      <c r="AG624">
        <f t="shared" si="136"/>
        <v>0.36283876806306775</v>
      </c>
      <c r="AH624" t="str">
        <f t="shared" si="128"/>
        <v>January</v>
      </c>
      <c r="AI624">
        <f t="shared" si="129"/>
        <v>2025</v>
      </c>
      <c r="AJ624" t="str">
        <f t="shared" si="137"/>
        <v>OK</v>
      </c>
      <c r="AK624" t="str">
        <f t="shared" si="138"/>
        <v>OK</v>
      </c>
      <c r="AL624" t="str">
        <f t="shared" si="139"/>
        <v>Include</v>
      </c>
      <c r="AM624" t="str">
        <f t="shared" si="130"/>
        <v>Clean</v>
      </c>
    </row>
    <row r="625" spans="1:39">
      <c r="A625" t="s">
        <v>1959</v>
      </c>
      <c r="B625" s="4">
        <v>45512</v>
      </c>
      <c r="C625" s="4">
        <v>45518</v>
      </c>
      <c r="D625" s="6">
        <v>6</v>
      </c>
      <c r="E625" t="s">
        <v>2788</v>
      </c>
      <c r="F625" t="s">
        <v>2788</v>
      </c>
      <c r="G625" t="s">
        <v>2788</v>
      </c>
      <c r="H625" t="s">
        <v>1960</v>
      </c>
      <c r="I625" t="s">
        <v>71</v>
      </c>
      <c r="J625" t="s">
        <v>95</v>
      </c>
      <c r="K625" t="s">
        <v>25</v>
      </c>
      <c r="L625" t="s">
        <v>122</v>
      </c>
      <c r="M625" t="s">
        <v>123</v>
      </c>
      <c r="N625" t="s">
        <v>28</v>
      </c>
      <c r="O625" t="s">
        <v>124</v>
      </c>
      <c r="P625" t="s">
        <v>1961</v>
      </c>
      <c r="Q625" t="s">
        <v>31</v>
      </c>
      <c r="R625">
        <v>8</v>
      </c>
      <c r="S625">
        <v>1359.19</v>
      </c>
      <c r="T625">
        <v>0.05</v>
      </c>
      <c r="U625">
        <v>10329.84</v>
      </c>
      <c r="V625">
        <v>7512.22</v>
      </c>
      <c r="W625">
        <v>2817.62</v>
      </c>
      <c r="X625" t="s">
        <v>32</v>
      </c>
      <c r="Y625" t="s">
        <v>33</v>
      </c>
      <c r="Z625" t="str">
        <f t="shared" si="126"/>
        <v>Unique</v>
      </c>
      <c r="AA625" t="str">
        <f t="shared" si="127"/>
        <v>Unique</v>
      </c>
      <c r="AB625" t="str">
        <f t="shared" si="131"/>
        <v>OK</v>
      </c>
      <c r="AC625">
        <f t="shared" si="132"/>
        <v>0.05</v>
      </c>
      <c r="AD625" t="str">
        <f t="shared" si="133"/>
        <v>OK</v>
      </c>
      <c r="AE625">
        <f t="shared" si="134"/>
        <v>10329.843999999999</v>
      </c>
      <c r="AF625">
        <f t="shared" si="135"/>
        <v>2817.6239999999989</v>
      </c>
      <c r="AG625">
        <f t="shared" si="136"/>
        <v>0.27276539703794161</v>
      </c>
      <c r="AH625" t="str">
        <f t="shared" si="128"/>
        <v>August</v>
      </c>
      <c r="AI625">
        <f t="shared" si="129"/>
        <v>2024</v>
      </c>
      <c r="AJ625" t="str">
        <f t="shared" si="137"/>
        <v>OK</v>
      </c>
      <c r="AK625" t="str">
        <f t="shared" si="138"/>
        <v>OK</v>
      </c>
      <c r="AL625" t="str">
        <f t="shared" si="139"/>
        <v>Include</v>
      </c>
      <c r="AM625" t="str">
        <f t="shared" si="130"/>
        <v>Clean</v>
      </c>
    </row>
    <row r="626" spans="1:39">
      <c r="A626" t="s">
        <v>1962</v>
      </c>
      <c r="B626" s="4">
        <v>45321</v>
      </c>
      <c r="C626" s="4">
        <v>45323</v>
      </c>
      <c r="D626" s="6">
        <v>2</v>
      </c>
      <c r="E626" t="s">
        <v>2788</v>
      </c>
      <c r="F626" t="s">
        <v>2788</v>
      </c>
      <c r="G626" t="s">
        <v>2788</v>
      </c>
      <c r="H626" t="s">
        <v>1963</v>
      </c>
      <c r="I626" t="s">
        <v>79</v>
      </c>
      <c r="J626" t="s">
        <v>95</v>
      </c>
      <c r="K626" t="s">
        <v>38</v>
      </c>
      <c r="L626" t="s">
        <v>166</v>
      </c>
      <c r="M626" t="s">
        <v>167</v>
      </c>
      <c r="N626" t="s">
        <v>41</v>
      </c>
      <c r="O626" t="s">
        <v>66</v>
      </c>
      <c r="P626" t="s">
        <v>1964</v>
      </c>
      <c r="Q626" t="s">
        <v>50</v>
      </c>
      <c r="R626">
        <v>2</v>
      </c>
      <c r="S626">
        <v>4451.03</v>
      </c>
      <c r="T626">
        <v>0.05</v>
      </c>
      <c r="U626">
        <v>8456.9599999999991</v>
      </c>
      <c r="V626">
        <v>5462.85</v>
      </c>
      <c r="W626">
        <v>2994.11</v>
      </c>
      <c r="X626" t="s">
        <v>32</v>
      </c>
      <c r="Y626" t="s">
        <v>33</v>
      </c>
      <c r="Z626" t="str">
        <f t="shared" si="126"/>
        <v>Unique</v>
      </c>
      <c r="AA626" t="str">
        <f t="shared" si="127"/>
        <v>Unique</v>
      </c>
      <c r="AB626" t="str">
        <f t="shared" si="131"/>
        <v>OK</v>
      </c>
      <c r="AC626">
        <f t="shared" si="132"/>
        <v>0.05</v>
      </c>
      <c r="AD626" t="str">
        <f t="shared" si="133"/>
        <v>OK</v>
      </c>
      <c r="AE626">
        <f t="shared" si="134"/>
        <v>8456.9569999999985</v>
      </c>
      <c r="AF626">
        <f t="shared" si="135"/>
        <v>2994.1069999999982</v>
      </c>
      <c r="AG626">
        <f t="shared" si="136"/>
        <v>0.35404070282017502</v>
      </c>
      <c r="AH626" t="str">
        <f t="shared" si="128"/>
        <v>January</v>
      </c>
      <c r="AI626">
        <f t="shared" si="129"/>
        <v>2024</v>
      </c>
      <c r="AJ626" t="str">
        <f t="shared" si="137"/>
        <v>OK</v>
      </c>
      <c r="AK626" t="str">
        <f t="shared" si="138"/>
        <v>OK</v>
      </c>
      <c r="AL626" t="str">
        <f t="shared" si="139"/>
        <v>Include</v>
      </c>
      <c r="AM626" t="str">
        <f t="shared" si="130"/>
        <v>Clean</v>
      </c>
    </row>
    <row r="627" spans="1:39">
      <c r="A627" t="s">
        <v>1965</v>
      </c>
      <c r="B627" s="4">
        <v>45641</v>
      </c>
      <c r="C627" s="4">
        <v>45647</v>
      </c>
      <c r="D627" s="6">
        <v>6</v>
      </c>
      <c r="E627" t="s">
        <v>2788</v>
      </c>
      <c r="F627" t="s">
        <v>2788</v>
      </c>
      <c r="G627" t="s">
        <v>2788</v>
      </c>
      <c r="H627" t="s">
        <v>1966</v>
      </c>
      <c r="I627" t="s">
        <v>162</v>
      </c>
      <c r="J627" t="s">
        <v>90</v>
      </c>
      <c r="K627" t="s">
        <v>63</v>
      </c>
      <c r="L627" t="s">
        <v>26</v>
      </c>
      <c r="M627" t="s">
        <v>109</v>
      </c>
      <c r="N627" t="s">
        <v>41</v>
      </c>
      <c r="O627" t="s">
        <v>66</v>
      </c>
      <c r="P627" t="s">
        <v>1967</v>
      </c>
      <c r="Q627" t="s">
        <v>44</v>
      </c>
      <c r="R627">
        <v>3</v>
      </c>
      <c r="S627">
        <v>527.66999999999996</v>
      </c>
      <c r="T627">
        <v>0.2</v>
      </c>
      <c r="U627">
        <v>1266.4100000000001</v>
      </c>
      <c r="V627">
        <v>983.92</v>
      </c>
      <c r="W627">
        <v>282.49</v>
      </c>
      <c r="X627" t="s">
        <v>32</v>
      </c>
      <c r="Y627" t="s">
        <v>33</v>
      </c>
      <c r="Z627" t="str">
        <f t="shared" si="126"/>
        <v>Unique</v>
      </c>
      <c r="AA627" t="str">
        <f t="shared" si="127"/>
        <v>Unique</v>
      </c>
      <c r="AB627" t="str">
        <f t="shared" si="131"/>
        <v>OK</v>
      </c>
      <c r="AC627">
        <f t="shared" si="132"/>
        <v>0.2</v>
      </c>
      <c r="AD627" t="str">
        <f t="shared" si="133"/>
        <v>OK</v>
      </c>
      <c r="AE627">
        <f t="shared" si="134"/>
        <v>1266.4079999999999</v>
      </c>
      <c r="AF627">
        <f t="shared" si="135"/>
        <v>282.48799999999994</v>
      </c>
      <c r="AG627">
        <f t="shared" si="136"/>
        <v>0.22306239379410109</v>
      </c>
      <c r="AH627" t="str">
        <f t="shared" si="128"/>
        <v>December</v>
      </c>
      <c r="AI627">
        <f t="shared" si="129"/>
        <v>2024</v>
      </c>
      <c r="AJ627" t="str">
        <f t="shared" si="137"/>
        <v>OK</v>
      </c>
      <c r="AK627" t="str">
        <f t="shared" si="138"/>
        <v>OK</v>
      </c>
      <c r="AL627" t="str">
        <f t="shared" si="139"/>
        <v>Include</v>
      </c>
      <c r="AM627" t="str">
        <f t="shared" si="130"/>
        <v>Clean</v>
      </c>
    </row>
    <row r="628" spans="1:39">
      <c r="A628" t="s">
        <v>1968</v>
      </c>
      <c r="B628" s="4">
        <v>45812</v>
      </c>
      <c r="C628" s="4">
        <v>45815</v>
      </c>
      <c r="D628" s="6">
        <v>3</v>
      </c>
      <c r="E628" t="s">
        <v>2788</v>
      </c>
      <c r="F628" t="s">
        <v>2788</v>
      </c>
      <c r="G628" t="s">
        <v>2788</v>
      </c>
      <c r="H628" t="s">
        <v>1969</v>
      </c>
      <c r="I628" t="s">
        <v>132</v>
      </c>
      <c r="J628" t="s">
        <v>95</v>
      </c>
      <c r="K628" t="s">
        <v>38</v>
      </c>
      <c r="L628" t="s">
        <v>166</v>
      </c>
      <c r="M628" t="s">
        <v>167</v>
      </c>
      <c r="N628" t="s">
        <v>74</v>
      </c>
      <c r="O628" t="s">
        <v>274</v>
      </c>
      <c r="P628" t="s">
        <v>1970</v>
      </c>
      <c r="Q628" t="s">
        <v>59</v>
      </c>
      <c r="R628">
        <v>8</v>
      </c>
      <c r="S628">
        <v>1434.13</v>
      </c>
      <c r="T628">
        <v>0</v>
      </c>
      <c r="U628">
        <v>11473.04</v>
      </c>
      <c r="V628">
        <v>8931.33</v>
      </c>
      <c r="W628">
        <v>2541.71</v>
      </c>
      <c r="X628" t="s">
        <v>111</v>
      </c>
      <c r="Y628" t="s">
        <v>103</v>
      </c>
      <c r="Z628" t="str">
        <f t="shared" si="126"/>
        <v>Unique</v>
      </c>
      <c r="AA628" t="str">
        <f t="shared" si="127"/>
        <v>Unique</v>
      </c>
      <c r="AB628" t="str">
        <f t="shared" si="131"/>
        <v>OK</v>
      </c>
      <c r="AC628">
        <f t="shared" si="132"/>
        <v>0</v>
      </c>
      <c r="AD628" t="str">
        <f t="shared" si="133"/>
        <v>OK</v>
      </c>
      <c r="AE628">
        <f t="shared" si="134"/>
        <v>11473.04</v>
      </c>
      <c r="AF628">
        <f t="shared" si="135"/>
        <v>2541.7100000000009</v>
      </c>
      <c r="AG628">
        <f t="shared" si="136"/>
        <v>0.22153762211236086</v>
      </c>
      <c r="AH628" t="str">
        <f t="shared" si="128"/>
        <v>June</v>
      </c>
      <c r="AI628">
        <f t="shared" si="129"/>
        <v>2025</v>
      </c>
      <c r="AJ628" t="str">
        <f t="shared" si="137"/>
        <v>OK</v>
      </c>
      <c r="AK628" t="str">
        <f t="shared" si="138"/>
        <v>OK</v>
      </c>
      <c r="AL628" t="str">
        <f t="shared" si="139"/>
        <v>Exclude</v>
      </c>
      <c r="AM628" t="str">
        <f t="shared" si="130"/>
        <v>Clean</v>
      </c>
    </row>
    <row r="629" spans="1:39">
      <c r="A629" t="s">
        <v>1971</v>
      </c>
      <c r="B629" s="4">
        <v>45701</v>
      </c>
      <c r="C629" s="4">
        <v>45709</v>
      </c>
      <c r="D629" s="6">
        <v>8</v>
      </c>
      <c r="E629" t="s">
        <v>2788</v>
      </c>
      <c r="F629" t="s">
        <v>2788</v>
      </c>
      <c r="G629" t="s">
        <v>2788</v>
      </c>
      <c r="H629" t="s">
        <v>1972</v>
      </c>
      <c r="I629" t="s">
        <v>23</v>
      </c>
      <c r="J629" t="s">
        <v>37</v>
      </c>
      <c r="K629" t="s">
        <v>54</v>
      </c>
      <c r="L629" t="s">
        <v>185</v>
      </c>
      <c r="M629" t="s">
        <v>186</v>
      </c>
      <c r="N629" t="s">
        <v>74</v>
      </c>
      <c r="O629" t="s">
        <v>171</v>
      </c>
      <c r="P629" t="s">
        <v>1973</v>
      </c>
      <c r="Q629" t="s">
        <v>31</v>
      </c>
      <c r="R629">
        <v>2</v>
      </c>
      <c r="S629">
        <v>2360.02</v>
      </c>
      <c r="T629">
        <v>0.15</v>
      </c>
      <c r="U629">
        <v>4012.03</v>
      </c>
      <c r="V629">
        <v>3142.92</v>
      </c>
      <c r="W629">
        <v>869.11</v>
      </c>
      <c r="X629" t="s">
        <v>111</v>
      </c>
      <c r="Y629" t="s">
        <v>68</v>
      </c>
      <c r="Z629" t="str">
        <f t="shared" si="126"/>
        <v>Unique</v>
      </c>
      <c r="AA629" t="str">
        <f t="shared" si="127"/>
        <v>Unique</v>
      </c>
      <c r="AB629" t="str">
        <f t="shared" si="131"/>
        <v>OK</v>
      </c>
      <c r="AC629">
        <f t="shared" si="132"/>
        <v>0.15</v>
      </c>
      <c r="AD629" t="str">
        <f t="shared" si="133"/>
        <v>OK</v>
      </c>
      <c r="AE629">
        <f t="shared" si="134"/>
        <v>4012.0339999999997</v>
      </c>
      <c r="AF629">
        <f t="shared" si="135"/>
        <v>869.11399999999958</v>
      </c>
      <c r="AG629">
        <f t="shared" si="136"/>
        <v>0.21662677833737193</v>
      </c>
      <c r="AH629" t="str">
        <f t="shared" si="128"/>
        <v>February</v>
      </c>
      <c r="AI629">
        <f t="shared" si="129"/>
        <v>2025</v>
      </c>
      <c r="AJ629" t="str">
        <f t="shared" si="137"/>
        <v>OK</v>
      </c>
      <c r="AK629" t="str">
        <f t="shared" si="138"/>
        <v>OK</v>
      </c>
      <c r="AL629" t="str">
        <f t="shared" si="139"/>
        <v>Exclude</v>
      </c>
      <c r="AM629" t="str">
        <f t="shared" si="130"/>
        <v>Clean</v>
      </c>
    </row>
    <row r="630" spans="1:39">
      <c r="A630" t="s">
        <v>1974</v>
      </c>
      <c r="B630" s="4">
        <v>45935</v>
      </c>
      <c r="C630" s="4">
        <v>45942</v>
      </c>
      <c r="D630" s="6">
        <v>7</v>
      </c>
      <c r="E630" t="s">
        <v>2788</v>
      </c>
      <c r="F630" t="s">
        <v>2788</v>
      </c>
      <c r="G630" t="s">
        <v>2788</v>
      </c>
      <c r="H630" t="s">
        <v>1975</v>
      </c>
      <c r="I630" t="s">
        <v>62</v>
      </c>
      <c r="J630" t="s">
        <v>95</v>
      </c>
      <c r="K630" t="s">
        <v>38</v>
      </c>
      <c r="L630" t="s">
        <v>228</v>
      </c>
      <c r="M630" t="s">
        <v>229</v>
      </c>
      <c r="N630" t="s">
        <v>74</v>
      </c>
      <c r="O630" t="s">
        <v>75</v>
      </c>
      <c r="P630" t="s">
        <v>1976</v>
      </c>
      <c r="Q630" t="s">
        <v>44</v>
      </c>
      <c r="R630">
        <v>7</v>
      </c>
      <c r="S630">
        <v>806.67</v>
      </c>
      <c r="T630">
        <v>0.05</v>
      </c>
      <c r="U630">
        <v>5364.36</v>
      </c>
      <c r="V630">
        <v>4391.29</v>
      </c>
      <c r="W630">
        <v>973.07</v>
      </c>
      <c r="X630" t="s">
        <v>32</v>
      </c>
      <c r="Y630" t="s">
        <v>33</v>
      </c>
      <c r="Z630" t="str">
        <f t="shared" si="126"/>
        <v>Unique</v>
      </c>
      <c r="AA630" t="str">
        <f t="shared" si="127"/>
        <v>Unique</v>
      </c>
      <c r="AB630" t="str">
        <f t="shared" si="131"/>
        <v>OK</v>
      </c>
      <c r="AC630">
        <f t="shared" si="132"/>
        <v>0.05</v>
      </c>
      <c r="AD630" t="str">
        <f t="shared" si="133"/>
        <v>OK</v>
      </c>
      <c r="AE630">
        <f t="shared" si="134"/>
        <v>5364.3554999999997</v>
      </c>
      <c r="AF630">
        <f t="shared" si="135"/>
        <v>973.0654999999997</v>
      </c>
      <c r="AG630">
        <f t="shared" si="136"/>
        <v>0.18139467080434915</v>
      </c>
      <c r="AH630" t="str">
        <f t="shared" si="128"/>
        <v>October</v>
      </c>
      <c r="AI630">
        <f t="shared" si="129"/>
        <v>2025</v>
      </c>
      <c r="AJ630" t="str">
        <f t="shared" si="137"/>
        <v>OK</v>
      </c>
      <c r="AK630" t="str">
        <f t="shared" si="138"/>
        <v>OK</v>
      </c>
      <c r="AL630" t="str">
        <f t="shared" si="139"/>
        <v>Include</v>
      </c>
      <c r="AM630" t="str">
        <f t="shared" si="130"/>
        <v>Clean</v>
      </c>
    </row>
    <row r="631" spans="1:39">
      <c r="A631" t="s">
        <v>1977</v>
      </c>
      <c r="B631" s="4">
        <v>45910</v>
      </c>
      <c r="C631" s="4">
        <v>45914</v>
      </c>
      <c r="D631" s="6">
        <v>4</v>
      </c>
      <c r="E631" t="s">
        <v>2788</v>
      </c>
      <c r="F631" t="s">
        <v>2788</v>
      </c>
      <c r="G631" t="s">
        <v>2788</v>
      </c>
      <c r="H631" t="s">
        <v>1978</v>
      </c>
      <c r="I631" t="s">
        <v>53</v>
      </c>
      <c r="J631" t="s">
        <v>95</v>
      </c>
      <c r="K631" t="s">
        <v>63</v>
      </c>
      <c r="L631" t="s">
        <v>180</v>
      </c>
      <c r="M631" t="s">
        <v>181</v>
      </c>
      <c r="N631" t="s">
        <v>41</v>
      </c>
      <c r="O631" t="s">
        <v>42</v>
      </c>
      <c r="P631" t="s">
        <v>1979</v>
      </c>
      <c r="Q631" t="s">
        <v>44</v>
      </c>
      <c r="R631">
        <v>3</v>
      </c>
      <c r="S631">
        <v>4198.46</v>
      </c>
      <c r="T631">
        <v>0.15</v>
      </c>
      <c r="U631">
        <v>10706.07</v>
      </c>
      <c r="V631">
        <v>5927.1</v>
      </c>
      <c r="W631">
        <v>4778.97</v>
      </c>
      <c r="X631" t="s">
        <v>32</v>
      </c>
      <c r="Y631" t="s">
        <v>33</v>
      </c>
      <c r="Z631" t="str">
        <f t="shared" si="126"/>
        <v>Unique</v>
      </c>
      <c r="AA631" t="str">
        <f t="shared" si="127"/>
        <v>Unique</v>
      </c>
      <c r="AB631" t="str">
        <f t="shared" si="131"/>
        <v>OK</v>
      </c>
      <c r="AC631">
        <f t="shared" si="132"/>
        <v>0.15</v>
      </c>
      <c r="AD631" t="str">
        <f t="shared" si="133"/>
        <v>OK</v>
      </c>
      <c r="AE631">
        <f t="shared" si="134"/>
        <v>10706.073</v>
      </c>
      <c r="AF631">
        <f t="shared" si="135"/>
        <v>4778.973</v>
      </c>
      <c r="AG631">
        <f t="shared" si="136"/>
        <v>0.44637963892082555</v>
      </c>
      <c r="AH631" t="str">
        <f t="shared" si="128"/>
        <v>September</v>
      </c>
      <c r="AI631">
        <f t="shared" si="129"/>
        <v>2025</v>
      </c>
      <c r="AJ631" t="str">
        <f t="shared" si="137"/>
        <v>OK</v>
      </c>
      <c r="AK631" t="str">
        <f t="shared" si="138"/>
        <v>OK</v>
      </c>
      <c r="AL631" t="str">
        <f t="shared" si="139"/>
        <v>Include</v>
      </c>
      <c r="AM631" t="str">
        <f t="shared" si="130"/>
        <v>Clean</v>
      </c>
    </row>
    <row r="632" spans="1:39">
      <c r="A632" t="s">
        <v>1980</v>
      </c>
      <c r="B632" s="4">
        <v>45391</v>
      </c>
      <c r="C632" s="4">
        <v>45392</v>
      </c>
      <c r="D632" s="6">
        <v>1</v>
      </c>
      <c r="E632" t="s">
        <v>2788</v>
      </c>
      <c r="F632" t="s">
        <v>2788</v>
      </c>
      <c r="G632" t="s">
        <v>2788</v>
      </c>
      <c r="H632" t="s">
        <v>1981</v>
      </c>
      <c r="I632" t="s">
        <v>114</v>
      </c>
      <c r="J632" t="s">
        <v>90</v>
      </c>
      <c r="K632" t="s">
        <v>38</v>
      </c>
      <c r="L632" t="s">
        <v>166</v>
      </c>
      <c r="M632" t="s">
        <v>167</v>
      </c>
      <c r="N632" t="s">
        <v>28</v>
      </c>
      <c r="O632" t="s">
        <v>29</v>
      </c>
      <c r="P632" t="s">
        <v>1982</v>
      </c>
      <c r="Q632" t="s">
        <v>59</v>
      </c>
      <c r="R632">
        <v>4</v>
      </c>
      <c r="S632">
        <v>3047.05</v>
      </c>
      <c r="T632">
        <v>0.1</v>
      </c>
      <c r="U632">
        <v>10969.38</v>
      </c>
      <c r="V632">
        <v>9254.4599999999991</v>
      </c>
      <c r="W632">
        <v>1714.92</v>
      </c>
      <c r="X632" t="s">
        <v>32</v>
      </c>
      <c r="Y632" t="s">
        <v>33</v>
      </c>
      <c r="Z632" t="str">
        <f t="shared" si="126"/>
        <v>Unique</v>
      </c>
      <c r="AA632" t="str">
        <f t="shared" si="127"/>
        <v>Unique</v>
      </c>
      <c r="AB632" t="str">
        <f t="shared" si="131"/>
        <v>OK</v>
      </c>
      <c r="AC632">
        <f t="shared" si="132"/>
        <v>0.1</v>
      </c>
      <c r="AD632" t="str">
        <f t="shared" si="133"/>
        <v>OK</v>
      </c>
      <c r="AE632">
        <f t="shared" si="134"/>
        <v>10969.380000000001</v>
      </c>
      <c r="AF632">
        <f t="shared" si="135"/>
        <v>1714.9200000000019</v>
      </c>
      <c r="AG632">
        <f t="shared" si="136"/>
        <v>0.15633700354988173</v>
      </c>
      <c r="AH632" t="str">
        <f t="shared" si="128"/>
        <v>April</v>
      </c>
      <c r="AI632">
        <f t="shared" si="129"/>
        <v>2024</v>
      </c>
      <c r="AJ632" t="str">
        <f t="shared" si="137"/>
        <v>OK</v>
      </c>
      <c r="AK632" t="str">
        <f t="shared" si="138"/>
        <v>OK</v>
      </c>
      <c r="AL632" t="str">
        <f t="shared" si="139"/>
        <v>Include</v>
      </c>
      <c r="AM632" t="str">
        <f t="shared" si="130"/>
        <v>Clean</v>
      </c>
    </row>
    <row r="633" spans="1:39">
      <c r="A633" t="s">
        <v>1983</v>
      </c>
      <c r="B633" s="4">
        <v>45392</v>
      </c>
      <c r="C633" s="4">
        <v>45397</v>
      </c>
      <c r="D633" s="6">
        <v>5</v>
      </c>
      <c r="E633" t="s">
        <v>2788</v>
      </c>
      <c r="F633" t="s">
        <v>2788</v>
      </c>
      <c r="G633" t="s">
        <v>2788</v>
      </c>
      <c r="H633" t="s">
        <v>1984</v>
      </c>
      <c r="I633" t="s">
        <v>128</v>
      </c>
      <c r="J633" t="s">
        <v>95</v>
      </c>
      <c r="K633" t="s">
        <v>63</v>
      </c>
      <c r="L633" t="s">
        <v>26</v>
      </c>
      <c r="M633" t="s">
        <v>109</v>
      </c>
      <c r="N633" t="s">
        <v>41</v>
      </c>
      <c r="O633" t="s">
        <v>66</v>
      </c>
      <c r="P633" t="s">
        <v>1985</v>
      </c>
      <c r="Q633" t="s">
        <v>59</v>
      </c>
      <c r="R633">
        <v>8</v>
      </c>
      <c r="S633">
        <v>4362.4799999999996</v>
      </c>
      <c r="T633">
        <v>0.1</v>
      </c>
      <c r="U633">
        <v>31409.86</v>
      </c>
      <c r="V633">
        <v>22523.54</v>
      </c>
      <c r="W633">
        <v>8886.32</v>
      </c>
      <c r="X633" t="s">
        <v>32</v>
      </c>
      <c r="Y633" t="s">
        <v>33</v>
      </c>
      <c r="Z633" t="str">
        <f t="shared" si="126"/>
        <v>Unique</v>
      </c>
      <c r="AA633" t="str">
        <f t="shared" si="127"/>
        <v>Unique</v>
      </c>
      <c r="AB633" t="str">
        <f t="shared" si="131"/>
        <v>OK</v>
      </c>
      <c r="AC633">
        <f t="shared" si="132"/>
        <v>0.1</v>
      </c>
      <c r="AD633" t="str">
        <f t="shared" si="133"/>
        <v>OK</v>
      </c>
      <c r="AE633">
        <f t="shared" si="134"/>
        <v>31409.855999999996</v>
      </c>
      <c r="AF633">
        <f t="shared" si="135"/>
        <v>8886.3159999999953</v>
      </c>
      <c r="AG633">
        <f t="shared" si="136"/>
        <v>0.2829148914277097</v>
      </c>
      <c r="AH633" t="str">
        <f t="shared" si="128"/>
        <v>April</v>
      </c>
      <c r="AI633">
        <f t="shared" si="129"/>
        <v>2024</v>
      </c>
      <c r="AJ633" t="str">
        <f t="shared" si="137"/>
        <v>OK</v>
      </c>
      <c r="AK633" t="str">
        <f t="shared" si="138"/>
        <v>OK</v>
      </c>
      <c r="AL633" t="str">
        <f t="shared" si="139"/>
        <v>Include</v>
      </c>
      <c r="AM633" t="str">
        <f t="shared" si="130"/>
        <v>Clean</v>
      </c>
    </row>
    <row r="634" spans="1:39">
      <c r="A634" t="s">
        <v>1986</v>
      </c>
      <c r="B634" s="4">
        <v>45762</v>
      </c>
      <c r="C634" s="4">
        <v>45763</v>
      </c>
      <c r="D634" s="6">
        <v>1</v>
      </c>
      <c r="E634" t="s">
        <v>2788</v>
      </c>
      <c r="F634" t="s">
        <v>2788</v>
      </c>
      <c r="G634" t="s">
        <v>2788</v>
      </c>
      <c r="H634" t="s">
        <v>1987</v>
      </c>
      <c r="I634" t="s">
        <v>132</v>
      </c>
      <c r="J634" t="s">
        <v>37</v>
      </c>
      <c r="K634" t="s">
        <v>54</v>
      </c>
      <c r="L634" t="s">
        <v>175</v>
      </c>
      <c r="M634" t="s">
        <v>176</v>
      </c>
      <c r="N634" t="s">
        <v>41</v>
      </c>
      <c r="O634" t="s">
        <v>57</v>
      </c>
      <c r="P634" t="s">
        <v>1988</v>
      </c>
      <c r="Q634" t="s">
        <v>50</v>
      </c>
      <c r="R634">
        <v>5</v>
      </c>
      <c r="S634">
        <v>2850.53</v>
      </c>
      <c r="T634">
        <v>0</v>
      </c>
      <c r="U634">
        <v>14252.65</v>
      </c>
      <c r="V634">
        <v>11558.31</v>
      </c>
      <c r="W634">
        <v>2694.34</v>
      </c>
      <c r="X634" t="s">
        <v>32</v>
      </c>
      <c r="Y634" t="s">
        <v>33</v>
      </c>
      <c r="Z634" t="str">
        <f t="shared" si="126"/>
        <v>Exact Duplicate</v>
      </c>
      <c r="AA634" t="str">
        <f t="shared" si="127"/>
        <v>Duplicate Order ID</v>
      </c>
      <c r="AB634" t="str">
        <f t="shared" si="131"/>
        <v>OK</v>
      </c>
      <c r="AC634">
        <f t="shared" si="132"/>
        <v>0</v>
      </c>
      <c r="AD634" t="str">
        <f t="shared" si="133"/>
        <v>OK</v>
      </c>
      <c r="AE634">
        <f t="shared" si="134"/>
        <v>14252.650000000001</v>
      </c>
      <c r="AF634">
        <f t="shared" si="135"/>
        <v>2694.340000000002</v>
      </c>
      <c r="AG634">
        <f t="shared" si="136"/>
        <v>0.18904133617257154</v>
      </c>
      <c r="AH634" t="str">
        <f t="shared" si="128"/>
        <v>April</v>
      </c>
      <c r="AI634">
        <f t="shared" si="129"/>
        <v>2025</v>
      </c>
      <c r="AJ634" t="str">
        <f t="shared" si="137"/>
        <v>OK</v>
      </c>
      <c r="AK634" t="str">
        <f t="shared" si="138"/>
        <v>OK</v>
      </c>
      <c r="AL634" t="str">
        <f t="shared" si="139"/>
        <v>Include</v>
      </c>
      <c r="AM634" t="str">
        <f t="shared" si="130"/>
        <v>Clean</v>
      </c>
    </row>
    <row r="635" spans="1:39">
      <c r="A635" t="s">
        <v>1989</v>
      </c>
      <c r="B635" s="4">
        <v>45765</v>
      </c>
      <c r="C635" s="4">
        <v>45767</v>
      </c>
      <c r="D635" s="6">
        <v>2</v>
      </c>
      <c r="E635" t="s">
        <v>2788</v>
      </c>
      <c r="F635" t="s">
        <v>2788</v>
      </c>
      <c r="G635" t="s">
        <v>2788</v>
      </c>
      <c r="H635" t="s">
        <v>1990</v>
      </c>
      <c r="I635" t="s">
        <v>128</v>
      </c>
      <c r="J635" t="s">
        <v>37</v>
      </c>
      <c r="K635" t="s">
        <v>54</v>
      </c>
      <c r="L635" t="s">
        <v>247</v>
      </c>
      <c r="M635" t="s">
        <v>248</v>
      </c>
      <c r="N635" t="s">
        <v>74</v>
      </c>
      <c r="O635" t="s">
        <v>75</v>
      </c>
      <c r="P635" t="s">
        <v>1991</v>
      </c>
      <c r="Q635" t="s">
        <v>31</v>
      </c>
      <c r="R635">
        <v>1</v>
      </c>
      <c r="S635">
        <v>1626.08</v>
      </c>
      <c r="T635">
        <v>0.15</v>
      </c>
      <c r="U635">
        <v>1382.17</v>
      </c>
      <c r="V635">
        <v>810.03</v>
      </c>
      <c r="W635">
        <v>572.14</v>
      </c>
      <c r="X635" t="s">
        <v>32</v>
      </c>
      <c r="Y635" t="s">
        <v>33</v>
      </c>
      <c r="Z635" t="str">
        <f t="shared" si="126"/>
        <v>Unique</v>
      </c>
      <c r="AA635" t="str">
        <f t="shared" si="127"/>
        <v>Unique</v>
      </c>
      <c r="AB635" t="str">
        <f t="shared" si="131"/>
        <v>OK</v>
      </c>
      <c r="AC635">
        <f t="shared" si="132"/>
        <v>0.15</v>
      </c>
      <c r="AD635" t="str">
        <f t="shared" si="133"/>
        <v>OK</v>
      </c>
      <c r="AE635">
        <f t="shared" si="134"/>
        <v>1382.1679999999999</v>
      </c>
      <c r="AF635">
        <f t="shared" si="135"/>
        <v>572.13799999999992</v>
      </c>
      <c r="AG635">
        <f t="shared" si="136"/>
        <v>0.4139424440444287</v>
      </c>
      <c r="AH635" t="str">
        <f t="shared" si="128"/>
        <v>April</v>
      </c>
      <c r="AI635">
        <f t="shared" si="129"/>
        <v>2025</v>
      </c>
      <c r="AJ635" t="str">
        <f t="shared" si="137"/>
        <v>OK</v>
      </c>
      <c r="AK635" t="str">
        <f t="shared" si="138"/>
        <v>OK</v>
      </c>
      <c r="AL635" t="str">
        <f t="shared" si="139"/>
        <v>Include</v>
      </c>
      <c r="AM635" t="str">
        <f t="shared" si="130"/>
        <v>Clean</v>
      </c>
    </row>
    <row r="636" spans="1:39">
      <c r="A636" t="s">
        <v>1992</v>
      </c>
      <c r="B636" s="4">
        <v>45668</v>
      </c>
      <c r="C636" s="4">
        <v>45669</v>
      </c>
      <c r="D636" s="6">
        <v>1</v>
      </c>
      <c r="E636" t="s">
        <v>2788</v>
      </c>
      <c r="F636" t="s">
        <v>2788</v>
      </c>
      <c r="G636" t="s">
        <v>2788</v>
      </c>
      <c r="H636" t="s">
        <v>1993</v>
      </c>
      <c r="I636" t="s">
        <v>89</v>
      </c>
      <c r="J636" t="s">
        <v>24</v>
      </c>
      <c r="K636" t="s">
        <v>54</v>
      </c>
      <c r="L636" t="s">
        <v>55</v>
      </c>
      <c r="M636" t="s">
        <v>56</v>
      </c>
      <c r="N636" t="s">
        <v>41</v>
      </c>
      <c r="O636" t="s">
        <v>66</v>
      </c>
      <c r="P636" t="s">
        <v>1994</v>
      </c>
      <c r="Q636" t="s">
        <v>31</v>
      </c>
      <c r="R636">
        <v>4</v>
      </c>
      <c r="S636">
        <v>2427.15</v>
      </c>
      <c r="T636">
        <v>0.05</v>
      </c>
      <c r="U636">
        <v>9223.17</v>
      </c>
      <c r="V636">
        <v>5103.7</v>
      </c>
      <c r="W636">
        <v>4119.47</v>
      </c>
      <c r="X636" t="s">
        <v>32</v>
      </c>
      <c r="Y636" t="s">
        <v>33</v>
      </c>
      <c r="Z636" t="str">
        <f t="shared" si="126"/>
        <v>Unique</v>
      </c>
      <c r="AA636" t="str">
        <f t="shared" si="127"/>
        <v>Unique</v>
      </c>
      <c r="AB636" t="str">
        <f t="shared" si="131"/>
        <v>OK</v>
      </c>
      <c r="AC636">
        <f t="shared" si="132"/>
        <v>0.05</v>
      </c>
      <c r="AD636" t="str">
        <f t="shared" si="133"/>
        <v>OK</v>
      </c>
      <c r="AE636">
        <f t="shared" si="134"/>
        <v>9223.17</v>
      </c>
      <c r="AF636">
        <f t="shared" si="135"/>
        <v>4119.47</v>
      </c>
      <c r="AG636">
        <f t="shared" si="136"/>
        <v>0.44664361602355807</v>
      </c>
      <c r="AH636" t="str">
        <f t="shared" si="128"/>
        <v>January</v>
      </c>
      <c r="AI636">
        <f t="shared" si="129"/>
        <v>2025</v>
      </c>
      <c r="AJ636" t="str">
        <f t="shared" si="137"/>
        <v>OK</v>
      </c>
      <c r="AK636" t="str">
        <f t="shared" si="138"/>
        <v>OK</v>
      </c>
      <c r="AL636" t="str">
        <f t="shared" si="139"/>
        <v>Include</v>
      </c>
      <c r="AM636" t="str">
        <f t="shared" si="130"/>
        <v>Clean</v>
      </c>
    </row>
    <row r="637" spans="1:39">
      <c r="A637" t="s">
        <v>1995</v>
      </c>
      <c r="B637" s="4">
        <v>45432</v>
      </c>
      <c r="C637" s="4">
        <v>45437</v>
      </c>
      <c r="D637" s="6">
        <v>5</v>
      </c>
      <c r="E637" t="s">
        <v>2788</v>
      </c>
      <c r="F637" t="s">
        <v>2788</v>
      </c>
      <c r="G637" t="s">
        <v>2788</v>
      </c>
      <c r="H637" t="s">
        <v>1996</v>
      </c>
      <c r="I637" t="s">
        <v>36</v>
      </c>
      <c r="J637" t="s">
        <v>90</v>
      </c>
      <c r="K637" t="s">
        <v>54</v>
      </c>
      <c r="L637" t="s">
        <v>84</v>
      </c>
      <c r="M637" t="s">
        <v>85</v>
      </c>
      <c r="N637" t="s">
        <v>41</v>
      </c>
      <c r="O637" t="s">
        <v>66</v>
      </c>
      <c r="P637" t="s">
        <v>1997</v>
      </c>
      <c r="Q637" t="s">
        <v>44</v>
      </c>
      <c r="R637">
        <v>7</v>
      </c>
      <c r="S637">
        <v>3122.85</v>
      </c>
      <c r="T637">
        <v>0.25</v>
      </c>
      <c r="U637">
        <v>16394.96</v>
      </c>
      <c r="V637">
        <v>10404.17</v>
      </c>
      <c r="W637">
        <v>5990.79</v>
      </c>
      <c r="X637" t="s">
        <v>32</v>
      </c>
      <c r="Y637" t="s">
        <v>33</v>
      </c>
      <c r="Z637" t="str">
        <f t="shared" si="126"/>
        <v>Unique</v>
      </c>
      <c r="AA637" t="str">
        <f t="shared" si="127"/>
        <v>Unique</v>
      </c>
      <c r="AB637" t="str">
        <f t="shared" si="131"/>
        <v>OK</v>
      </c>
      <c r="AC637">
        <f t="shared" si="132"/>
        <v>0.25</v>
      </c>
      <c r="AD637" t="str">
        <f t="shared" si="133"/>
        <v>OK</v>
      </c>
      <c r="AE637">
        <f t="shared" si="134"/>
        <v>16394.962500000001</v>
      </c>
      <c r="AF637">
        <f t="shared" si="135"/>
        <v>5990.7925000000014</v>
      </c>
      <c r="AG637">
        <f t="shared" si="136"/>
        <v>0.36540446493854445</v>
      </c>
      <c r="AH637" t="str">
        <f t="shared" si="128"/>
        <v>May</v>
      </c>
      <c r="AI637">
        <f t="shared" si="129"/>
        <v>2024</v>
      </c>
      <c r="AJ637" t="str">
        <f t="shared" si="137"/>
        <v>OK</v>
      </c>
      <c r="AK637" t="str">
        <f t="shared" si="138"/>
        <v>OK</v>
      </c>
      <c r="AL637" t="str">
        <f t="shared" si="139"/>
        <v>Include</v>
      </c>
      <c r="AM637" t="str">
        <f t="shared" si="130"/>
        <v>Clean</v>
      </c>
    </row>
    <row r="638" spans="1:39">
      <c r="A638" t="s">
        <v>1998</v>
      </c>
      <c r="B638" s="4">
        <v>45567</v>
      </c>
      <c r="C638" s="4">
        <v>45574</v>
      </c>
      <c r="D638" s="6">
        <v>7</v>
      </c>
      <c r="E638" t="s">
        <v>2788</v>
      </c>
      <c r="F638" t="s">
        <v>2788</v>
      </c>
      <c r="G638" t="s">
        <v>2788</v>
      </c>
      <c r="H638" t="s">
        <v>1999</v>
      </c>
      <c r="I638" t="s">
        <v>62</v>
      </c>
      <c r="J638" t="s">
        <v>24</v>
      </c>
      <c r="K638" t="s">
        <v>54</v>
      </c>
      <c r="L638" t="s">
        <v>247</v>
      </c>
      <c r="M638" t="s">
        <v>248</v>
      </c>
      <c r="N638" t="s">
        <v>28</v>
      </c>
      <c r="O638" t="s">
        <v>29</v>
      </c>
      <c r="P638" t="s">
        <v>2000</v>
      </c>
      <c r="Q638" t="s">
        <v>59</v>
      </c>
      <c r="R638">
        <v>8</v>
      </c>
      <c r="S638">
        <v>1910.31</v>
      </c>
      <c r="T638">
        <v>0.15</v>
      </c>
      <c r="U638">
        <v>12990.11</v>
      </c>
      <c r="V638">
        <v>10200.799999999999</v>
      </c>
      <c r="W638">
        <v>2789.31</v>
      </c>
      <c r="X638" t="s">
        <v>32</v>
      </c>
      <c r="Y638" t="s">
        <v>33</v>
      </c>
      <c r="Z638" t="str">
        <f t="shared" si="126"/>
        <v>Unique</v>
      </c>
      <c r="AA638" t="str">
        <f t="shared" si="127"/>
        <v>Unique</v>
      </c>
      <c r="AB638" t="str">
        <f t="shared" si="131"/>
        <v>OK</v>
      </c>
      <c r="AC638">
        <f t="shared" si="132"/>
        <v>0.15</v>
      </c>
      <c r="AD638" t="str">
        <f t="shared" si="133"/>
        <v>OK</v>
      </c>
      <c r="AE638">
        <f t="shared" si="134"/>
        <v>12990.108</v>
      </c>
      <c r="AF638">
        <f t="shared" si="135"/>
        <v>2789.3080000000009</v>
      </c>
      <c r="AG638">
        <f t="shared" si="136"/>
        <v>0.2147255434673831</v>
      </c>
      <c r="AH638" t="str">
        <f t="shared" si="128"/>
        <v>October</v>
      </c>
      <c r="AI638">
        <f t="shared" si="129"/>
        <v>2024</v>
      </c>
      <c r="AJ638" t="str">
        <f t="shared" si="137"/>
        <v>OK</v>
      </c>
      <c r="AK638" t="str">
        <f t="shared" si="138"/>
        <v>OK</v>
      </c>
      <c r="AL638" t="str">
        <f t="shared" si="139"/>
        <v>Include</v>
      </c>
      <c r="AM638" t="str">
        <f t="shared" si="130"/>
        <v>Clean</v>
      </c>
    </row>
    <row r="639" spans="1:39">
      <c r="A639" t="s">
        <v>2001</v>
      </c>
      <c r="B639" s="4">
        <v>45438</v>
      </c>
      <c r="C639" s="4">
        <v>45438</v>
      </c>
      <c r="D639" s="6">
        <v>0</v>
      </c>
      <c r="E639" t="s">
        <v>2788</v>
      </c>
      <c r="F639" t="s">
        <v>2788</v>
      </c>
      <c r="G639" t="s">
        <v>2788</v>
      </c>
      <c r="H639" t="s">
        <v>2002</v>
      </c>
      <c r="I639" t="s">
        <v>118</v>
      </c>
      <c r="J639" t="s">
        <v>37</v>
      </c>
      <c r="K639" t="s">
        <v>63</v>
      </c>
      <c r="L639" t="s">
        <v>190</v>
      </c>
      <c r="M639" t="s">
        <v>191</v>
      </c>
      <c r="N639" t="s">
        <v>74</v>
      </c>
      <c r="O639" t="s">
        <v>80</v>
      </c>
      <c r="P639" t="s">
        <v>2003</v>
      </c>
      <c r="Q639" t="s">
        <v>50</v>
      </c>
      <c r="R639">
        <v>2</v>
      </c>
      <c r="S639">
        <v>3192.47</v>
      </c>
      <c r="T639">
        <v>0.2</v>
      </c>
      <c r="U639">
        <v>5107.95</v>
      </c>
      <c r="V639">
        <v>3133.08</v>
      </c>
      <c r="W639">
        <v>1974.87</v>
      </c>
      <c r="X639" t="s">
        <v>32</v>
      </c>
      <c r="Y639" t="s">
        <v>33</v>
      </c>
      <c r="Z639" t="str">
        <f t="shared" si="126"/>
        <v>Unique</v>
      </c>
      <c r="AA639" t="str">
        <f t="shared" si="127"/>
        <v>Unique</v>
      </c>
      <c r="AB639" t="str">
        <f t="shared" si="131"/>
        <v>OK</v>
      </c>
      <c r="AC639">
        <f t="shared" si="132"/>
        <v>0.2</v>
      </c>
      <c r="AD639" t="str">
        <f t="shared" si="133"/>
        <v>OK</v>
      </c>
      <c r="AE639">
        <f t="shared" si="134"/>
        <v>5107.9520000000002</v>
      </c>
      <c r="AF639">
        <f t="shared" si="135"/>
        <v>1974.8720000000003</v>
      </c>
      <c r="AG639">
        <f t="shared" si="136"/>
        <v>0.38662696908663202</v>
      </c>
      <c r="AH639" t="str">
        <f t="shared" si="128"/>
        <v>May</v>
      </c>
      <c r="AI639">
        <f t="shared" si="129"/>
        <v>2024</v>
      </c>
      <c r="AJ639" t="str">
        <f t="shared" si="137"/>
        <v>OK</v>
      </c>
      <c r="AK639" t="str">
        <f t="shared" si="138"/>
        <v>OK</v>
      </c>
      <c r="AL639" t="str">
        <f t="shared" si="139"/>
        <v>Include</v>
      </c>
      <c r="AM639" t="str">
        <f t="shared" si="130"/>
        <v>Clean</v>
      </c>
    </row>
    <row r="640" spans="1:39">
      <c r="A640" t="s">
        <v>2004</v>
      </c>
      <c r="B640" s="4">
        <v>45317</v>
      </c>
      <c r="C640" s="4">
        <v>45322</v>
      </c>
      <c r="D640" s="6">
        <v>5</v>
      </c>
      <c r="E640" t="s">
        <v>2788</v>
      </c>
      <c r="F640" t="s">
        <v>2788</v>
      </c>
      <c r="G640" t="s">
        <v>2788</v>
      </c>
      <c r="H640" t="s">
        <v>2005</v>
      </c>
      <c r="I640" t="s">
        <v>23</v>
      </c>
      <c r="J640" t="s">
        <v>90</v>
      </c>
      <c r="K640" t="s">
        <v>54</v>
      </c>
      <c r="L640" t="s">
        <v>185</v>
      </c>
      <c r="M640" t="s">
        <v>186</v>
      </c>
      <c r="N640" t="s">
        <v>28</v>
      </c>
      <c r="O640" t="s">
        <v>124</v>
      </c>
      <c r="P640" t="s">
        <v>2006</v>
      </c>
      <c r="Q640" t="s">
        <v>31</v>
      </c>
      <c r="R640">
        <v>3</v>
      </c>
      <c r="S640">
        <v>3224.32</v>
      </c>
      <c r="T640">
        <v>0.2</v>
      </c>
      <c r="U640">
        <v>7738.37</v>
      </c>
      <c r="V640">
        <v>4626.8500000000004</v>
      </c>
      <c r="W640">
        <v>3111.52</v>
      </c>
      <c r="X640" t="s">
        <v>155</v>
      </c>
      <c r="Y640" t="s">
        <v>103</v>
      </c>
      <c r="Z640" t="str">
        <f t="shared" si="126"/>
        <v>Unique</v>
      </c>
      <c r="AA640" t="str">
        <f t="shared" si="127"/>
        <v>Unique</v>
      </c>
      <c r="AB640" t="str">
        <f t="shared" si="131"/>
        <v>OK</v>
      </c>
      <c r="AC640">
        <f t="shared" si="132"/>
        <v>0.2</v>
      </c>
      <c r="AD640" t="str">
        <f t="shared" si="133"/>
        <v>OK</v>
      </c>
      <c r="AE640">
        <f t="shared" si="134"/>
        <v>7738.3680000000013</v>
      </c>
      <c r="AF640">
        <f t="shared" si="135"/>
        <v>3111.5180000000009</v>
      </c>
      <c r="AG640">
        <f t="shared" si="136"/>
        <v>0.40208969126306743</v>
      </c>
      <c r="AH640" t="str">
        <f t="shared" si="128"/>
        <v>January</v>
      </c>
      <c r="AI640">
        <f t="shared" si="129"/>
        <v>2024</v>
      </c>
      <c r="AJ640" t="str">
        <f t="shared" si="137"/>
        <v>OK</v>
      </c>
      <c r="AK640" t="str">
        <f t="shared" si="138"/>
        <v>OK</v>
      </c>
      <c r="AL640" t="str">
        <f t="shared" si="139"/>
        <v>Exclude</v>
      </c>
      <c r="AM640" t="str">
        <f t="shared" si="130"/>
        <v>Clean</v>
      </c>
    </row>
    <row r="641" spans="1:39">
      <c r="A641" t="s">
        <v>2007</v>
      </c>
      <c r="B641" s="4">
        <v>45653</v>
      </c>
      <c r="C641" s="4">
        <v>45657</v>
      </c>
      <c r="D641" s="6">
        <v>4</v>
      </c>
      <c r="E641" t="s">
        <v>2788</v>
      </c>
      <c r="F641" t="s">
        <v>2788</v>
      </c>
      <c r="G641" t="s">
        <v>2788</v>
      </c>
      <c r="H641" t="s">
        <v>2008</v>
      </c>
      <c r="I641" t="s">
        <v>47</v>
      </c>
      <c r="J641" t="s">
        <v>37</v>
      </c>
      <c r="K641" t="s">
        <v>38</v>
      </c>
      <c r="L641" t="s">
        <v>39</v>
      </c>
      <c r="M641" t="s">
        <v>40</v>
      </c>
      <c r="N641" t="s">
        <v>41</v>
      </c>
      <c r="O641" t="s">
        <v>66</v>
      </c>
      <c r="P641" t="s">
        <v>2009</v>
      </c>
      <c r="Q641" t="s">
        <v>31</v>
      </c>
      <c r="R641">
        <v>1</v>
      </c>
      <c r="S641">
        <v>1594.7</v>
      </c>
      <c r="T641">
        <v>0.05</v>
      </c>
      <c r="U641">
        <v>1514.96</v>
      </c>
      <c r="V641">
        <v>1046.17</v>
      </c>
      <c r="W641">
        <v>468.79</v>
      </c>
      <c r="X641" t="s">
        <v>32</v>
      </c>
      <c r="Y641" t="s">
        <v>33</v>
      </c>
      <c r="Z641" t="str">
        <f t="shared" si="126"/>
        <v>Unique</v>
      </c>
      <c r="AA641" t="str">
        <f t="shared" si="127"/>
        <v>Unique</v>
      </c>
      <c r="AB641" t="str">
        <f t="shared" si="131"/>
        <v>OK</v>
      </c>
      <c r="AC641">
        <f t="shared" si="132"/>
        <v>0.05</v>
      </c>
      <c r="AD641" t="str">
        <f t="shared" si="133"/>
        <v>OK</v>
      </c>
      <c r="AE641">
        <f t="shared" si="134"/>
        <v>1514.9649999999999</v>
      </c>
      <c r="AF641">
        <f t="shared" si="135"/>
        <v>468.79499999999985</v>
      </c>
      <c r="AG641">
        <f t="shared" si="136"/>
        <v>0.3094427924077453</v>
      </c>
      <c r="AH641" t="str">
        <f t="shared" si="128"/>
        <v>December</v>
      </c>
      <c r="AI641">
        <f t="shared" si="129"/>
        <v>2024</v>
      </c>
      <c r="AJ641" t="str">
        <f t="shared" si="137"/>
        <v>OK</v>
      </c>
      <c r="AK641" t="str">
        <f t="shared" si="138"/>
        <v>OK</v>
      </c>
      <c r="AL641" t="str">
        <f t="shared" si="139"/>
        <v>Include</v>
      </c>
      <c r="AM641" t="str">
        <f t="shared" si="130"/>
        <v>Clean</v>
      </c>
    </row>
    <row r="642" spans="1:39">
      <c r="A642" t="s">
        <v>2010</v>
      </c>
      <c r="B642" s="4">
        <v>45671</v>
      </c>
      <c r="C642" s="4">
        <v>45674</v>
      </c>
      <c r="D642" s="6">
        <v>3</v>
      </c>
      <c r="E642" t="s">
        <v>2788</v>
      </c>
      <c r="F642" t="s">
        <v>2788</v>
      </c>
      <c r="G642" t="s">
        <v>2788</v>
      </c>
      <c r="H642" t="s">
        <v>2011</v>
      </c>
      <c r="I642" t="s">
        <v>71</v>
      </c>
      <c r="J642" t="s">
        <v>24</v>
      </c>
      <c r="K642" t="s">
        <v>63</v>
      </c>
      <c r="L642" t="s">
        <v>190</v>
      </c>
      <c r="M642" t="s">
        <v>191</v>
      </c>
      <c r="N642" t="s">
        <v>28</v>
      </c>
      <c r="O642" t="s">
        <v>124</v>
      </c>
      <c r="P642" t="s">
        <v>2012</v>
      </c>
      <c r="Q642" t="s">
        <v>50</v>
      </c>
      <c r="R642">
        <v>1</v>
      </c>
      <c r="S642">
        <v>1584.12</v>
      </c>
      <c r="T642">
        <v>0.2</v>
      </c>
      <c r="U642">
        <v>1267.3</v>
      </c>
      <c r="V642">
        <v>923.53</v>
      </c>
      <c r="W642">
        <v>343.77</v>
      </c>
      <c r="X642" t="s">
        <v>32</v>
      </c>
      <c r="Y642" t="s">
        <v>33</v>
      </c>
      <c r="Z642" t="str">
        <f t="shared" ref="Z642:Z705" si="140">IF(COUNTIFS($A:$A,A642,$B:$B,B642,$C:$C,C642,$H:$H,H642,$U:$U,U642,$W:$W,W642)&gt;1,"Exact Duplicate","Unique")</f>
        <v>Unique</v>
      </c>
      <c r="AA642" t="str">
        <f t="shared" ref="AA642:AA705" si="141">IF(COUNTIF($A:$A,A642)&gt;1,"Duplicate Order ID","Unique")</f>
        <v>Unique</v>
      </c>
      <c r="AB642" t="str">
        <f t="shared" si="131"/>
        <v>OK</v>
      </c>
      <c r="AC642">
        <f t="shared" si="132"/>
        <v>0.2</v>
      </c>
      <c r="AD642" t="str">
        <f t="shared" si="133"/>
        <v>OK</v>
      </c>
      <c r="AE642">
        <f t="shared" si="134"/>
        <v>1267.296</v>
      </c>
      <c r="AF642">
        <f t="shared" si="135"/>
        <v>343.76600000000008</v>
      </c>
      <c r="AG642">
        <f t="shared" si="136"/>
        <v>0.27125943741635739</v>
      </c>
      <c r="AH642" t="str">
        <f t="shared" ref="AH642:AH705" si="142">IFERROR(TEXT(B642,"mmmm"),"")</f>
        <v>January</v>
      </c>
      <c r="AI642">
        <f t="shared" ref="AI642:AI705" si="143">IFERROR(YEAR(B642),"")</f>
        <v>2025</v>
      </c>
      <c r="AJ642" t="str">
        <f t="shared" si="137"/>
        <v>OK</v>
      </c>
      <c r="AK642" t="str">
        <f t="shared" si="138"/>
        <v>OK</v>
      </c>
      <c r="AL642" t="str">
        <f t="shared" si="139"/>
        <v>Include</v>
      </c>
      <c r="AM642" t="str">
        <f t="shared" ref="AM642:AM705" si="144">IF(OR(E642&lt;&gt;"OK",F642&lt;&gt;"OK",AD642&lt;&gt;"OK",AB642="Conflicting Duplicate"),"Invalid",IF(OR(G642&lt;&gt;"OK",AJ642&lt;&gt;"OK",AK642&lt;&gt;"OK"),"Warning","Clean"))</f>
        <v>Clean</v>
      </c>
    </row>
    <row r="643" spans="1:39">
      <c r="A643" t="s">
        <v>2013</v>
      </c>
      <c r="B643" s="4">
        <v>45756</v>
      </c>
      <c r="C643" s="4">
        <v>45761</v>
      </c>
      <c r="D643" s="6">
        <v>5</v>
      </c>
      <c r="E643" t="s">
        <v>2788</v>
      </c>
      <c r="F643" t="s">
        <v>2788</v>
      </c>
      <c r="G643" t="s">
        <v>2788</v>
      </c>
      <c r="H643" t="s">
        <v>2014</v>
      </c>
      <c r="I643" t="s">
        <v>23</v>
      </c>
      <c r="J643" t="s">
        <v>24</v>
      </c>
      <c r="K643" t="s">
        <v>25</v>
      </c>
      <c r="L643" t="s">
        <v>350</v>
      </c>
      <c r="M643" t="s">
        <v>351</v>
      </c>
      <c r="N643" t="s">
        <v>41</v>
      </c>
      <c r="O643" t="s">
        <v>57</v>
      </c>
      <c r="P643" t="s">
        <v>2015</v>
      </c>
      <c r="Q643" t="s">
        <v>44</v>
      </c>
      <c r="R643">
        <v>2</v>
      </c>
      <c r="S643">
        <v>3202.87</v>
      </c>
      <c r="T643">
        <v>0</v>
      </c>
      <c r="U643">
        <v>6405.74</v>
      </c>
      <c r="V643">
        <v>3561.87</v>
      </c>
      <c r="W643">
        <v>2843.87</v>
      </c>
      <c r="X643" t="s">
        <v>32</v>
      </c>
      <c r="Y643" t="s">
        <v>33</v>
      </c>
      <c r="Z643" t="str">
        <f t="shared" si="140"/>
        <v>Unique</v>
      </c>
      <c r="AA643" t="str">
        <f t="shared" si="141"/>
        <v>Unique</v>
      </c>
      <c r="AB643" t="str">
        <f t="shared" ref="AB643:AB706" si="145">IF(AND(AA643="Duplicate Order ID",Z643&lt;&gt;"Exact Duplicate"),"Conflicting Duplicate","OK")</f>
        <v>OK</v>
      </c>
      <c r="AC643">
        <f t="shared" ref="AC643:AC706" si="146">IF(OR(T643="",ISBLANK(T643)),0,T643)</f>
        <v>0</v>
      </c>
      <c r="AD643" t="str">
        <f t="shared" ref="AD643:AD706" si="147">IF(AC643&lt;0,"Invalid Negative Discount",IF(AC643&gt;1,"Invalid High Discount","OK"))</f>
        <v>OK</v>
      </c>
      <c r="AE643">
        <f t="shared" ref="AE643:AE706" si="148">R643*S643*(1-AC643)</f>
        <v>6405.74</v>
      </c>
      <c r="AF643">
        <f t="shared" ref="AF643:AF706" si="149">AE643-V643</f>
        <v>2843.87</v>
      </c>
      <c r="AG643">
        <f t="shared" ref="AG643:AG706" si="150">IF(AE643=0,0,AF643/AE643)</f>
        <v>0.44395651400150488</v>
      </c>
      <c r="AH643" t="str">
        <f t="shared" si="142"/>
        <v>April</v>
      </c>
      <c r="AI643">
        <f t="shared" si="143"/>
        <v>2025</v>
      </c>
      <c r="AJ643" t="str">
        <f t="shared" ref="AJ643:AJ706" si="151">IF(ABS(U643-AE643)&gt;1,"Sales Mismatch","OK")</f>
        <v>OK</v>
      </c>
      <c r="AK643" t="str">
        <f t="shared" ref="AK643:AK706" si="152">IF(ABS(W643-AF643)&gt;1,"Profit Mismatch","OK")</f>
        <v>OK</v>
      </c>
      <c r="AL643" t="str">
        <f t="shared" ref="AL643:AL706" si="153">IF(AND(X643="Paid",Y643="Completed"),"Include","Exclude")</f>
        <v>Include</v>
      </c>
      <c r="AM643" t="str">
        <f t="shared" si="144"/>
        <v>Clean</v>
      </c>
    </row>
    <row r="644" spans="1:39">
      <c r="A644" t="s">
        <v>2016</v>
      </c>
      <c r="B644" s="4">
        <v>45533</v>
      </c>
      <c r="C644" s="4">
        <v>45535</v>
      </c>
      <c r="D644" s="6">
        <v>2</v>
      </c>
      <c r="E644" t="s">
        <v>2788</v>
      </c>
      <c r="F644" t="s">
        <v>2788</v>
      </c>
      <c r="G644" t="s">
        <v>2788</v>
      </c>
      <c r="H644" t="s">
        <v>2017</v>
      </c>
      <c r="I644" t="s">
        <v>47</v>
      </c>
      <c r="J644" t="s">
        <v>95</v>
      </c>
      <c r="K644" t="s">
        <v>38</v>
      </c>
      <c r="L644" t="s">
        <v>166</v>
      </c>
      <c r="M644" t="s">
        <v>167</v>
      </c>
      <c r="N644" t="s">
        <v>28</v>
      </c>
      <c r="O644" t="s">
        <v>153</v>
      </c>
      <c r="P644" t="s">
        <v>2018</v>
      </c>
      <c r="Q644" t="s">
        <v>31</v>
      </c>
      <c r="R644">
        <v>9</v>
      </c>
      <c r="S644">
        <v>1275.21</v>
      </c>
      <c r="T644">
        <v>0.25</v>
      </c>
      <c r="U644">
        <v>8607.67</v>
      </c>
      <c r="V644">
        <v>5337.64</v>
      </c>
      <c r="W644">
        <v>3270.03</v>
      </c>
      <c r="X644" t="s">
        <v>155</v>
      </c>
      <c r="Y644" t="s">
        <v>103</v>
      </c>
      <c r="Z644" t="str">
        <f t="shared" si="140"/>
        <v>Unique</v>
      </c>
      <c r="AA644" t="str">
        <f t="shared" si="141"/>
        <v>Unique</v>
      </c>
      <c r="AB644" t="str">
        <f t="shared" si="145"/>
        <v>OK</v>
      </c>
      <c r="AC644">
        <f t="shared" si="146"/>
        <v>0.25</v>
      </c>
      <c r="AD644" t="str">
        <f t="shared" si="147"/>
        <v>OK</v>
      </c>
      <c r="AE644">
        <f t="shared" si="148"/>
        <v>8607.6674999999996</v>
      </c>
      <c r="AF644">
        <f t="shared" si="149"/>
        <v>3270.0274999999992</v>
      </c>
      <c r="AG644">
        <f t="shared" si="150"/>
        <v>0.37989705108846261</v>
      </c>
      <c r="AH644" t="str">
        <f t="shared" si="142"/>
        <v>August</v>
      </c>
      <c r="AI644">
        <f t="shared" si="143"/>
        <v>2024</v>
      </c>
      <c r="AJ644" t="str">
        <f t="shared" si="151"/>
        <v>OK</v>
      </c>
      <c r="AK644" t="str">
        <f t="shared" si="152"/>
        <v>OK</v>
      </c>
      <c r="AL644" t="str">
        <f t="shared" si="153"/>
        <v>Exclude</v>
      </c>
      <c r="AM644" t="str">
        <f t="shared" si="144"/>
        <v>Clean</v>
      </c>
    </row>
    <row r="645" spans="1:39">
      <c r="A645" t="s">
        <v>2019</v>
      </c>
      <c r="B645" s="4">
        <v>45327</v>
      </c>
      <c r="C645" s="4">
        <v>45335</v>
      </c>
      <c r="D645" s="6">
        <v>8</v>
      </c>
      <c r="E645" t="s">
        <v>2788</v>
      </c>
      <c r="F645" t="s">
        <v>2788</v>
      </c>
      <c r="G645" t="s">
        <v>2788</v>
      </c>
      <c r="H645" t="s">
        <v>720</v>
      </c>
      <c r="I645" t="s">
        <v>128</v>
      </c>
      <c r="J645" t="s">
        <v>95</v>
      </c>
      <c r="K645" t="s">
        <v>25</v>
      </c>
      <c r="L645" t="s">
        <v>136</v>
      </c>
      <c r="M645" t="s">
        <v>137</v>
      </c>
      <c r="N645" t="s">
        <v>28</v>
      </c>
      <c r="O645" t="s">
        <v>91</v>
      </c>
      <c r="P645" t="s">
        <v>2020</v>
      </c>
      <c r="Q645" t="s">
        <v>59</v>
      </c>
      <c r="R645">
        <v>8</v>
      </c>
      <c r="S645">
        <v>3871.18</v>
      </c>
      <c r="T645">
        <v>0.15</v>
      </c>
      <c r="U645">
        <v>26324.02</v>
      </c>
      <c r="V645">
        <v>16277.96</v>
      </c>
      <c r="W645">
        <v>10046.06</v>
      </c>
      <c r="X645" t="s">
        <v>155</v>
      </c>
      <c r="Y645" t="s">
        <v>103</v>
      </c>
      <c r="Z645" t="str">
        <f t="shared" si="140"/>
        <v>Unique</v>
      </c>
      <c r="AA645" t="str">
        <f t="shared" si="141"/>
        <v>Unique</v>
      </c>
      <c r="AB645" t="str">
        <f t="shared" si="145"/>
        <v>OK</v>
      </c>
      <c r="AC645">
        <f t="shared" si="146"/>
        <v>0.15</v>
      </c>
      <c r="AD645" t="str">
        <f t="shared" si="147"/>
        <v>OK</v>
      </c>
      <c r="AE645">
        <f t="shared" si="148"/>
        <v>26324.023999999998</v>
      </c>
      <c r="AF645">
        <f t="shared" si="149"/>
        <v>10046.063999999998</v>
      </c>
      <c r="AG645">
        <f t="shared" si="150"/>
        <v>0.3816310150758106</v>
      </c>
      <c r="AH645" t="str">
        <f t="shared" si="142"/>
        <v>February</v>
      </c>
      <c r="AI645">
        <f t="shared" si="143"/>
        <v>2024</v>
      </c>
      <c r="AJ645" t="str">
        <f t="shared" si="151"/>
        <v>OK</v>
      </c>
      <c r="AK645" t="str">
        <f t="shared" si="152"/>
        <v>OK</v>
      </c>
      <c r="AL645" t="str">
        <f t="shared" si="153"/>
        <v>Exclude</v>
      </c>
      <c r="AM645" t="str">
        <f t="shared" si="144"/>
        <v>Clean</v>
      </c>
    </row>
    <row r="646" spans="1:39">
      <c r="A646" t="s">
        <v>2021</v>
      </c>
      <c r="B646" s="4">
        <v>45757</v>
      </c>
      <c r="C646" s="4">
        <v>45764</v>
      </c>
      <c r="D646" s="6">
        <v>7</v>
      </c>
      <c r="E646" t="s">
        <v>2788</v>
      </c>
      <c r="F646" t="s">
        <v>2788</v>
      </c>
      <c r="G646" t="s">
        <v>2788</v>
      </c>
      <c r="H646" t="s">
        <v>2022</v>
      </c>
      <c r="I646" t="s">
        <v>71</v>
      </c>
      <c r="J646" t="s">
        <v>24</v>
      </c>
      <c r="K646" t="s">
        <v>38</v>
      </c>
      <c r="L646" t="s">
        <v>99</v>
      </c>
      <c r="M646" t="s">
        <v>100</v>
      </c>
      <c r="N646" t="s">
        <v>41</v>
      </c>
      <c r="O646" t="s">
        <v>66</v>
      </c>
      <c r="P646" t="s">
        <v>2023</v>
      </c>
      <c r="Q646" t="s">
        <v>59</v>
      </c>
      <c r="R646">
        <v>4</v>
      </c>
      <c r="S646">
        <v>3750.02</v>
      </c>
      <c r="T646">
        <v>0.05</v>
      </c>
      <c r="U646">
        <v>14250.08</v>
      </c>
      <c r="V646">
        <v>10914.92</v>
      </c>
      <c r="W646">
        <v>3335.16</v>
      </c>
      <c r="X646" t="s">
        <v>32</v>
      </c>
      <c r="Y646" t="s">
        <v>33</v>
      </c>
      <c r="Z646" t="str">
        <f t="shared" si="140"/>
        <v>Unique</v>
      </c>
      <c r="AA646" t="str">
        <f t="shared" si="141"/>
        <v>Unique</v>
      </c>
      <c r="AB646" t="str">
        <f t="shared" si="145"/>
        <v>OK</v>
      </c>
      <c r="AC646">
        <f t="shared" si="146"/>
        <v>0.05</v>
      </c>
      <c r="AD646" t="str">
        <f t="shared" si="147"/>
        <v>OK</v>
      </c>
      <c r="AE646">
        <f t="shared" si="148"/>
        <v>14250.075999999999</v>
      </c>
      <c r="AF646">
        <f t="shared" si="149"/>
        <v>3335.155999999999</v>
      </c>
      <c r="AG646">
        <f t="shared" si="150"/>
        <v>0.23404478684885605</v>
      </c>
      <c r="AH646" t="str">
        <f t="shared" si="142"/>
        <v>April</v>
      </c>
      <c r="AI646">
        <f t="shared" si="143"/>
        <v>2025</v>
      </c>
      <c r="AJ646" t="str">
        <f t="shared" si="151"/>
        <v>OK</v>
      </c>
      <c r="AK646" t="str">
        <f t="shared" si="152"/>
        <v>OK</v>
      </c>
      <c r="AL646" t="str">
        <f t="shared" si="153"/>
        <v>Include</v>
      </c>
      <c r="AM646" t="str">
        <f t="shared" si="144"/>
        <v>Clean</v>
      </c>
    </row>
    <row r="647" spans="1:39">
      <c r="A647" t="s">
        <v>2024</v>
      </c>
      <c r="B647" s="4">
        <v>45295</v>
      </c>
      <c r="C647" s="4">
        <v>45300</v>
      </c>
      <c r="D647" s="6">
        <v>5</v>
      </c>
      <c r="E647" t="s">
        <v>2788</v>
      </c>
      <c r="F647" t="s">
        <v>2788</v>
      </c>
      <c r="G647" t="s">
        <v>2788</v>
      </c>
      <c r="H647" t="s">
        <v>2025</v>
      </c>
      <c r="I647" t="s">
        <v>264</v>
      </c>
      <c r="J647" t="s">
        <v>24</v>
      </c>
      <c r="K647" t="s">
        <v>38</v>
      </c>
      <c r="L647" t="s">
        <v>145</v>
      </c>
      <c r="M647" t="s">
        <v>146</v>
      </c>
      <c r="N647" t="s">
        <v>41</v>
      </c>
      <c r="O647" t="s">
        <v>66</v>
      </c>
      <c r="P647" t="s">
        <v>2026</v>
      </c>
      <c r="Q647" t="s">
        <v>31</v>
      </c>
      <c r="R647">
        <v>6</v>
      </c>
      <c r="S647">
        <v>2423.61</v>
      </c>
      <c r="T647">
        <v>0.1</v>
      </c>
      <c r="U647">
        <v>13087.49</v>
      </c>
      <c r="V647">
        <v>7608.89</v>
      </c>
      <c r="W647">
        <v>5133.22</v>
      </c>
      <c r="X647" t="s">
        <v>32</v>
      </c>
      <c r="Y647" t="s">
        <v>33</v>
      </c>
      <c r="Z647" t="str">
        <f t="shared" si="140"/>
        <v>Unique</v>
      </c>
      <c r="AA647" t="str">
        <f t="shared" si="141"/>
        <v>Unique</v>
      </c>
      <c r="AB647" t="str">
        <f t="shared" si="145"/>
        <v>OK</v>
      </c>
      <c r="AC647">
        <f t="shared" si="146"/>
        <v>0.1</v>
      </c>
      <c r="AD647" t="str">
        <f t="shared" si="147"/>
        <v>OK</v>
      </c>
      <c r="AE647">
        <f t="shared" si="148"/>
        <v>13087.494000000001</v>
      </c>
      <c r="AF647">
        <f t="shared" si="149"/>
        <v>5478.6040000000003</v>
      </c>
      <c r="AG647">
        <f t="shared" si="150"/>
        <v>0.41861367806548755</v>
      </c>
      <c r="AH647" t="str">
        <f t="shared" si="142"/>
        <v>January</v>
      </c>
      <c r="AI647">
        <f t="shared" si="143"/>
        <v>2024</v>
      </c>
      <c r="AJ647" t="str">
        <f t="shared" si="151"/>
        <v>OK</v>
      </c>
      <c r="AK647" t="str">
        <f t="shared" si="152"/>
        <v>Profit Mismatch</v>
      </c>
      <c r="AL647" t="str">
        <f t="shared" si="153"/>
        <v>Include</v>
      </c>
      <c r="AM647" t="str">
        <f t="shared" si="144"/>
        <v>Warning</v>
      </c>
    </row>
    <row r="648" spans="1:39">
      <c r="A648" t="s">
        <v>2027</v>
      </c>
      <c r="B648" s="4">
        <v>45553</v>
      </c>
      <c r="C648" s="4">
        <v>45559</v>
      </c>
      <c r="D648" s="6">
        <v>6</v>
      </c>
      <c r="E648" t="s">
        <v>2788</v>
      </c>
      <c r="F648" t="s">
        <v>2788</v>
      </c>
      <c r="G648" t="s">
        <v>2788</v>
      </c>
      <c r="H648" t="s">
        <v>2028</v>
      </c>
      <c r="I648" t="s">
        <v>71</v>
      </c>
      <c r="J648" t="s">
        <v>37</v>
      </c>
      <c r="K648" t="s">
        <v>38</v>
      </c>
      <c r="L648" t="s">
        <v>228</v>
      </c>
      <c r="M648" t="s">
        <v>229</v>
      </c>
      <c r="N648" t="s">
        <v>74</v>
      </c>
      <c r="O648" t="s">
        <v>274</v>
      </c>
      <c r="P648" t="s">
        <v>2029</v>
      </c>
      <c r="Q648" t="s">
        <v>50</v>
      </c>
      <c r="R648">
        <v>3</v>
      </c>
      <c r="S648">
        <v>729.14</v>
      </c>
      <c r="T648">
        <v>0.25</v>
      </c>
      <c r="U648">
        <v>1640.57</v>
      </c>
      <c r="V648">
        <v>1136.98</v>
      </c>
      <c r="W648">
        <v>503.59</v>
      </c>
      <c r="X648" t="s">
        <v>32</v>
      </c>
      <c r="Y648" t="s">
        <v>33</v>
      </c>
      <c r="Z648" t="str">
        <f t="shared" si="140"/>
        <v>Unique</v>
      </c>
      <c r="AA648" t="str">
        <f t="shared" si="141"/>
        <v>Unique</v>
      </c>
      <c r="AB648" t="str">
        <f t="shared" si="145"/>
        <v>OK</v>
      </c>
      <c r="AC648">
        <f t="shared" si="146"/>
        <v>0.25</v>
      </c>
      <c r="AD648" t="str">
        <f t="shared" si="147"/>
        <v>OK</v>
      </c>
      <c r="AE648">
        <f t="shared" si="148"/>
        <v>1640.5650000000001</v>
      </c>
      <c r="AF648">
        <f t="shared" si="149"/>
        <v>503.58500000000004</v>
      </c>
      <c r="AG648">
        <f t="shared" si="150"/>
        <v>0.30695827352162214</v>
      </c>
      <c r="AH648" t="str">
        <f t="shared" si="142"/>
        <v>September</v>
      </c>
      <c r="AI648">
        <f t="shared" si="143"/>
        <v>2024</v>
      </c>
      <c r="AJ648" t="str">
        <f t="shared" si="151"/>
        <v>OK</v>
      </c>
      <c r="AK648" t="str">
        <f t="shared" si="152"/>
        <v>OK</v>
      </c>
      <c r="AL648" t="str">
        <f t="shared" si="153"/>
        <v>Include</v>
      </c>
      <c r="AM648" t="str">
        <f t="shared" si="144"/>
        <v>Clean</v>
      </c>
    </row>
    <row r="649" spans="1:39">
      <c r="A649" t="s">
        <v>2030</v>
      </c>
      <c r="B649" s="4">
        <v>45658</v>
      </c>
      <c r="C649" s="4">
        <v>45666</v>
      </c>
      <c r="D649" s="6">
        <v>8</v>
      </c>
      <c r="E649" t="s">
        <v>2788</v>
      </c>
      <c r="F649" t="s">
        <v>2788</v>
      </c>
      <c r="G649" t="s">
        <v>2788</v>
      </c>
      <c r="H649" t="s">
        <v>2031</v>
      </c>
      <c r="I649" t="s">
        <v>141</v>
      </c>
      <c r="J649" t="s">
        <v>37</v>
      </c>
      <c r="K649" t="s">
        <v>25</v>
      </c>
      <c r="L649" t="s">
        <v>122</v>
      </c>
      <c r="M649" t="s">
        <v>123</v>
      </c>
      <c r="N649" t="s">
        <v>28</v>
      </c>
      <c r="O649" t="s">
        <v>48</v>
      </c>
      <c r="P649" t="s">
        <v>2032</v>
      </c>
      <c r="Q649" t="s">
        <v>50</v>
      </c>
      <c r="R649">
        <v>8</v>
      </c>
      <c r="S649">
        <v>2123.81</v>
      </c>
      <c r="T649">
        <v>0.15</v>
      </c>
      <c r="U649">
        <v>14441.91</v>
      </c>
      <c r="V649">
        <v>10872.89</v>
      </c>
      <c r="W649">
        <v>3569.02</v>
      </c>
      <c r="X649" t="s">
        <v>32</v>
      </c>
      <c r="Y649" t="s">
        <v>33</v>
      </c>
      <c r="Z649" t="str">
        <f t="shared" si="140"/>
        <v>Unique</v>
      </c>
      <c r="AA649" t="str">
        <f t="shared" si="141"/>
        <v>Unique</v>
      </c>
      <c r="AB649" t="str">
        <f t="shared" si="145"/>
        <v>OK</v>
      </c>
      <c r="AC649">
        <f t="shared" si="146"/>
        <v>0.15</v>
      </c>
      <c r="AD649" t="str">
        <f t="shared" si="147"/>
        <v>OK</v>
      </c>
      <c r="AE649">
        <f t="shared" si="148"/>
        <v>14441.907999999999</v>
      </c>
      <c r="AF649">
        <f t="shared" si="149"/>
        <v>3569.018</v>
      </c>
      <c r="AG649">
        <f t="shared" si="150"/>
        <v>0.24712925743606731</v>
      </c>
      <c r="AH649" t="str">
        <f t="shared" si="142"/>
        <v>January</v>
      </c>
      <c r="AI649">
        <f t="shared" si="143"/>
        <v>2025</v>
      </c>
      <c r="AJ649" t="str">
        <f t="shared" si="151"/>
        <v>OK</v>
      </c>
      <c r="AK649" t="str">
        <f t="shared" si="152"/>
        <v>OK</v>
      </c>
      <c r="AL649" t="str">
        <f t="shared" si="153"/>
        <v>Include</v>
      </c>
      <c r="AM649" t="str">
        <f t="shared" si="144"/>
        <v>Clean</v>
      </c>
    </row>
    <row r="650" spans="1:39">
      <c r="A650" t="s">
        <v>2033</v>
      </c>
      <c r="B650" s="4">
        <v>45403</v>
      </c>
      <c r="C650" s="4">
        <v>45406</v>
      </c>
      <c r="D650" s="6">
        <v>3</v>
      </c>
      <c r="E650" t="s">
        <v>2788</v>
      </c>
      <c r="F650" t="s">
        <v>2788</v>
      </c>
      <c r="G650" t="s">
        <v>2788</v>
      </c>
      <c r="H650" t="s">
        <v>2034</v>
      </c>
      <c r="I650" t="s">
        <v>79</v>
      </c>
      <c r="J650" t="s">
        <v>37</v>
      </c>
      <c r="K650" t="s">
        <v>54</v>
      </c>
      <c r="L650" t="s">
        <v>84</v>
      </c>
      <c r="M650" t="s">
        <v>85</v>
      </c>
      <c r="N650" t="s">
        <v>28</v>
      </c>
      <c r="O650" t="s">
        <v>48</v>
      </c>
      <c r="P650" t="s">
        <v>2035</v>
      </c>
      <c r="Q650" t="s">
        <v>44</v>
      </c>
      <c r="R650">
        <v>9</v>
      </c>
      <c r="S650">
        <v>703.59</v>
      </c>
      <c r="T650">
        <v>0.2</v>
      </c>
      <c r="U650">
        <v>5065.8500000000004</v>
      </c>
      <c r="V650">
        <v>3517.23</v>
      </c>
      <c r="W650">
        <v>1548.62</v>
      </c>
      <c r="X650" t="s">
        <v>155</v>
      </c>
      <c r="Y650" t="s">
        <v>103</v>
      </c>
      <c r="Z650" t="str">
        <f t="shared" si="140"/>
        <v>Unique</v>
      </c>
      <c r="AA650" t="str">
        <f t="shared" si="141"/>
        <v>Unique</v>
      </c>
      <c r="AB650" t="str">
        <f t="shared" si="145"/>
        <v>OK</v>
      </c>
      <c r="AC650">
        <f t="shared" si="146"/>
        <v>0.2</v>
      </c>
      <c r="AD650" t="str">
        <f t="shared" si="147"/>
        <v>OK</v>
      </c>
      <c r="AE650">
        <f t="shared" si="148"/>
        <v>5065.8480000000009</v>
      </c>
      <c r="AF650">
        <f t="shared" si="149"/>
        <v>1548.6180000000008</v>
      </c>
      <c r="AG650">
        <f t="shared" si="150"/>
        <v>0.30569768378364304</v>
      </c>
      <c r="AH650" t="str">
        <f t="shared" si="142"/>
        <v>April</v>
      </c>
      <c r="AI650">
        <f t="shared" si="143"/>
        <v>2024</v>
      </c>
      <c r="AJ650" t="str">
        <f t="shared" si="151"/>
        <v>OK</v>
      </c>
      <c r="AK650" t="str">
        <f t="shared" si="152"/>
        <v>OK</v>
      </c>
      <c r="AL650" t="str">
        <f t="shared" si="153"/>
        <v>Exclude</v>
      </c>
      <c r="AM650" t="str">
        <f t="shared" si="144"/>
        <v>Clean</v>
      </c>
    </row>
    <row r="651" spans="1:39">
      <c r="A651" t="s">
        <v>2036</v>
      </c>
      <c r="B651" s="4">
        <v>45880</v>
      </c>
      <c r="C651" s="4">
        <v>45888</v>
      </c>
      <c r="D651" s="6">
        <v>8</v>
      </c>
      <c r="E651" t="s">
        <v>2788</v>
      </c>
      <c r="F651" t="s">
        <v>2788</v>
      </c>
      <c r="G651" t="s">
        <v>2788</v>
      </c>
      <c r="H651" t="s">
        <v>2037</v>
      </c>
      <c r="I651" t="s">
        <v>264</v>
      </c>
      <c r="J651" t="s">
        <v>37</v>
      </c>
      <c r="K651" t="s">
        <v>54</v>
      </c>
      <c r="L651" t="s">
        <v>185</v>
      </c>
      <c r="M651" t="s">
        <v>186</v>
      </c>
      <c r="N651" t="s">
        <v>74</v>
      </c>
      <c r="O651" t="s">
        <v>75</v>
      </c>
      <c r="P651" t="s">
        <v>2038</v>
      </c>
      <c r="Q651" t="s">
        <v>59</v>
      </c>
      <c r="R651">
        <v>4</v>
      </c>
      <c r="S651">
        <v>2258.96</v>
      </c>
      <c r="T651">
        <v>0.25</v>
      </c>
      <c r="U651">
        <v>6776.88</v>
      </c>
      <c r="V651">
        <v>3836.24</v>
      </c>
      <c r="W651">
        <v>2940.64</v>
      </c>
      <c r="X651" t="s">
        <v>32</v>
      </c>
      <c r="Y651" t="s">
        <v>33</v>
      </c>
      <c r="Z651" t="str">
        <f t="shared" si="140"/>
        <v>Unique</v>
      </c>
      <c r="AA651" t="str">
        <f t="shared" si="141"/>
        <v>Unique</v>
      </c>
      <c r="AB651" t="str">
        <f t="shared" si="145"/>
        <v>OK</v>
      </c>
      <c r="AC651">
        <f t="shared" si="146"/>
        <v>0.25</v>
      </c>
      <c r="AD651" t="str">
        <f t="shared" si="147"/>
        <v>OK</v>
      </c>
      <c r="AE651">
        <f t="shared" si="148"/>
        <v>6776.88</v>
      </c>
      <c r="AF651">
        <f t="shared" si="149"/>
        <v>2940.6400000000003</v>
      </c>
      <c r="AG651">
        <f t="shared" si="150"/>
        <v>0.43392239496641527</v>
      </c>
      <c r="AH651" t="str">
        <f t="shared" si="142"/>
        <v>August</v>
      </c>
      <c r="AI651">
        <f t="shared" si="143"/>
        <v>2025</v>
      </c>
      <c r="AJ651" t="str">
        <f t="shared" si="151"/>
        <v>OK</v>
      </c>
      <c r="AK651" t="str">
        <f t="shared" si="152"/>
        <v>OK</v>
      </c>
      <c r="AL651" t="str">
        <f t="shared" si="153"/>
        <v>Include</v>
      </c>
      <c r="AM651" t="str">
        <f t="shared" si="144"/>
        <v>Clean</v>
      </c>
    </row>
    <row r="652" spans="1:39">
      <c r="A652" t="s">
        <v>2039</v>
      </c>
      <c r="B652" s="4">
        <v>45395</v>
      </c>
      <c r="C652" s="4">
        <v>45403</v>
      </c>
      <c r="D652" s="6">
        <v>8</v>
      </c>
      <c r="E652" t="s">
        <v>2788</v>
      </c>
      <c r="F652" t="s">
        <v>2788</v>
      </c>
      <c r="G652" t="s">
        <v>2788</v>
      </c>
      <c r="H652" t="s">
        <v>378</v>
      </c>
      <c r="I652" t="s">
        <v>128</v>
      </c>
      <c r="J652" t="s">
        <v>95</v>
      </c>
      <c r="K652" t="s">
        <v>38</v>
      </c>
      <c r="L652" t="s">
        <v>145</v>
      </c>
      <c r="M652" t="s">
        <v>146</v>
      </c>
      <c r="N652" t="s">
        <v>74</v>
      </c>
      <c r="O652" t="s">
        <v>75</v>
      </c>
      <c r="P652" t="s">
        <v>2040</v>
      </c>
      <c r="Q652" t="s">
        <v>44</v>
      </c>
      <c r="R652">
        <v>7</v>
      </c>
      <c r="S652">
        <v>2648.76</v>
      </c>
      <c r="T652">
        <v>0.15</v>
      </c>
      <c r="U652">
        <v>15760.12</v>
      </c>
      <c r="V652">
        <v>9931.5300000000007</v>
      </c>
      <c r="W652">
        <v>5828.59</v>
      </c>
      <c r="X652" t="s">
        <v>155</v>
      </c>
      <c r="Y652" t="s">
        <v>103</v>
      </c>
      <c r="Z652" t="str">
        <f t="shared" si="140"/>
        <v>Unique</v>
      </c>
      <c r="AA652" t="str">
        <f t="shared" si="141"/>
        <v>Unique</v>
      </c>
      <c r="AB652" t="str">
        <f t="shared" si="145"/>
        <v>OK</v>
      </c>
      <c r="AC652">
        <f t="shared" si="146"/>
        <v>0.15</v>
      </c>
      <c r="AD652" t="str">
        <f t="shared" si="147"/>
        <v>OK</v>
      </c>
      <c r="AE652">
        <f t="shared" si="148"/>
        <v>15760.121999999999</v>
      </c>
      <c r="AF652">
        <f t="shared" si="149"/>
        <v>5828.5919999999987</v>
      </c>
      <c r="AG652">
        <f t="shared" si="150"/>
        <v>0.36983165485647884</v>
      </c>
      <c r="AH652" t="str">
        <f t="shared" si="142"/>
        <v>April</v>
      </c>
      <c r="AI652">
        <f t="shared" si="143"/>
        <v>2024</v>
      </c>
      <c r="AJ652" t="str">
        <f t="shared" si="151"/>
        <v>OK</v>
      </c>
      <c r="AK652" t="str">
        <f t="shared" si="152"/>
        <v>OK</v>
      </c>
      <c r="AL652" t="str">
        <f t="shared" si="153"/>
        <v>Exclude</v>
      </c>
      <c r="AM652" t="str">
        <f t="shared" si="144"/>
        <v>Clean</v>
      </c>
    </row>
    <row r="653" spans="1:39">
      <c r="A653" t="s">
        <v>2041</v>
      </c>
      <c r="B653" s="4">
        <v>45875</v>
      </c>
      <c r="C653" s="4">
        <v>45878</v>
      </c>
      <c r="D653" s="6">
        <v>3</v>
      </c>
      <c r="E653" t="s">
        <v>2788</v>
      </c>
      <c r="F653" t="s">
        <v>2788</v>
      </c>
      <c r="G653" t="s">
        <v>2788</v>
      </c>
      <c r="H653" t="s">
        <v>2042</v>
      </c>
      <c r="I653" t="s">
        <v>36</v>
      </c>
      <c r="J653" t="s">
        <v>37</v>
      </c>
      <c r="K653" t="s">
        <v>54</v>
      </c>
      <c r="L653" t="s">
        <v>84</v>
      </c>
      <c r="M653" t="s">
        <v>85</v>
      </c>
      <c r="N653" t="s">
        <v>28</v>
      </c>
      <c r="O653" t="s">
        <v>29</v>
      </c>
      <c r="P653" t="s">
        <v>2043</v>
      </c>
      <c r="Q653" t="s">
        <v>31</v>
      </c>
      <c r="R653">
        <v>3</v>
      </c>
      <c r="S653">
        <v>598.54999999999995</v>
      </c>
      <c r="T653">
        <v>0</v>
      </c>
      <c r="U653">
        <v>1795.65</v>
      </c>
      <c r="V653">
        <v>996.72</v>
      </c>
      <c r="W653">
        <v>798.93</v>
      </c>
      <c r="X653" t="s">
        <v>32</v>
      </c>
      <c r="Y653" t="s">
        <v>33</v>
      </c>
      <c r="Z653" t="str">
        <f t="shared" si="140"/>
        <v>Unique</v>
      </c>
      <c r="AA653" t="str">
        <f t="shared" si="141"/>
        <v>Unique</v>
      </c>
      <c r="AB653" t="str">
        <f t="shared" si="145"/>
        <v>OK</v>
      </c>
      <c r="AC653">
        <f t="shared" si="146"/>
        <v>0</v>
      </c>
      <c r="AD653" t="str">
        <f t="shared" si="147"/>
        <v>OK</v>
      </c>
      <c r="AE653">
        <f t="shared" si="148"/>
        <v>1795.6499999999999</v>
      </c>
      <c r="AF653">
        <f t="shared" si="149"/>
        <v>798.92999999999984</v>
      </c>
      <c r="AG653">
        <f t="shared" si="150"/>
        <v>0.44492523598696843</v>
      </c>
      <c r="AH653" t="str">
        <f t="shared" si="142"/>
        <v>August</v>
      </c>
      <c r="AI653">
        <f t="shared" si="143"/>
        <v>2025</v>
      </c>
      <c r="AJ653" t="str">
        <f t="shared" si="151"/>
        <v>OK</v>
      </c>
      <c r="AK653" t="str">
        <f t="shared" si="152"/>
        <v>OK</v>
      </c>
      <c r="AL653" t="str">
        <f t="shared" si="153"/>
        <v>Include</v>
      </c>
      <c r="AM653" t="str">
        <f t="shared" si="144"/>
        <v>Clean</v>
      </c>
    </row>
    <row r="654" spans="1:39">
      <c r="A654" t="s">
        <v>2044</v>
      </c>
      <c r="B654" s="4">
        <v>45733</v>
      </c>
      <c r="C654" s="4">
        <v>45737</v>
      </c>
      <c r="D654" s="6">
        <v>4</v>
      </c>
      <c r="E654" t="s">
        <v>2788</v>
      </c>
      <c r="F654" t="s">
        <v>2788</v>
      </c>
      <c r="G654" t="s">
        <v>2788</v>
      </c>
      <c r="H654" t="s">
        <v>1688</v>
      </c>
      <c r="I654" t="s">
        <v>132</v>
      </c>
      <c r="J654" t="s">
        <v>24</v>
      </c>
      <c r="K654" t="s">
        <v>25</v>
      </c>
      <c r="L654" t="s">
        <v>136</v>
      </c>
      <c r="M654" t="s">
        <v>137</v>
      </c>
      <c r="N654" t="s">
        <v>28</v>
      </c>
      <c r="O654" t="s">
        <v>153</v>
      </c>
      <c r="P654" t="s">
        <v>2045</v>
      </c>
      <c r="Q654" t="s">
        <v>59</v>
      </c>
      <c r="R654">
        <v>5</v>
      </c>
      <c r="S654">
        <v>4320.59</v>
      </c>
      <c r="T654">
        <v>0.15</v>
      </c>
      <c r="U654">
        <v>18362.509999999998</v>
      </c>
      <c r="V654">
        <v>11133.97</v>
      </c>
      <c r="W654">
        <v>7228.54</v>
      </c>
      <c r="X654" t="s">
        <v>32</v>
      </c>
      <c r="Y654" t="s">
        <v>33</v>
      </c>
      <c r="Z654" t="str">
        <f t="shared" si="140"/>
        <v>Unique</v>
      </c>
      <c r="AA654" t="str">
        <f t="shared" si="141"/>
        <v>Unique</v>
      </c>
      <c r="AB654" t="str">
        <f t="shared" si="145"/>
        <v>OK</v>
      </c>
      <c r="AC654">
        <f t="shared" si="146"/>
        <v>0.15</v>
      </c>
      <c r="AD654" t="str">
        <f t="shared" si="147"/>
        <v>OK</v>
      </c>
      <c r="AE654">
        <f t="shared" si="148"/>
        <v>18362.5075</v>
      </c>
      <c r="AF654">
        <f t="shared" si="149"/>
        <v>7228.5375000000004</v>
      </c>
      <c r="AG654">
        <f t="shared" si="150"/>
        <v>0.39365742941153326</v>
      </c>
      <c r="AH654" t="str">
        <f t="shared" si="142"/>
        <v>March</v>
      </c>
      <c r="AI654">
        <f t="shared" si="143"/>
        <v>2025</v>
      </c>
      <c r="AJ654" t="str">
        <f t="shared" si="151"/>
        <v>OK</v>
      </c>
      <c r="AK654" t="str">
        <f t="shared" si="152"/>
        <v>OK</v>
      </c>
      <c r="AL654" t="str">
        <f t="shared" si="153"/>
        <v>Include</v>
      </c>
      <c r="AM654" t="str">
        <f t="shared" si="144"/>
        <v>Clean</v>
      </c>
    </row>
    <row r="655" spans="1:39">
      <c r="A655" t="s">
        <v>2046</v>
      </c>
      <c r="B655" s="4">
        <v>45751</v>
      </c>
      <c r="C655" s="4">
        <v>45754</v>
      </c>
      <c r="D655" s="6">
        <v>3</v>
      </c>
      <c r="E655" t="s">
        <v>2788</v>
      </c>
      <c r="F655" t="s">
        <v>2788</v>
      </c>
      <c r="G655" t="s">
        <v>2788</v>
      </c>
      <c r="H655" t="s">
        <v>2047</v>
      </c>
      <c r="I655" t="s">
        <v>114</v>
      </c>
      <c r="J655" t="s">
        <v>37</v>
      </c>
      <c r="K655" t="s">
        <v>54</v>
      </c>
      <c r="L655" t="s">
        <v>247</v>
      </c>
      <c r="M655" t="s">
        <v>248</v>
      </c>
      <c r="N655" t="s">
        <v>74</v>
      </c>
      <c r="O655" t="s">
        <v>80</v>
      </c>
      <c r="P655" t="s">
        <v>2048</v>
      </c>
      <c r="Q655" t="s">
        <v>31</v>
      </c>
      <c r="R655">
        <v>7</v>
      </c>
      <c r="S655">
        <v>4457.93</v>
      </c>
      <c r="T655">
        <v>0.15</v>
      </c>
      <c r="U655">
        <v>26524.68</v>
      </c>
      <c r="V655">
        <v>20574.3</v>
      </c>
      <c r="W655">
        <v>5950.38</v>
      </c>
      <c r="X655" t="s">
        <v>32</v>
      </c>
      <c r="Y655" t="s">
        <v>33</v>
      </c>
      <c r="Z655" t="str">
        <f t="shared" si="140"/>
        <v>Unique</v>
      </c>
      <c r="AA655" t="str">
        <f t="shared" si="141"/>
        <v>Unique</v>
      </c>
      <c r="AB655" t="str">
        <f t="shared" si="145"/>
        <v>OK</v>
      </c>
      <c r="AC655">
        <f t="shared" si="146"/>
        <v>0.15</v>
      </c>
      <c r="AD655" t="str">
        <f t="shared" si="147"/>
        <v>OK</v>
      </c>
      <c r="AE655">
        <f t="shared" si="148"/>
        <v>26524.683500000003</v>
      </c>
      <c r="AF655">
        <f t="shared" si="149"/>
        <v>5950.3835000000036</v>
      </c>
      <c r="AG655">
        <f t="shared" si="150"/>
        <v>0.22433381721595294</v>
      </c>
      <c r="AH655" t="str">
        <f t="shared" si="142"/>
        <v>April</v>
      </c>
      <c r="AI655">
        <f t="shared" si="143"/>
        <v>2025</v>
      </c>
      <c r="AJ655" t="str">
        <f t="shared" si="151"/>
        <v>OK</v>
      </c>
      <c r="AK655" t="str">
        <f t="shared" si="152"/>
        <v>OK</v>
      </c>
      <c r="AL655" t="str">
        <f t="shared" si="153"/>
        <v>Include</v>
      </c>
      <c r="AM655" t="str">
        <f t="shared" si="144"/>
        <v>Clean</v>
      </c>
    </row>
    <row r="656" spans="1:39">
      <c r="A656" t="s">
        <v>2049</v>
      </c>
      <c r="B656" s="4">
        <v>45942</v>
      </c>
      <c r="C656" s="4">
        <v>45946</v>
      </c>
      <c r="D656" s="6">
        <v>4</v>
      </c>
      <c r="E656" t="s">
        <v>2788</v>
      </c>
      <c r="F656" t="s">
        <v>2788</v>
      </c>
      <c r="G656" t="s">
        <v>2788</v>
      </c>
      <c r="H656" t="s">
        <v>927</v>
      </c>
      <c r="I656" t="s">
        <v>162</v>
      </c>
      <c r="J656" t="s">
        <v>90</v>
      </c>
      <c r="K656" t="s">
        <v>38</v>
      </c>
      <c r="L656" t="s">
        <v>145</v>
      </c>
      <c r="M656" t="s">
        <v>146</v>
      </c>
      <c r="N656" t="s">
        <v>74</v>
      </c>
      <c r="O656" t="s">
        <v>274</v>
      </c>
      <c r="P656" t="s">
        <v>2050</v>
      </c>
      <c r="Q656" t="s">
        <v>44</v>
      </c>
      <c r="R656">
        <v>1</v>
      </c>
      <c r="S656">
        <v>2570.06</v>
      </c>
      <c r="T656">
        <v>0.2</v>
      </c>
      <c r="U656">
        <v>2056.0500000000002</v>
      </c>
      <c r="V656">
        <v>1662.39</v>
      </c>
      <c r="W656">
        <v>393.66</v>
      </c>
      <c r="X656" t="s">
        <v>32</v>
      </c>
      <c r="Y656" t="s">
        <v>33</v>
      </c>
      <c r="Z656" t="str">
        <f t="shared" si="140"/>
        <v>Unique</v>
      </c>
      <c r="AA656" t="str">
        <f t="shared" si="141"/>
        <v>Unique</v>
      </c>
      <c r="AB656" t="str">
        <f t="shared" si="145"/>
        <v>OK</v>
      </c>
      <c r="AC656">
        <f t="shared" si="146"/>
        <v>0.2</v>
      </c>
      <c r="AD656" t="str">
        <f t="shared" si="147"/>
        <v>OK</v>
      </c>
      <c r="AE656">
        <f t="shared" si="148"/>
        <v>2056.0480000000002</v>
      </c>
      <c r="AF656">
        <f t="shared" si="149"/>
        <v>393.65800000000013</v>
      </c>
      <c r="AG656">
        <f t="shared" si="150"/>
        <v>0.19146342886936496</v>
      </c>
      <c r="AH656" t="str">
        <f t="shared" si="142"/>
        <v>October</v>
      </c>
      <c r="AI656">
        <f t="shared" si="143"/>
        <v>2025</v>
      </c>
      <c r="AJ656" t="str">
        <f t="shared" si="151"/>
        <v>OK</v>
      </c>
      <c r="AK656" t="str">
        <f t="shared" si="152"/>
        <v>OK</v>
      </c>
      <c r="AL656" t="str">
        <f t="shared" si="153"/>
        <v>Include</v>
      </c>
      <c r="AM656" t="str">
        <f t="shared" si="144"/>
        <v>Clean</v>
      </c>
    </row>
    <row r="657" spans="1:39">
      <c r="A657" t="s">
        <v>2051</v>
      </c>
      <c r="B657" s="4">
        <v>45895</v>
      </c>
      <c r="C657" s="4">
        <v>45895</v>
      </c>
      <c r="D657" s="6">
        <v>0</v>
      </c>
      <c r="E657" t="s">
        <v>2788</v>
      </c>
      <c r="F657" t="s">
        <v>2788</v>
      </c>
      <c r="G657" t="s">
        <v>2788</v>
      </c>
      <c r="H657" t="s">
        <v>2052</v>
      </c>
      <c r="I657" t="s">
        <v>79</v>
      </c>
      <c r="J657" t="s">
        <v>95</v>
      </c>
      <c r="K657" t="s">
        <v>38</v>
      </c>
      <c r="L657" t="s">
        <v>99</v>
      </c>
      <c r="M657" t="s">
        <v>100</v>
      </c>
      <c r="N657" t="s">
        <v>41</v>
      </c>
      <c r="O657" t="s">
        <v>57</v>
      </c>
      <c r="P657" t="s">
        <v>2053</v>
      </c>
      <c r="Q657" t="s">
        <v>59</v>
      </c>
      <c r="R657">
        <v>4</v>
      </c>
      <c r="S657">
        <v>2151.8200000000002</v>
      </c>
      <c r="T657">
        <v>0</v>
      </c>
      <c r="U657">
        <v>8607.2800000000007</v>
      </c>
      <c r="V657">
        <v>5124.01</v>
      </c>
      <c r="W657">
        <v>3483.27</v>
      </c>
      <c r="X657" t="s">
        <v>32</v>
      </c>
      <c r="Y657" t="s">
        <v>33</v>
      </c>
      <c r="Z657" t="str">
        <f t="shared" si="140"/>
        <v>Unique</v>
      </c>
      <c r="AA657" t="str">
        <f t="shared" si="141"/>
        <v>Unique</v>
      </c>
      <c r="AB657" t="str">
        <f t="shared" si="145"/>
        <v>OK</v>
      </c>
      <c r="AC657">
        <f t="shared" si="146"/>
        <v>0</v>
      </c>
      <c r="AD657" t="str">
        <f t="shared" si="147"/>
        <v>OK</v>
      </c>
      <c r="AE657">
        <f t="shared" si="148"/>
        <v>8607.2800000000007</v>
      </c>
      <c r="AF657">
        <f t="shared" si="149"/>
        <v>3483.2700000000004</v>
      </c>
      <c r="AG657">
        <f t="shared" si="150"/>
        <v>0.40468882155570635</v>
      </c>
      <c r="AH657" t="str">
        <f t="shared" si="142"/>
        <v>August</v>
      </c>
      <c r="AI657">
        <f t="shared" si="143"/>
        <v>2025</v>
      </c>
      <c r="AJ657" t="str">
        <f t="shared" si="151"/>
        <v>OK</v>
      </c>
      <c r="AK657" t="str">
        <f t="shared" si="152"/>
        <v>OK</v>
      </c>
      <c r="AL657" t="str">
        <f t="shared" si="153"/>
        <v>Include</v>
      </c>
      <c r="AM657" t="str">
        <f t="shared" si="144"/>
        <v>Clean</v>
      </c>
    </row>
    <row r="658" spans="1:39">
      <c r="A658" t="s">
        <v>2054</v>
      </c>
      <c r="B658" s="4">
        <v>45419</v>
      </c>
      <c r="C658" s="4">
        <v>45426</v>
      </c>
      <c r="D658" s="6">
        <v>7</v>
      </c>
      <c r="E658" t="s">
        <v>2788</v>
      </c>
      <c r="F658" t="s">
        <v>2788</v>
      </c>
      <c r="G658" t="s">
        <v>2788</v>
      </c>
      <c r="H658" t="s">
        <v>2055</v>
      </c>
      <c r="I658" t="s">
        <v>79</v>
      </c>
      <c r="J658" t="s">
        <v>37</v>
      </c>
      <c r="K658" t="s">
        <v>25</v>
      </c>
      <c r="L658" t="s">
        <v>236</v>
      </c>
      <c r="M658" t="s">
        <v>237</v>
      </c>
      <c r="N658" t="s">
        <v>74</v>
      </c>
      <c r="O658" t="s">
        <v>274</v>
      </c>
      <c r="P658" t="s">
        <v>2056</v>
      </c>
      <c r="Q658" t="s">
        <v>44</v>
      </c>
      <c r="R658">
        <v>4</v>
      </c>
      <c r="S658">
        <v>2751.1</v>
      </c>
      <c r="T658">
        <v>-0.05</v>
      </c>
      <c r="U658">
        <v>9903.9599999999991</v>
      </c>
      <c r="V658">
        <v>7696.28</v>
      </c>
      <c r="W658">
        <v>2207.6799999999998</v>
      </c>
      <c r="X658" t="s">
        <v>32</v>
      </c>
      <c r="Y658" t="s">
        <v>33</v>
      </c>
      <c r="Z658" t="str">
        <f t="shared" si="140"/>
        <v>Unique</v>
      </c>
      <c r="AA658" t="str">
        <f t="shared" si="141"/>
        <v>Unique</v>
      </c>
      <c r="AB658" t="str">
        <f t="shared" si="145"/>
        <v>OK</v>
      </c>
      <c r="AC658">
        <f t="shared" si="146"/>
        <v>-0.05</v>
      </c>
      <c r="AD658" t="str">
        <f t="shared" si="147"/>
        <v>Invalid Negative Discount</v>
      </c>
      <c r="AE658">
        <f t="shared" si="148"/>
        <v>11554.62</v>
      </c>
      <c r="AF658">
        <f t="shared" si="149"/>
        <v>3858.3400000000011</v>
      </c>
      <c r="AG658">
        <f t="shared" si="150"/>
        <v>0.33392184251840396</v>
      </c>
      <c r="AH658" t="str">
        <f t="shared" si="142"/>
        <v>May</v>
      </c>
      <c r="AI658">
        <f t="shared" si="143"/>
        <v>2024</v>
      </c>
      <c r="AJ658" t="str">
        <f t="shared" si="151"/>
        <v>Sales Mismatch</v>
      </c>
      <c r="AK658" t="str">
        <f t="shared" si="152"/>
        <v>Profit Mismatch</v>
      </c>
      <c r="AL658" t="str">
        <f t="shared" si="153"/>
        <v>Include</v>
      </c>
      <c r="AM658" t="str">
        <f t="shared" si="144"/>
        <v>Invalid</v>
      </c>
    </row>
    <row r="659" spans="1:39">
      <c r="A659" t="s">
        <v>2057</v>
      </c>
      <c r="B659" s="4">
        <v>45876</v>
      </c>
      <c r="C659" s="4">
        <v>45879</v>
      </c>
      <c r="D659" s="6">
        <v>3</v>
      </c>
      <c r="E659" t="s">
        <v>2788</v>
      </c>
      <c r="F659" t="s">
        <v>2788</v>
      </c>
      <c r="G659" t="s">
        <v>2788</v>
      </c>
      <c r="H659" t="s">
        <v>2058</v>
      </c>
      <c r="I659" t="s">
        <v>89</v>
      </c>
      <c r="J659" t="s">
        <v>95</v>
      </c>
      <c r="K659" t="s">
        <v>38</v>
      </c>
      <c r="L659" t="s">
        <v>145</v>
      </c>
      <c r="M659" t="s">
        <v>146</v>
      </c>
      <c r="N659" t="s">
        <v>28</v>
      </c>
      <c r="O659" t="s">
        <v>124</v>
      </c>
      <c r="P659" t="s">
        <v>2059</v>
      </c>
      <c r="Q659" t="s">
        <v>31</v>
      </c>
      <c r="R659">
        <v>1</v>
      </c>
      <c r="S659">
        <v>2541.25</v>
      </c>
      <c r="T659">
        <v>0.2</v>
      </c>
      <c r="U659">
        <v>2033</v>
      </c>
      <c r="V659">
        <v>1291.4100000000001</v>
      </c>
      <c r="W659">
        <v>741.59</v>
      </c>
      <c r="X659" t="s">
        <v>32</v>
      </c>
      <c r="Y659" t="s">
        <v>33</v>
      </c>
      <c r="Z659" t="str">
        <f t="shared" si="140"/>
        <v>Unique</v>
      </c>
      <c r="AA659" t="str">
        <f t="shared" si="141"/>
        <v>Unique</v>
      </c>
      <c r="AB659" t="str">
        <f t="shared" si="145"/>
        <v>OK</v>
      </c>
      <c r="AC659">
        <f t="shared" si="146"/>
        <v>0.2</v>
      </c>
      <c r="AD659" t="str">
        <f t="shared" si="147"/>
        <v>OK</v>
      </c>
      <c r="AE659">
        <f t="shared" si="148"/>
        <v>2033</v>
      </c>
      <c r="AF659">
        <f t="shared" si="149"/>
        <v>741.58999999999992</v>
      </c>
      <c r="AG659">
        <f t="shared" si="150"/>
        <v>0.36477619281849477</v>
      </c>
      <c r="AH659" t="str">
        <f t="shared" si="142"/>
        <v>August</v>
      </c>
      <c r="AI659">
        <f t="shared" si="143"/>
        <v>2025</v>
      </c>
      <c r="AJ659" t="str">
        <f t="shared" si="151"/>
        <v>OK</v>
      </c>
      <c r="AK659" t="str">
        <f t="shared" si="152"/>
        <v>OK</v>
      </c>
      <c r="AL659" t="str">
        <f t="shared" si="153"/>
        <v>Include</v>
      </c>
      <c r="AM659" t="str">
        <f t="shared" si="144"/>
        <v>Clean</v>
      </c>
    </row>
    <row r="660" spans="1:39">
      <c r="A660" t="s">
        <v>2060</v>
      </c>
      <c r="B660" s="4">
        <v>45817</v>
      </c>
      <c r="C660" s="4">
        <v>45820</v>
      </c>
      <c r="D660" s="6">
        <v>3</v>
      </c>
      <c r="E660" t="s">
        <v>2788</v>
      </c>
      <c r="F660" t="s">
        <v>2788</v>
      </c>
      <c r="G660" t="s">
        <v>2788</v>
      </c>
      <c r="H660" t="s">
        <v>2061</v>
      </c>
      <c r="I660" t="s">
        <v>132</v>
      </c>
      <c r="J660" t="s">
        <v>24</v>
      </c>
      <c r="K660" t="s">
        <v>2783</v>
      </c>
      <c r="L660" t="s">
        <v>145</v>
      </c>
      <c r="M660" t="s">
        <v>146</v>
      </c>
      <c r="N660" t="s">
        <v>28</v>
      </c>
      <c r="O660" t="s">
        <v>48</v>
      </c>
      <c r="P660" t="s">
        <v>2062</v>
      </c>
      <c r="Q660" t="s">
        <v>50</v>
      </c>
      <c r="R660">
        <v>7</v>
      </c>
      <c r="S660">
        <v>2852.42</v>
      </c>
      <c r="T660">
        <v>0</v>
      </c>
      <c r="U660">
        <v>19966.939999999999</v>
      </c>
      <c r="V660">
        <v>12690.83</v>
      </c>
      <c r="W660">
        <v>7276.11</v>
      </c>
      <c r="X660" t="s">
        <v>102</v>
      </c>
      <c r="Y660" t="s">
        <v>68</v>
      </c>
      <c r="Z660" t="str">
        <f t="shared" si="140"/>
        <v>Unique</v>
      </c>
      <c r="AA660" t="str">
        <f t="shared" si="141"/>
        <v>Unique</v>
      </c>
      <c r="AB660" t="str">
        <f t="shared" si="145"/>
        <v>OK</v>
      </c>
      <c r="AC660">
        <f t="shared" si="146"/>
        <v>0</v>
      </c>
      <c r="AD660" t="str">
        <f t="shared" si="147"/>
        <v>OK</v>
      </c>
      <c r="AE660">
        <f t="shared" si="148"/>
        <v>19966.940000000002</v>
      </c>
      <c r="AF660">
        <f t="shared" si="149"/>
        <v>7276.1100000000024</v>
      </c>
      <c r="AG660">
        <f t="shared" si="150"/>
        <v>0.36440786620283339</v>
      </c>
      <c r="AH660" t="str">
        <f t="shared" si="142"/>
        <v>June</v>
      </c>
      <c r="AI660">
        <f t="shared" si="143"/>
        <v>2025</v>
      </c>
      <c r="AJ660" t="str">
        <f t="shared" si="151"/>
        <v>OK</v>
      </c>
      <c r="AK660" t="str">
        <f t="shared" si="152"/>
        <v>OK</v>
      </c>
      <c r="AL660" t="str">
        <f t="shared" si="153"/>
        <v>Exclude</v>
      </c>
      <c r="AM660" t="str">
        <f t="shared" si="144"/>
        <v>Clean</v>
      </c>
    </row>
    <row r="661" spans="1:39">
      <c r="A661" t="s">
        <v>2063</v>
      </c>
      <c r="B661" s="4">
        <v>45678</v>
      </c>
      <c r="C661" s="4">
        <v>45679</v>
      </c>
      <c r="D661" s="6">
        <v>1</v>
      </c>
      <c r="E661" t="s">
        <v>2788</v>
      </c>
      <c r="F661" t="s">
        <v>2788</v>
      </c>
      <c r="G661" t="s">
        <v>2788</v>
      </c>
      <c r="H661" t="s">
        <v>2064</v>
      </c>
      <c r="I661" t="s">
        <v>162</v>
      </c>
      <c r="J661" t="s">
        <v>90</v>
      </c>
      <c r="K661" t="s">
        <v>54</v>
      </c>
      <c r="L661" t="s">
        <v>175</v>
      </c>
      <c r="M661" t="s">
        <v>176</v>
      </c>
      <c r="N661" t="s">
        <v>74</v>
      </c>
      <c r="O661" t="s">
        <v>171</v>
      </c>
      <c r="P661" t="s">
        <v>2065</v>
      </c>
      <c r="Q661" t="s">
        <v>31</v>
      </c>
      <c r="R661">
        <v>2</v>
      </c>
      <c r="S661">
        <v>444.31</v>
      </c>
      <c r="T661">
        <v>0.2</v>
      </c>
      <c r="U661">
        <v>710.9</v>
      </c>
      <c r="V661">
        <v>513.88</v>
      </c>
      <c r="W661">
        <v>197.02</v>
      </c>
      <c r="X661" t="s">
        <v>102</v>
      </c>
      <c r="Y661" t="s">
        <v>68</v>
      </c>
      <c r="Z661" t="str">
        <f t="shared" si="140"/>
        <v>Unique</v>
      </c>
      <c r="AA661" t="str">
        <f t="shared" si="141"/>
        <v>Unique</v>
      </c>
      <c r="AB661" t="str">
        <f t="shared" si="145"/>
        <v>OK</v>
      </c>
      <c r="AC661">
        <f t="shared" si="146"/>
        <v>0.2</v>
      </c>
      <c r="AD661" t="str">
        <f t="shared" si="147"/>
        <v>OK</v>
      </c>
      <c r="AE661">
        <f t="shared" si="148"/>
        <v>710.89600000000007</v>
      </c>
      <c r="AF661">
        <f t="shared" si="149"/>
        <v>197.01600000000008</v>
      </c>
      <c r="AG661">
        <f t="shared" si="150"/>
        <v>0.27713758411919615</v>
      </c>
      <c r="AH661" t="str">
        <f t="shared" si="142"/>
        <v>January</v>
      </c>
      <c r="AI661">
        <f t="shared" si="143"/>
        <v>2025</v>
      </c>
      <c r="AJ661" t="str">
        <f t="shared" si="151"/>
        <v>OK</v>
      </c>
      <c r="AK661" t="str">
        <f t="shared" si="152"/>
        <v>OK</v>
      </c>
      <c r="AL661" t="str">
        <f t="shared" si="153"/>
        <v>Exclude</v>
      </c>
      <c r="AM661" t="str">
        <f t="shared" si="144"/>
        <v>Clean</v>
      </c>
    </row>
    <row r="662" spans="1:39">
      <c r="A662" t="s">
        <v>2066</v>
      </c>
      <c r="B662" s="4">
        <v>45853</v>
      </c>
      <c r="C662" s="4">
        <v>45853</v>
      </c>
      <c r="D662" s="6">
        <v>0</v>
      </c>
      <c r="E662" t="s">
        <v>2788</v>
      </c>
      <c r="F662" t="s">
        <v>2788</v>
      </c>
      <c r="G662" t="s">
        <v>2788</v>
      </c>
      <c r="H662" t="s">
        <v>2067</v>
      </c>
      <c r="I662" t="s">
        <v>53</v>
      </c>
      <c r="J662" t="s">
        <v>37</v>
      </c>
      <c r="K662" t="s">
        <v>38</v>
      </c>
      <c r="L662" t="s">
        <v>228</v>
      </c>
      <c r="M662" t="s">
        <v>229</v>
      </c>
      <c r="N662" t="s">
        <v>74</v>
      </c>
      <c r="O662" t="s">
        <v>171</v>
      </c>
      <c r="P662" t="s">
        <v>2068</v>
      </c>
      <c r="Q662" t="s">
        <v>44</v>
      </c>
      <c r="R662">
        <v>4</v>
      </c>
      <c r="S662">
        <v>4442.91</v>
      </c>
      <c r="T662">
        <v>0.1</v>
      </c>
      <c r="U662">
        <v>15994.48</v>
      </c>
      <c r="V662">
        <v>9224.2800000000007</v>
      </c>
      <c r="W662">
        <v>6770.2</v>
      </c>
      <c r="X662" t="s">
        <v>32</v>
      </c>
      <c r="Y662" t="s">
        <v>33</v>
      </c>
      <c r="Z662" t="str">
        <f t="shared" si="140"/>
        <v>Unique</v>
      </c>
      <c r="AA662" t="str">
        <f t="shared" si="141"/>
        <v>Unique</v>
      </c>
      <c r="AB662" t="str">
        <f t="shared" si="145"/>
        <v>OK</v>
      </c>
      <c r="AC662">
        <f t="shared" si="146"/>
        <v>0.1</v>
      </c>
      <c r="AD662" t="str">
        <f t="shared" si="147"/>
        <v>OK</v>
      </c>
      <c r="AE662">
        <f t="shared" si="148"/>
        <v>15994.476000000001</v>
      </c>
      <c r="AF662">
        <f t="shared" si="149"/>
        <v>6770.1959999999999</v>
      </c>
      <c r="AG662">
        <f t="shared" si="150"/>
        <v>0.42328338858991066</v>
      </c>
      <c r="AH662" t="str">
        <f t="shared" si="142"/>
        <v>July</v>
      </c>
      <c r="AI662">
        <f t="shared" si="143"/>
        <v>2025</v>
      </c>
      <c r="AJ662" t="str">
        <f t="shared" si="151"/>
        <v>OK</v>
      </c>
      <c r="AK662" t="str">
        <f t="shared" si="152"/>
        <v>OK</v>
      </c>
      <c r="AL662" t="str">
        <f t="shared" si="153"/>
        <v>Include</v>
      </c>
      <c r="AM662" t="str">
        <f t="shared" si="144"/>
        <v>Clean</v>
      </c>
    </row>
    <row r="663" spans="1:39">
      <c r="A663" t="s">
        <v>2069</v>
      </c>
      <c r="B663" s="4">
        <v>45429</v>
      </c>
      <c r="C663" s="4">
        <v>45434</v>
      </c>
      <c r="D663" s="6">
        <v>5</v>
      </c>
      <c r="E663" t="s">
        <v>2788</v>
      </c>
      <c r="F663" t="s">
        <v>2788</v>
      </c>
      <c r="G663" t="s">
        <v>2788</v>
      </c>
      <c r="H663" t="s">
        <v>2070</v>
      </c>
      <c r="I663" t="s">
        <v>132</v>
      </c>
      <c r="J663" t="s">
        <v>24</v>
      </c>
      <c r="K663" t="s">
        <v>54</v>
      </c>
      <c r="L663" t="s">
        <v>84</v>
      </c>
      <c r="M663" t="s">
        <v>85</v>
      </c>
      <c r="N663" t="s">
        <v>74</v>
      </c>
      <c r="O663" t="s">
        <v>274</v>
      </c>
      <c r="P663" t="s">
        <v>2071</v>
      </c>
      <c r="Q663" t="s">
        <v>31</v>
      </c>
      <c r="R663">
        <v>7</v>
      </c>
      <c r="S663">
        <v>232.5</v>
      </c>
      <c r="T663">
        <v>0</v>
      </c>
      <c r="U663">
        <v>1627.5</v>
      </c>
      <c r="V663">
        <v>939.9</v>
      </c>
      <c r="W663">
        <v>687.6</v>
      </c>
      <c r="X663" t="s">
        <v>32</v>
      </c>
      <c r="Y663" t="s">
        <v>33</v>
      </c>
      <c r="Z663" t="str">
        <f t="shared" si="140"/>
        <v>Unique</v>
      </c>
      <c r="AA663" t="str">
        <f t="shared" si="141"/>
        <v>Unique</v>
      </c>
      <c r="AB663" t="str">
        <f t="shared" si="145"/>
        <v>OK</v>
      </c>
      <c r="AC663">
        <f t="shared" si="146"/>
        <v>0</v>
      </c>
      <c r="AD663" t="str">
        <f t="shared" si="147"/>
        <v>OK</v>
      </c>
      <c r="AE663">
        <f t="shared" si="148"/>
        <v>1627.5</v>
      </c>
      <c r="AF663">
        <f t="shared" si="149"/>
        <v>687.6</v>
      </c>
      <c r="AG663">
        <f t="shared" si="150"/>
        <v>0.4224884792626728</v>
      </c>
      <c r="AH663" t="str">
        <f t="shared" si="142"/>
        <v>May</v>
      </c>
      <c r="AI663">
        <f t="shared" si="143"/>
        <v>2024</v>
      </c>
      <c r="AJ663" t="str">
        <f t="shared" si="151"/>
        <v>OK</v>
      </c>
      <c r="AK663" t="str">
        <f t="shared" si="152"/>
        <v>OK</v>
      </c>
      <c r="AL663" t="str">
        <f t="shared" si="153"/>
        <v>Include</v>
      </c>
      <c r="AM663" t="str">
        <f t="shared" si="144"/>
        <v>Clean</v>
      </c>
    </row>
    <row r="664" spans="1:39">
      <c r="A664" t="s">
        <v>2072</v>
      </c>
      <c r="B664" s="4">
        <v>45305</v>
      </c>
      <c r="C664" s="4">
        <v>45309</v>
      </c>
      <c r="D664" s="6">
        <v>4</v>
      </c>
      <c r="E664" t="s">
        <v>2788</v>
      </c>
      <c r="F664" t="s">
        <v>2788</v>
      </c>
      <c r="G664" t="s">
        <v>2788</v>
      </c>
      <c r="H664" t="s">
        <v>2073</v>
      </c>
      <c r="I664" t="s">
        <v>36</v>
      </c>
      <c r="J664" t="s">
        <v>95</v>
      </c>
      <c r="K664" t="s">
        <v>63</v>
      </c>
      <c r="L664" t="s">
        <v>26</v>
      </c>
      <c r="M664" t="s">
        <v>109</v>
      </c>
      <c r="N664" t="s">
        <v>74</v>
      </c>
      <c r="O664" t="s">
        <v>274</v>
      </c>
      <c r="P664" t="s">
        <v>2074</v>
      </c>
      <c r="Q664" t="s">
        <v>44</v>
      </c>
      <c r="R664">
        <v>6</v>
      </c>
      <c r="S664">
        <v>1784.8</v>
      </c>
      <c r="T664">
        <v>0.1</v>
      </c>
      <c r="U664">
        <v>9637.92</v>
      </c>
      <c r="V664">
        <v>7329.29</v>
      </c>
      <c r="W664">
        <v>2308.63</v>
      </c>
      <c r="X664" t="s">
        <v>32</v>
      </c>
      <c r="Y664" t="s">
        <v>33</v>
      </c>
      <c r="Z664" t="str">
        <f t="shared" si="140"/>
        <v>Unique</v>
      </c>
      <c r="AA664" t="str">
        <f t="shared" si="141"/>
        <v>Unique</v>
      </c>
      <c r="AB664" t="str">
        <f t="shared" si="145"/>
        <v>OK</v>
      </c>
      <c r="AC664">
        <f t="shared" si="146"/>
        <v>0.1</v>
      </c>
      <c r="AD664" t="str">
        <f t="shared" si="147"/>
        <v>OK</v>
      </c>
      <c r="AE664">
        <f t="shared" si="148"/>
        <v>9637.92</v>
      </c>
      <c r="AF664">
        <f t="shared" si="149"/>
        <v>2308.63</v>
      </c>
      <c r="AG664">
        <f t="shared" si="150"/>
        <v>0.2395361239769577</v>
      </c>
      <c r="AH664" t="str">
        <f t="shared" si="142"/>
        <v>January</v>
      </c>
      <c r="AI664">
        <f t="shared" si="143"/>
        <v>2024</v>
      </c>
      <c r="AJ664" t="str">
        <f t="shared" si="151"/>
        <v>OK</v>
      </c>
      <c r="AK664" t="str">
        <f t="shared" si="152"/>
        <v>OK</v>
      </c>
      <c r="AL664" t="str">
        <f t="shared" si="153"/>
        <v>Include</v>
      </c>
      <c r="AM664" t="str">
        <f t="shared" si="144"/>
        <v>Clean</v>
      </c>
    </row>
    <row r="665" spans="1:39">
      <c r="A665" t="s">
        <v>2075</v>
      </c>
      <c r="B665" s="4">
        <v>45414</v>
      </c>
      <c r="C665" s="4">
        <v>45420</v>
      </c>
      <c r="D665" s="6">
        <v>6</v>
      </c>
      <c r="E665" t="s">
        <v>2788</v>
      </c>
      <c r="F665" t="s">
        <v>2788</v>
      </c>
      <c r="G665" t="s">
        <v>2788</v>
      </c>
      <c r="H665" t="s">
        <v>2076</v>
      </c>
      <c r="I665" t="s">
        <v>118</v>
      </c>
      <c r="J665" t="s">
        <v>95</v>
      </c>
      <c r="K665" t="s">
        <v>38</v>
      </c>
      <c r="L665" t="s">
        <v>228</v>
      </c>
      <c r="M665" t="s">
        <v>229</v>
      </c>
      <c r="N665" t="s">
        <v>74</v>
      </c>
      <c r="O665" t="s">
        <v>80</v>
      </c>
      <c r="P665" t="s">
        <v>2077</v>
      </c>
      <c r="Q665" t="s">
        <v>31</v>
      </c>
      <c r="R665">
        <v>2</v>
      </c>
      <c r="S665">
        <v>3185.01</v>
      </c>
      <c r="T665">
        <v>-0.24</v>
      </c>
      <c r="U665">
        <v>4777.5200000000004</v>
      </c>
      <c r="V665">
        <v>3152.98</v>
      </c>
      <c r="W665">
        <v>1624.54</v>
      </c>
      <c r="X665" t="s">
        <v>32</v>
      </c>
      <c r="Y665" t="s">
        <v>33</v>
      </c>
      <c r="Z665" t="str">
        <f t="shared" si="140"/>
        <v>Unique</v>
      </c>
      <c r="AA665" t="str">
        <f t="shared" si="141"/>
        <v>Unique</v>
      </c>
      <c r="AB665" t="str">
        <f t="shared" si="145"/>
        <v>OK</v>
      </c>
      <c r="AC665">
        <f t="shared" si="146"/>
        <v>-0.24</v>
      </c>
      <c r="AD665" t="str">
        <f t="shared" si="147"/>
        <v>Invalid Negative Discount</v>
      </c>
      <c r="AE665">
        <f t="shared" si="148"/>
        <v>7898.8248000000003</v>
      </c>
      <c r="AF665">
        <f t="shared" si="149"/>
        <v>4745.8448000000008</v>
      </c>
      <c r="AG665">
        <f t="shared" si="150"/>
        <v>0.60082922715287979</v>
      </c>
      <c r="AH665" t="str">
        <f t="shared" si="142"/>
        <v>May</v>
      </c>
      <c r="AI665">
        <f t="shared" si="143"/>
        <v>2024</v>
      </c>
      <c r="AJ665" t="str">
        <f t="shared" si="151"/>
        <v>Sales Mismatch</v>
      </c>
      <c r="AK665" t="str">
        <f t="shared" si="152"/>
        <v>Profit Mismatch</v>
      </c>
      <c r="AL665" t="str">
        <f t="shared" si="153"/>
        <v>Include</v>
      </c>
      <c r="AM665" t="str">
        <f t="shared" si="144"/>
        <v>Invalid</v>
      </c>
    </row>
    <row r="666" spans="1:39">
      <c r="A666" t="s">
        <v>2078</v>
      </c>
      <c r="B666" s="4">
        <v>45633</v>
      </c>
      <c r="C666" s="4">
        <v>45636</v>
      </c>
      <c r="D666" s="6">
        <v>3</v>
      </c>
      <c r="E666" t="s">
        <v>2788</v>
      </c>
      <c r="F666" t="s">
        <v>2788</v>
      </c>
      <c r="G666" t="s">
        <v>2788</v>
      </c>
      <c r="H666" t="s">
        <v>2079</v>
      </c>
      <c r="I666" t="s">
        <v>36</v>
      </c>
      <c r="J666" t="s">
        <v>95</v>
      </c>
      <c r="K666" t="s">
        <v>54</v>
      </c>
      <c r="L666" t="s">
        <v>55</v>
      </c>
      <c r="M666" t="s">
        <v>56</v>
      </c>
      <c r="N666" t="s">
        <v>74</v>
      </c>
      <c r="O666" t="s">
        <v>75</v>
      </c>
      <c r="P666" t="s">
        <v>2080</v>
      </c>
      <c r="Q666" t="s">
        <v>59</v>
      </c>
      <c r="R666">
        <v>1</v>
      </c>
      <c r="S666">
        <v>1908.83</v>
      </c>
      <c r="T666">
        <v>0.2</v>
      </c>
      <c r="U666">
        <v>1527.06</v>
      </c>
      <c r="V666">
        <v>1055.8900000000001</v>
      </c>
      <c r="W666">
        <v>471.17</v>
      </c>
      <c r="X666" t="s">
        <v>32</v>
      </c>
      <c r="Y666" t="s">
        <v>33</v>
      </c>
      <c r="Z666" t="str">
        <f t="shared" si="140"/>
        <v>Unique</v>
      </c>
      <c r="AA666" t="str">
        <f t="shared" si="141"/>
        <v>Unique</v>
      </c>
      <c r="AB666" t="str">
        <f t="shared" si="145"/>
        <v>OK</v>
      </c>
      <c r="AC666">
        <f t="shared" si="146"/>
        <v>0.2</v>
      </c>
      <c r="AD666" t="str">
        <f t="shared" si="147"/>
        <v>OK</v>
      </c>
      <c r="AE666">
        <f t="shared" si="148"/>
        <v>1527.0640000000001</v>
      </c>
      <c r="AF666">
        <f t="shared" si="149"/>
        <v>471.17399999999998</v>
      </c>
      <c r="AG666">
        <f t="shared" si="150"/>
        <v>0.30854895407134209</v>
      </c>
      <c r="AH666" t="str">
        <f t="shared" si="142"/>
        <v>December</v>
      </c>
      <c r="AI666">
        <f t="shared" si="143"/>
        <v>2024</v>
      </c>
      <c r="AJ666" t="str">
        <f t="shared" si="151"/>
        <v>OK</v>
      </c>
      <c r="AK666" t="str">
        <f t="shared" si="152"/>
        <v>OK</v>
      </c>
      <c r="AL666" t="str">
        <f t="shared" si="153"/>
        <v>Include</v>
      </c>
      <c r="AM666" t="str">
        <f t="shared" si="144"/>
        <v>Clean</v>
      </c>
    </row>
    <row r="667" spans="1:39">
      <c r="A667" t="s">
        <v>2081</v>
      </c>
      <c r="B667" s="4">
        <v>45670</v>
      </c>
      <c r="C667" s="4">
        <v>45670</v>
      </c>
      <c r="D667" s="6">
        <v>0</v>
      </c>
      <c r="E667" t="s">
        <v>2788</v>
      </c>
      <c r="F667" t="s">
        <v>2788</v>
      </c>
      <c r="G667" t="s">
        <v>2788</v>
      </c>
      <c r="H667" t="s">
        <v>2082</v>
      </c>
      <c r="I667" t="s">
        <v>118</v>
      </c>
      <c r="J667" t="s">
        <v>95</v>
      </c>
      <c r="K667" t="s">
        <v>63</v>
      </c>
      <c r="L667" t="s">
        <v>180</v>
      </c>
      <c r="M667" t="s">
        <v>181</v>
      </c>
      <c r="N667" t="s">
        <v>28</v>
      </c>
      <c r="O667" t="s">
        <v>48</v>
      </c>
      <c r="P667" t="s">
        <v>2083</v>
      </c>
      <c r="Q667" t="s">
        <v>59</v>
      </c>
      <c r="R667">
        <v>3</v>
      </c>
      <c r="S667">
        <v>2110.52</v>
      </c>
      <c r="T667">
        <v>0.1</v>
      </c>
      <c r="U667">
        <v>5698.4</v>
      </c>
      <c r="V667">
        <v>3640.89</v>
      </c>
      <c r="W667">
        <v>2057.5100000000002</v>
      </c>
      <c r="X667" t="s">
        <v>155</v>
      </c>
      <c r="Y667" t="s">
        <v>68</v>
      </c>
      <c r="Z667" t="str">
        <f t="shared" si="140"/>
        <v>Unique</v>
      </c>
      <c r="AA667" t="str">
        <f t="shared" si="141"/>
        <v>Unique</v>
      </c>
      <c r="AB667" t="str">
        <f t="shared" si="145"/>
        <v>OK</v>
      </c>
      <c r="AC667">
        <f t="shared" si="146"/>
        <v>0.1</v>
      </c>
      <c r="AD667" t="str">
        <f t="shared" si="147"/>
        <v>OK</v>
      </c>
      <c r="AE667">
        <f t="shared" si="148"/>
        <v>5698.4039999999995</v>
      </c>
      <c r="AF667">
        <f t="shared" si="149"/>
        <v>2057.5139999999997</v>
      </c>
      <c r="AG667">
        <f t="shared" si="150"/>
        <v>0.36106846759197836</v>
      </c>
      <c r="AH667" t="str">
        <f t="shared" si="142"/>
        <v>January</v>
      </c>
      <c r="AI667">
        <f t="shared" si="143"/>
        <v>2025</v>
      </c>
      <c r="AJ667" t="str">
        <f t="shared" si="151"/>
        <v>OK</v>
      </c>
      <c r="AK667" t="str">
        <f t="shared" si="152"/>
        <v>OK</v>
      </c>
      <c r="AL667" t="str">
        <f t="shared" si="153"/>
        <v>Exclude</v>
      </c>
      <c r="AM667" t="str">
        <f t="shared" si="144"/>
        <v>Clean</v>
      </c>
    </row>
    <row r="668" spans="1:39">
      <c r="A668" t="s">
        <v>2084</v>
      </c>
      <c r="B668" s="4">
        <v>45464</v>
      </c>
      <c r="C668" s="4">
        <v>45469</v>
      </c>
      <c r="D668" s="6">
        <v>5</v>
      </c>
      <c r="E668" t="s">
        <v>2788</v>
      </c>
      <c r="F668" t="s">
        <v>2788</v>
      </c>
      <c r="G668" t="s">
        <v>2788</v>
      </c>
      <c r="H668" t="s">
        <v>2085</v>
      </c>
      <c r="I668" t="s">
        <v>141</v>
      </c>
      <c r="J668" t="s">
        <v>37</v>
      </c>
      <c r="K668" t="s">
        <v>25</v>
      </c>
      <c r="L668" t="s">
        <v>122</v>
      </c>
      <c r="M668" t="s">
        <v>123</v>
      </c>
      <c r="N668" t="s">
        <v>74</v>
      </c>
      <c r="O668" t="s">
        <v>80</v>
      </c>
      <c r="P668" t="s">
        <v>2086</v>
      </c>
      <c r="Q668" t="s">
        <v>44</v>
      </c>
      <c r="R668">
        <v>1</v>
      </c>
      <c r="S668">
        <v>279.83</v>
      </c>
      <c r="T668">
        <v>0.05</v>
      </c>
      <c r="U668">
        <v>265.83999999999997</v>
      </c>
      <c r="V668">
        <v>223.49</v>
      </c>
      <c r="W668">
        <v>42.35</v>
      </c>
      <c r="X668" t="s">
        <v>32</v>
      </c>
      <c r="Y668" t="s">
        <v>33</v>
      </c>
      <c r="Z668" t="str">
        <f t="shared" si="140"/>
        <v>Unique</v>
      </c>
      <c r="AA668" t="str">
        <f t="shared" si="141"/>
        <v>Unique</v>
      </c>
      <c r="AB668" t="str">
        <f t="shared" si="145"/>
        <v>OK</v>
      </c>
      <c r="AC668">
        <f t="shared" si="146"/>
        <v>0.05</v>
      </c>
      <c r="AD668" t="str">
        <f t="shared" si="147"/>
        <v>OK</v>
      </c>
      <c r="AE668">
        <f t="shared" si="148"/>
        <v>265.83849999999995</v>
      </c>
      <c r="AF668">
        <f t="shared" si="149"/>
        <v>42.348499999999945</v>
      </c>
      <c r="AG668">
        <f t="shared" si="150"/>
        <v>0.15930160605028976</v>
      </c>
      <c r="AH668" t="str">
        <f t="shared" si="142"/>
        <v>June</v>
      </c>
      <c r="AI668">
        <f t="shared" si="143"/>
        <v>2024</v>
      </c>
      <c r="AJ668" t="str">
        <f t="shared" si="151"/>
        <v>OK</v>
      </c>
      <c r="AK668" t="str">
        <f t="shared" si="152"/>
        <v>OK</v>
      </c>
      <c r="AL668" t="str">
        <f t="shared" si="153"/>
        <v>Include</v>
      </c>
      <c r="AM668" t="str">
        <f t="shared" si="144"/>
        <v>Clean</v>
      </c>
    </row>
    <row r="669" spans="1:39">
      <c r="A669" t="s">
        <v>2087</v>
      </c>
      <c r="B669" s="4">
        <v>45797</v>
      </c>
      <c r="C669" s="4">
        <v>45804</v>
      </c>
      <c r="D669" s="6">
        <v>7</v>
      </c>
      <c r="E669" t="s">
        <v>2788</v>
      </c>
      <c r="F669" t="s">
        <v>2788</v>
      </c>
      <c r="G669" t="s">
        <v>2788</v>
      </c>
      <c r="H669" t="s">
        <v>2088</v>
      </c>
      <c r="I669" t="s">
        <v>162</v>
      </c>
      <c r="J669" t="s">
        <v>37</v>
      </c>
      <c r="K669" t="s">
        <v>38</v>
      </c>
      <c r="L669" t="s">
        <v>145</v>
      </c>
      <c r="M669" t="s">
        <v>146</v>
      </c>
      <c r="N669" t="s">
        <v>74</v>
      </c>
      <c r="O669" t="s">
        <v>274</v>
      </c>
      <c r="P669" t="s">
        <v>2089</v>
      </c>
      <c r="Q669" t="s">
        <v>59</v>
      </c>
      <c r="R669">
        <v>1</v>
      </c>
      <c r="S669">
        <v>3959.14</v>
      </c>
      <c r="T669">
        <v>0</v>
      </c>
      <c r="U669">
        <v>3959.14</v>
      </c>
      <c r="V669">
        <v>3239.53</v>
      </c>
      <c r="W669">
        <v>719.61</v>
      </c>
      <c r="X669" t="s">
        <v>111</v>
      </c>
      <c r="Y669" t="s">
        <v>103</v>
      </c>
      <c r="Z669" t="str">
        <f t="shared" si="140"/>
        <v>Unique</v>
      </c>
      <c r="AA669" t="str">
        <f t="shared" si="141"/>
        <v>Unique</v>
      </c>
      <c r="AB669" t="str">
        <f t="shared" si="145"/>
        <v>OK</v>
      </c>
      <c r="AC669">
        <f t="shared" si="146"/>
        <v>0</v>
      </c>
      <c r="AD669" t="str">
        <f t="shared" si="147"/>
        <v>OK</v>
      </c>
      <c r="AE669">
        <f t="shared" si="148"/>
        <v>3959.14</v>
      </c>
      <c r="AF669">
        <f t="shared" si="149"/>
        <v>719.60999999999967</v>
      </c>
      <c r="AG669">
        <f t="shared" si="150"/>
        <v>0.18175916992074029</v>
      </c>
      <c r="AH669" t="str">
        <f t="shared" si="142"/>
        <v>May</v>
      </c>
      <c r="AI669">
        <f t="shared" si="143"/>
        <v>2025</v>
      </c>
      <c r="AJ669" t="str">
        <f t="shared" si="151"/>
        <v>OK</v>
      </c>
      <c r="AK669" t="str">
        <f t="shared" si="152"/>
        <v>OK</v>
      </c>
      <c r="AL669" t="str">
        <f t="shared" si="153"/>
        <v>Exclude</v>
      </c>
      <c r="AM669" t="str">
        <f t="shared" si="144"/>
        <v>Clean</v>
      </c>
    </row>
    <row r="670" spans="1:39">
      <c r="A670" t="s">
        <v>2090</v>
      </c>
      <c r="B670" s="4">
        <v>45617</v>
      </c>
      <c r="C670" s="4">
        <v>45619</v>
      </c>
      <c r="D670" s="6">
        <v>2</v>
      </c>
      <c r="E670" t="s">
        <v>2788</v>
      </c>
      <c r="F670" t="s">
        <v>2788</v>
      </c>
      <c r="G670" t="s">
        <v>2788</v>
      </c>
      <c r="H670" t="s">
        <v>2091</v>
      </c>
      <c r="I670" t="s">
        <v>36</v>
      </c>
      <c r="J670" t="s">
        <v>90</v>
      </c>
      <c r="K670" t="s">
        <v>63</v>
      </c>
      <c r="L670" t="s">
        <v>180</v>
      </c>
      <c r="M670" t="s">
        <v>181</v>
      </c>
      <c r="N670" t="s">
        <v>28</v>
      </c>
      <c r="O670" t="s">
        <v>29</v>
      </c>
      <c r="P670" t="s">
        <v>2092</v>
      </c>
      <c r="Q670" t="s">
        <v>31</v>
      </c>
      <c r="R670">
        <v>5</v>
      </c>
      <c r="S670">
        <v>600.46</v>
      </c>
      <c r="T670">
        <v>0.2</v>
      </c>
      <c r="U670">
        <v>2401.84</v>
      </c>
      <c r="V670">
        <v>1873.11</v>
      </c>
      <c r="W670">
        <v>528.73</v>
      </c>
      <c r="X670" t="s">
        <v>32</v>
      </c>
      <c r="Y670" t="s">
        <v>33</v>
      </c>
      <c r="Z670" t="str">
        <f t="shared" si="140"/>
        <v>Unique</v>
      </c>
      <c r="AA670" t="str">
        <f t="shared" si="141"/>
        <v>Unique</v>
      </c>
      <c r="AB670" t="str">
        <f t="shared" si="145"/>
        <v>OK</v>
      </c>
      <c r="AC670">
        <f t="shared" si="146"/>
        <v>0.2</v>
      </c>
      <c r="AD670" t="str">
        <f t="shared" si="147"/>
        <v>OK</v>
      </c>
      <c r="AE670">
        <f t="shared" si="148"/>
        <v>2401.84</v>
      </c>
      <c r="AF670">
        <f t="shared" si="149"/>
        <v>528.73000000000025</v>
      </c>
      <c r="AG670">
        <f t="shared" si="150"/>
        <v>0.22013539619624964</v>
      </c>
      <c r="AH670" t="str">
        <f t="shared" si="142"/>
        <v>November</v>
      </c>
      <c r="AI670">
        <f t="shared" si="143"/>
        <v>2024</v>
      </c>
      <c r="AJ670" t="str">
        <f t="shared" si="151"/>
        <v>OK</v>
      </c>
      <c r="AK670" t="str">
        <f t="shared" si="152"/>
        <v>OK</v>
      </c>
      <c r="AL670" t="str">
        <f t="shared" si="153"/>
        <v>Include</v>
      </c>
      <c r="AM670" t="str">
        <f t="shared" si="144"/>
        <v>Clean</v>
      </c>
    </row>
    <row r="671" spans="1:39">
      <c r="A671" t="s">
        <v>2093</v>
      </c>
      <c r="B671" s="4">
        <v>45375</v>
      </c>
      <c r="C671" s="4">
        <v>45383</v>
      </c>
      <c r="D671" s="6">
        <v>8</v>
      </c>
      <c r="E671" t="s">
        <v>2788</v>
      </c>
      <c r="F671" t="s">
        <v>2788</v>
      </c>
      <c r="G671" t="s">
        <v>2788</v>
      </c>
      <c r="H671" t="s">
        <v>2094</v>
      </c>
      <c r="I671" t="s">
        <v>62</v>
      </c>
      <c r="J671" t="s">
        <v>95</v>
      </c>
      <c r="K671" t="s">
        <v>63</v>
      </c>
      <c r="L671" t="s">
        <v>64</v>
      </c>
      <c r="M671" t="s">
        <v>65</v>
      </c>
      <c r="N671" t="s">
        <v>41</v>
      </c>
      <c r="O671" t="s">
        <v>42</v>
      </c>
      <c r="P671" t="s">
        <v>2095</v>
      </c>
      <c r="Q671" t="s">
        <v>31</v>
      </c>
      <c r="R671">
        <v>4</v>
      </c>
      <c r="S671">
        <v>1700.72</v>
      </c>
      <c r="T671">
        <v>0.25</v>
      </c>
      <c r="U671">
        <v>5102.16</v>
      </c>
      <c r="V671">
        <v>3226.45</v>
      </c>
      <c r="W671">
        <v>1875.71</v>
      </c>
      <c r="X671" t="s">
        <v>32</v>
      </c>
      <c r="Y671" t="s">
        <v>33</v>
      </c>
      <c r="Z671" t="str">
        <f t="shared" si="140"/>
        <v>Unique</v>
      </c>
      <c r="AA671" t="str">
        <f t="shared" si="141"/>
        <v>Unique</v>
      </c>
      <c r="AB671" t="str">
        <f t="shared" si="145"/>
        <v>OK</v>
      </c>
      <c r="AC671">
        <f t="shared" si="146"/>
        <v>0.25</v>
      </c>
      <c r="AD671" t="str">
        <f t="shared" si="147"/>
        <v>OK</v>
      </c>
      <c r="AE671">
        <f t="shared" si="148"/>
        <v>5102.16</v>
      </c>
      <c r="AF671">
        <f t="shared" si="149"/>
        <v>1875.71</v>
      </c>
      <c r="AG671">
        <f t="shared" si="150"/>
        <v>0.36763057214983458</v>
      </c>
      <c r="AH671" t="str">
        <f t="shared" si="142"/>
        <v>March</v>
      </c>
      <c r="AI671">
        <f t="shared" si="143"/>
        <v>2024</v>
      </c>
      <c r="AJ671" t="str">
        <f t="shared" si="151"/>
        <v>OK</v>
      </c>
      <c r="AK671" t="str">
        <f t="shared" si="152"/>
        <v>OK</v>
      </c>
      <c r="AL671" t="str">
        <f t="shared" si="153"/>
        <v>Include</v>
      </c>
      <c r="AM671" t="str">
        <f t="shared" si="144"/>
        <v>Clean</v>
      </c>
    </row>
    <row r="672" spans="1:39">
      <c r="A672" t="s">
        <v>2096</v>
      </c>
      <c r="B672" s="4">
        <v>45690</v>
      </c>
      <c r="C672" s="4">
        <v>45694</v>
      </c>
      <c r="D672" s="6">
        <v>4</v>
      </c>
      <c r="E672" t="s">
        <v>2788</v>
      </c>
      <c r="F672" t="s">
        <v>2788</v>
      </c>
      <c r="G672" t="s">
        <v>2788</v>
      </c>
      <c r="H672" t="s">
        <v>1598</v>
      </c>
      <c r="I672" t="s">
        <v>132</v>
      </c>
      <c r="J672" t="s">
        <v>90</v>
      </c>
      <c r="K672" t="s">
        <v>25</v>
      </c>
      <c r="L672" t="s">
        <v>136</v>
      </c>
      <c r="M672" t="s">
        <v>137</v>
      </c>
      <c r="N672" t="s">
        <v>41</v>
      </c>
      <c r="O672" t="s">
        <v>42</v>
      </c>
      <c r="P672" t="s">
        <v>2097</v>
      </c>
      <c r="Q672" t="s">
        <v>59</v>
      </c>
      <c r="R672">
        <v>8</v>
      </c>
      <c r="S672">
        <v>857.86</v>
      </c>
      <c r="T672">
        <v>0.1</v>
      </c>
      <c r="U672">
        <v>6176.59</v>
      </c>
      <c r="V672">
        <v>3560.96</v>
      </c>
      <c r="W672">
        <v>2615.63</v>
      </c>
      <c r="X672" t="s">
        <v>32</v>
      </c>
      <c r="Y672" t="s">
        <v>33</v>
      </c>
      <c r="Z672" t="str">
        <f t="shared" si="140"/>
        <v>Unique</v>
      </c>
      <c r="AA672" t="str">
        <f t="shared" si="141"/>
        <v>Unique</v>
      </c>
      <c r="AB672" t="str">
        <f t="shared" si="145"/>
        <v>OK</v>
      </c>
      <c r="AC672">
        <f t="shared" si="146"/>
        <v>0.1</v>
      </c>
      <c r="AD672" t="str">
        <f t="shared" si="147"/>
        <v>OK</v>
      </c>
      <c r="AE672">
        <f t="shared" si="148"/>
        <v>6176.5920000000006</v>
      </c>
      <c r="AF672">
        <f t="shared" si="149"/>
        <v>2615.6320000000005</v>
      </c>
      <c r="AG672">
        <f t="shared" si="150"/>
        <v>0.42347495188285067</v>
      </c>
      <c r="AH672" t="str">
        <f t="shared" si="142"/>
        <v>February</v>
      </c>
      <c r="AI672">
        <f t="shared" si="143"/>
        <v>2025</v>
      </c>
      <c r="AJ672" t="str">
        <f t="shared" si="151"/>
        <v>OK</v>
      </c>
      <c r="AK672" t="str">
        <f t="shared" si="152"/>
        <v>OK</v>
      </c>
      <c r="AL672" t="str">
        <f t="shared" si="153"/>
        <v>Include</v>
      </c>
      <c r="AM672" t="str">
        <f t="shared" si="144"/>
        <v>Clean</v>
      </c>
    </row>
    <row r="673" spans="1:39">
      <c r="A673" t="s">
        <v>2098</v>
      </c>
      <c r="B673" s="4">
        <v>45373</v>
      </c>
      <c r="C673" s="4">
        <v>45378</v>
      </c>
      <c r="D673" s="6">
        <v>5</v>
      </c>
      <c r="E673" t="s">
        <v>2788</v>
      </c>
      <c r="F673" t="s">
        <v>2788</v>
      </c>
      <c r="G673" t="s">
        <v>2788</v>
      </c>
      <c r="H673" t="s">
        <v>2099</v>
      </c>
      <c r="I673" t="s">
        <v>89</v>
      </c>
      <c r="J673" t="s">
        <v>95</v>
      </c>
      <c r="K673" t="s">
        <v>63</v>
      </c>
      <c r="L673" t="s">
        <v>190</v>
      </c>
      <c r="M673" t="s">
        <v>191</v>
      </c>
      <c r="N673" t="s">
        <v>74</v>
      </c>
      <c r="O673" t="s">
        <v>80</v>
      </c>
      <c r="P673" t="s">
        <v>2100</v>
      </c>
      <c r="Q673" t="s">
        <v>31</v>
      </c>
      <c r="R673">
        <v>9</v>
      </c>
      <c r="S673">
        <v>3649.51</v>
      </c>
      <c r="T673">
        <v>0.05</v>
      </c>
      <c r="U673">
        <v>31203.31</v>
      </c>
      <c r="V673">
        <v>17738.13</v>
      </c>
      <c r="W673">
        <v>13465.18</v>
      </c>
      <c r="X673" t="s">
        <v>32</v>
      </c>
      <c r="Y673" t="s">
        <v>33</v>
      </c>
      <c r="Z673" t="str">
        <f t="shared" si="140"/>
        <v>Unique</v>
      </c>
      <c r="AA673" t="str">
        <f t="shared" si="141"/>
        <v>Unique</v>
      </c>
      <c r="AB673" t="str">
        <f t="shared" si="145"/>
        <v>OK</v>
      </c>
      <c r="AC673">
        <f t="shared" si="146"/>
        <v>0.05</v>
      </c>
      <c r="AD673" t="str">
        <f t="shared" si="147"/>
        <v>OK</v>
      </c>
      <c r="AE673">
        <f t="shared" si="148"/>
        <v>31203.310500000003</v>
      </c>
      <c r="AF673">
        <f t="shared" si="149"/>
        <v>13465.180500000002</v>
      </c>
      <c r="AG673">
        <f t="shared" si="150"/>
        <v>0.43153051020019179</v>
      </c>
      <c r="AH673" t="str">
        <f t="shared" si="142"/>
        <v>March</v>
      </c>
      <c r="AI673">
        <f t="shared" si="143"/>
        <v>2024</v>
      </c>
      <c r="AJ673" t="str">
        <f t="shared" si="151"/>
        <v>OK</v>
      </c>
      <c r="AK673" t="str">
        <f t="shared" si="152"/>
        <v>OK</v>
      </c>
      <c r="AL673" t="str">
        <f t="shared" si="153"/>
        <v>Include</v>
      </c>
      <c r="AM673" t="str">
        <f t="shared" si="144"/>
        <v>Clean</v>
      </c>
    </row>
    <row r="674" spans="1:39">
      <c r="A674" t="s">
        <v>2101</v>
      </c>
      <c r="B674" s="4">
        <v>45539</v>
      </c>
      <c r="C674" s="4">
        <v>45540</v>
      </c>
      <c r="D674" s="6">
        <v>1</v>
      </c>
      <c r="E674" t="s">
        <v>2788</v>
      </c>
      <c r="F674" t="s">
        <v>2788</v>
      </c>
      <c r="G674" t="s">
        <v>2788</v>
      </c>
      <c r="H674" t="s">
        <v>2102</v>
      </c>
      <c r="I674" t="s">
        <v>89</v>
      </c>
      <c r="J674" t="s">
        <v>90</v>
      </c>
      <c r="K674" t="s">
        <v>63</v>
      </c>
      <c r="L674" t="s">
        <v>72</v>
      </c>
      <c r="M674" t="s">
        <v>73</v>
      </c>
      <c r="N674" t="s">
        <v>41</v>
      </c>
      <c r="O674" t="s">
        <v>66</v>
      </c>
      <c r="P674" t="s">
        <v>2103</v>
      </c>
      <c r="Q674" t="s">
        <v>59</v>
      </c>
      <c r="R674">
        <v>5</v>
      </c>
      <c r="S674">
        <v>2528.5300000000002</v>
      </c>
      <c r="T674">
        <v>0.05</v>
      </c>
      <c r="U674">
        <v>12010.52</v>
      </c>
      <c r="V674">
        <v>7864.61</v>
      </c>
      <c r="W674">
        <v>4145.91</v>
      </c>
      <c r="X674" t="s">
        <v>32</v>
      </c>
      <c r="Y674" t="s">
        <v>103</v>
      </c>
      <c r="Z674" t="str">
        <f t="shared" si="140"/>
        <v>Unique</v>
      </c>
      <c r="AA674" t="str">
        <f t="shared" si="141"/>
        <v>Unique</v>
      </c>
      <c r="AB674" t="str">
        <f t="shared" si="145"/>
        <v>OK</v>
      </c>
      <c r="AC674">
        <f t="shared" si="146"/>
        <v>0.05</v>
      </c>
      <c r="AD674" t="str">
        <f t="shared" si="147"/>
        <v>OK</v>
      </c>
      <c r="AE674">
        <f t="shared" si="148"/>
        <v>12010.5175</v>
      </c>
      <c r="AF674">
        <f t="shared" si="149"/>
        <v>4145.9075000000003</v>
      </c>
      <c r="AG674">
        <f t="shared" si="150"/>
        <v>0.34518974723612039</v>
      </c>
      <c r="AH674" t="str">
        <f t="shared" si="142"/>
        <v>September</v>
      </c>
      <c r="AI674">
        <f t="shared" si="143"/>
        <v>2024</v>
      </c>
      <c r="AJ674" t="str">
        <f t="shared" si="151"/>
        <v>OK</v>
      </c>
      <c r="AK674" t="str">
        <f t="shared" si="152"/>
        <v>OK</v>
      </c>
      <c r="AL674" t="str">
        <f t="shared" si="153"/>
        <v>Exclude</v>
      </c>
      <c r="AM674" t="str">
        <f t="shared" si="144"/>
        <v>Clean</v>
      </c>
    </row>
    <row r="675" spans="1:39">
      <c r="A675" t="s">
        <v>2104</v>
      </c>
      <c r="B675" s="4">
        <v>45701</v>
      </c>
      <c r="C675" s="4">
        <v>45704</v>
      </c>
      <c r="D675" s="6">
        <v>3</v>
      </c>
      <c r="E675" t="s">
        <v>2788</v>
      </c>
      <c r="F675" t="s">
        <v>2788</v>
      </c>
      <c r="G675" t="s">
        <v>2788</v>
      </c>
      <c r="H675" t="s">
        <v>2105</v>
      </c>
      <c r="I675" t="s">
        <v>53</v>
      </c>
      <c r="J675" t="s">
        <v>37</v>
      </c>
      <c r="K675" t="s">
        <v>63</v>
      </c>
      <c r="L675" t="s">
        <v>26</v>
      </c>
      <c r="M675" t="s">
        <v>109</v>
      </c>
      <c r="N675" t="s">
        <v>41</v>
      </c>
      <c r="O675" t="s">
        <v>158</v>
      </c>
      <c r="P675" t="s">
        <v>2106</v>
      </c>
      <c r="Q675" t="s">
        <v>31</v>
      </c>
      <c r="R675">
        <v>4</v>
      </c>
      <c r="S675">
        <v>4072.9</v>
      </c>
      <c r="T675">
        <v>0.15</v>
      </c>
      <c r="U675">
        <v>13847.86</v>
      </c>
      <c r="V675">
        <v>8471.7800000000007</v>
      </c>
      <c r="W675">
        <v>5376.08</v>
      </c>
      <c r="X675" t="s">
        <v>32</v>
      </c>
      <c r="Y675" t="s">
        <v>33</v>
      </c>
      <c r="Z675" t="str">
        <f t="shared" si="140"/>
        <v>Unique</v>
      </c>
      <c r="AA675" t="str">
        <f t="shared" si="141"/>
        <v>Unique</v>
      </c>
      <c r="AB675" t="str">
        <f t="shared" si="145"/>
        <v>OK</v>
      </c>
      <c r="AC675">
        <f t="shared" si="146"/>
        <v>0.15</v>
      </c>
      <c r="AD675" t="str">
        <f t="shared" si="147"/>
        <v>OK</v>
      </c>
      <c r="AE675">
        <f t="shared" si="148"/>
        <v>13847.86</v>
      </c>
      <c r="AF675">
        <f t="shared" si="149"/>
        <v>5376.08</v>
      </c>
      <c r="AG675">
        <f t="shared" si="150"/>
        <v>0.38822460654570451</v>
      </c>
      <c r="AH675" t="str">
        <f t="shared" si="142"/>
        <v>February</v>
      </c>
      <c r="AI675">
        <f t="shared" si="143"/>
        <v>2025</v>
      </c>
      <c r="AJ675" t="str">
        <f t="shared" si="151"/>
        <v>OK</v>
      </c>
      <c r="AK675" t="str">
        <f t="shared" si="152"/>
        <v>OK</v>
      </c>
      <c r="AL675" t="str">
        <f t="shared" si="153"/>
        <v>Include</v>
      </c>
      <c r="AM675" t="str">
        <f t="shared" si="144"/>
        <v>Clean</v>
      </c>
    </row>
    <row r="676" spans="1:39">
      <c r="A676" t="s">
        <v>2107</v>
      </c>
      <c r="B676" s="4">
        <v>45430</v>
      </c>
      <c r="C676" s="4">
        <v>45433</v>
      </c>
      <c r="D676" s="6">
        <v>3</v>
      </c>
      <c r="E676" t="s">
        <v>2788</v>
      </c>
      <c r="F676" t="s">
        <v>2788</v>
      </c>
      <c r="G676" t="s">
        <v>2788</v>
      </c>
      <c r="H676" t="s">
        <v>2108</v>
      </c>
      <c r="I676" t="s">
        <v>71</v>
      </c>
      <c r="J676" t="s">
        <v>90</v>
      </c>
      <c r="K676" t="s">
        <v>38</v>
      </c>
      <c r="L676" t="s">
        <v>228</v>
      </c>
      <c r="M676" t="s">
        <v>229</v>
      </c>
      <c r="N676" t="s">
        <v>74</v>
      </c>
      <c r="O676" t="s">
        <v>75</v>
      </c>
      <c r="P676" t="s">
        <v>2109</v>
      </c>
      <c r="Q676" t="s">
        <v>31</v>
      </c>
      <c r="R676">
        <v>1</v>
      </c>
      <c r="S676">
        <v>1033.71</v>
      </c>
      <c r="T676">
        <v>0</v>
      </c>
      <c r="U676">
        <v>1033.71</v>
      </c>
      <c r="V676">
        <v>630.82000000000005</v>
      </c>
      <c r="W676">
        <v>402.89</v>
      </c>
      <c r="X676" t="s">
        <v>111</v>
      </c>
      <c r="Y676" t="s">
        <v>103</v>
      </c>
      <c r="Z676" t="str">
        <f t="shared" si="140"/>
        <v>Unique</v>
      </c>
      <c r="AA676" t="str">
        <f t="shared" si="141"/>
        <v>Unique</v>
      </c>
      <c r="AB676" t="str">
        <f t="shared" si="145"/>
        <v>OK</v>
      </c>
      <c r="AC676">
        <f t="shared" si="146"/>
        <v>0</v>
      </c>
      <c r="AD676" t="str">
        <f t="shared" si="147"/>
        <v>OK</v>
      </c>
      <c r="AE676">
        <f t="shared" si="148"/>
        <v>1033.71</v>
      </c>
      <c r="AF676">
        <f t="shared" si="149"/>
        <v>402.89</v>
      </c>
      <c r="AG676">
        <f t="shared" si="150"/>
        <v>0.38975147768716562</v>
      </c>
      <c r="AH676" t="str">
        <f t="shared" si="142"/>
        <v>May</v>
      </c>
      <c r="AI676">
        <f t="shared" si="143"/>
        <v>2024</v>
      </c>
      <c r="AJ676" t="str">
        <f t="shared" si="151"/>
        <v>OK</v>
      </c>
      <c r="AK676" t="str">
        <f t="shared" si="152"/>
        <v>OK</v>
      </c>
      <c r="AL676" t="str">
        <f t="shared" si="153"/>
        <v>Exclude</v>
      </c>
      <c r="AM676" t="str">
        <f t="shared" si="144"/>
        <v>Clean</v>
      </c>
    </row>
    <row r="677" spans="1:39">
      <c r="A677" t="s">
        <v>2110</v>
      </c>
      <c r="B677" s="4">
        <v>45815</v>
      </c>
      <c r="C677" s="4">
        <v>45818</v>
      </c>
      <c r="D677" s="6">
        <v>3</v>
      </c>
      <c r="E677" t="s">
        <v>2788</v>
      </c>
      <c r="F677" t="s">
        <v>2788</v>
      </c>
      <c r="G677" t="s">
        <v>2788</v>
      </c>
      <c r="H677" t="s">
        <v>2011</v>
      </c>
      <c r="I677" t="s">
        <v>128</v>
      </c>
      <c r="J677" t="s">
        <v>24</v>
      </c>
      <c r="K677" t="s">
        <v>25</v>
      </c>
      <c r="L677" t="s">
        <v>26</v>
      </c>
      <c r="M677" t="s">
        <v>27</v>
      </c>
      <c r="N677" t="s">
        <v>41</v>
      </c>
      <c r="O677" t="s">
        <v>57</v>
      </c>
      <c r="P677" t="s">
        <v>2111</v>
      </c>
      <c r="Q677" t="s">
        <v>44</v>
      </c>
      <c r="R677">
        <v>3</v>
      </c>
      <c r="S677">
        <v>963.26</v>
      </c>
      <c r="T677">
        <v>0</v>
      </c>
      <c r="U677">
        <v>2889.78</v>
      </c>
      <c r="V677">
        <v>1811.23</v>
      </c>
      <c r="W677">
        <v>1078.55</v>
      </c>
      <c r="X677" t="s">
        <v>32</v>
      </c>
      <c r="Y677" t="s">
        <v>33</v>
      </c>
      <c r="Z677" t="str">
        <f t="shared" si="140"/>
        <v>Unique</v>
      </c>
      <c r="AA677" t="str">
        <f t="shared" si="141"/>
        <v>Unique</v>
      </c>
      <c r="AB677" t="str">
        <f t="shared" si="145"/>
        <v>OK</v>
      </c>
      <c r="AC677">
        <f t="shared" si="146"/>
        <v>0</v>
      </c>
      <c r="AD677" t="str">
        <f t="shared" si="147"/>
        <v>OK</v>
      </c>
      <c r="AE677">
        <f t="shared" si="148"/>
        <v>2889.7799999999997</v>
      </c>
      <c r="AF677">
        <f t="shared" si="149"/>
        <v>1078.5499999999997</v>
      </c>
      <c r="AG677">
        <f t="shared" si="150"/>
        <v>0.37322910394562903</v>
      </c>
      <c r="AH677" t="str">
        <f t="shared" si="142"/>
        <v>June</v>
      </c>
      <c r="AI677">
        <f t="shared" si="143"/>
        <v>2025</v>
      </c>
      <c r="AJ677" t="str">
        <f t="shared" si="151"/>
        <v>OK</v>
      </c>
      <c r="AK677" t="str">
        <f t="shared" si="152"/>
        <v>OK</v>
      </c>
      <c r="AL677" t="str">
        <f t="shared" si="153"/>
        <v>Include</v>
      </c>
      <c r="AM677" t="str">
        <f t="shared" si="144"/>
        <v>Clean</v>
      </c>
    </row>
    <row r="678" spans="1:39">
      <c r="A678" t="s">
        <v>2112</v>
      </c>
      <c r="B678" s="4">
        <v>45911</v>
      </c>
      <c r="C678" s="4">
        <v>45918</v>
      </c>
      <c r="D678" s="6">
        <v>7</v>
      </c>
      <c r="E678" t="s">
        <v>2788</v>
      </c>
      <c r="F678" t="s">
        <v>2788</v>
      </c>
      <c r="G678" t="s">
        <v>2788</v>
      </c>
      <c r="H678" t="s">
        <v>2113</v>
      </c>
      <c r="I678" t="s">
        <v>118</v>
      </c>
      <c r="J678" t="s">
        <v>37</v>
      </c>
      <c r="K678" t="s">
        <v>25</v>
      </c>
      <c r="L678" t="s">
        <v>350</v>
      </c>
      <c r="M678" t="s">
        <v>351</v>
      </c>
      <c r="N678" t="s">
        <v>74</v>
      </c>
      <c r="O678" t="s">
        <v>171</v>
      </c>
      <c r="P678" t="s">
        <v>2114</v>
      </c>
      <c r="Q678" t="s">
        <v>44</v>
      </c>
      <c r="R678">
        <v>7</v>
      </c>
      <c r="S678">
        <v>3411.21</v>
      </c>
      <c r="T678">
        <v>0.15</v>
      </c>
      <c r="U678">
        <v>20296.7</v>
      </c>
      <c r="V678">
        <v>14920.87</v>
      </c>
      <c r="W678">
        <v>5375.83</v>
      </c>
      <c r="X678" t="s">
        <v>32</v>
      </c>
      <c r="Y678" t="s">
        <v>33</v>
      </c>
      <c r="Z678" t="str">
        <f t="shared" si="140"/>
        <v>Exact Duplicate</v>
      </c>
      <c r="AA678" t="str">
        <f t="shared" si="141"/>
        <v>Duplicate Order ID</v>
      </c>
      <c r="AB678" t="str">
        <f t="shared" si="145"/>
        <v>OK</v>
      </c>
      <c r="AC678">
        <f t="shared" si="146"/>
        <v>0.15</v>
      </c>
      <c r="AD678" t="str">
        <f t="shared" si="147"/>
        <v>OK</v>
      </c>
      <c r="AE678">
        <f t="shared" si="148"/>
        <v>20296.699499999999</v>
      </c>
      <c r="AF678">
        <f t="shared" si="149"/>
        <v>5375.829499999998</v>
      </c>
      <c r="AG678">
        <f t="shared" si="150"/>
        <v>0.26486225014071862</v>
      </c>
      <c r="AH678" t="str">
        <f t="shared" si="142"/>
        <v>September</v>
      </c>
      <c r="AI678">
        <f t="shared" si="143"/>
        <v>2025</v>
      </c>
      <c r="AJ678" t="str">
        <f t="shared" si="151"/>
        <v>OK</v>
      </c>
      <c r="AK678" t="str">
        <f t="shared" si="152"/>
        <v>OK</v>
      </c>
      <c r="AL678" t="str">
        <f t="shared" si="153"/>
        <v>Include</v>
      </c>
      <c r="AM678" t="str">
        <f t="shared" si="144"/>
        <v>Clean</v>
      </c>
    </row>
    <row r="679" spans="1:39">
      <c r="A679" t="s">
        <v>2115</v>
      </c>
      <c r="B679" s="4">
        <v>45465</v>
      </c>
      <c r="C679" s="4">
        <v>45470</v>
      </c>
      <c r="D679" s="6">
        <v>5</v>
      </c>
      <c r="E679" t="s">
        <v>2788</v>
      </c>
      <c r="F679" t="s">
        <v>2788</v>
      </c>
      <c r="G679" t="s">
        <v>2788</v>
      </c>
      <c r="H679" t="s">
        <v>22</v>
      </c>
      <c r="I679" t="s">
        <v>47</v>
      </c>
      <c r="J679" t="s">
        <v>95</v>
      </c>
      <c r="K679" t="s">
        <v>54</v>
      </c>
      <c r="L679" t="s">
        <v>175</v>
      </c>
      <c r="M679" t="s">
        <v>176</v>
      </c>
      <c r="N679" t="s">
        <v>41</v>
      </c>
      <c r="O679" t="s">
        <v>66</v>
      </c>
      <c r="P679" t="s">
        <v>2116</v>
      </c>
      <c r="Q679" t="s">
        <v>44</v>
      </c>
      <c r="R679">
        <v>7</v>
      </c>
      <c r="S679">
        <v>2623.48</v>
      </c>
      <c r="T679">
        <v>0</v>
      </c>
      <c r="U679">
        <v>18364.36</v>
      </c>
      <c r="V679">
        <v>15445.81</v>
      </c>
      <c r="W679">
        <v>2918.55</v>
      </c>
      <c r="X679" t="s">
        <v>32</v>
      </c>
      <c r="Y679" t="s">
        <v>33</v>
      </c>
      <c r="Z679" t="str">
        <f t="shared" si="140"/>
        <v>Unique</v>
      </c>
      <c r="AA679" t="str">
        <f t="shared" si="141"/>
        <v>Unique</v>
      </c>
      <c r="AB679" t="str">
        <f t="shared" si="145"/>
        <v>OK</v>
      </c>
      <c r="AC679">
        <f t="shared" si="146"/>
        <v>0</v>
      </c>
      <c r="AD679" t="str">
        <f t="shared" si="147"/>
        <v>OK</v>
      </c>
      <c r="AE679">
        <f t="shared" si="148"/>
        <v>18364.36</v>
      </c>
      <c r="AF679">
        <f t="shared" si="149"/>
        <v>2918.5500000000011</v>
      </c>
      <c r="AG679">
        <f t="shared" si="150"/>
        <v>0.15892467801763857</v>
      </c>
      <c r="AH679" t="str">
        <f t="shared" si="142"/>
        <v>June</v>
      </c>
      <c r="AI679">
        <f t="shared" si="143"/>
        <v>2024</v>
      </c>
      <c r="AJ679" t="str">
        <f t="shared" si="151"/>
        <v>OK</v>
      </c>
      <c r="AK679" t="str">
        <f t="shared" si="152"/>
        <v>OK</v>
      </c>
      <c r="AL679" t="str">
        <f t="shared" si="153"/>
        <v>Include</v>
      </c>
      <c r="AM679" t="str">
        <f t="shared" si="144"/>
        <v>Clean</v>
      </c>
    </row>
    <row r="680" spans="1:39">
      <c r="A680" t="s">
        <v>2117</v>
      </c>
      <c r="B680" s="4">
        <v>45620</v>
      </c>
      <c r="C680" s="4">
        <v>45627</v>
      </c>
      <c r="D680" s="6">
        <v>7</v>
      </c>
      <c r="E680" t="s">
        <v>2788</v>
      </c>
      <c r="F680" t="s">
        <v>2788</v>
      </c>
      <c r="G680" t="s">
        <v>2788</v>
      </c>
      <c r="H680" t="s">
        <v>2118</v>
      </c>
      <c r="I680" t="s">
        <v>264</v>
      </c>
      <c r="J680" t="s">
        <v>90</v>
      </c>
      <c r="K680" t="s">
        <v>54</v>
      </c>
      <c r="L680" t="s">
        <v>175</v>
      </c>
      <c r="M680" t="s">
        <v>176</v>
      </c>
      <c r="N680" t="s">
        <v>41</v>
      </c>
      <c r="O680" t="s">
        <v>42</v>
      </c>
      <c r="P680" t="s">
        <v>2119</v>
      </c>
      <c r="Q680" t="s">
        <v>31</v>
      </c>
      <c r="R680">
        <v>9</v>
      </c>
      <c r="S680">
        <v>2763.61</v>
      </c>
      <c r="T680">
        <v>0.15</v>
      </c>
      <c r="U680">
        <v>21141.62</v>
      </c>
      <c r="V680">
        <v>11676.33</v>
      </c>
      <c r="W680">
        <v>9465.2900000000009</v>
      </c>
      <c r="X680" t="s">
        <v>32</v>
      </c>
      <c r="Y680" t="s">
        <v>33</v>
      </c>
      <c r="Z680" t="str">
        <f t="shared" si="140"/>
        <v>Unique</v>
      </c>
      <c r="AA680" t="str">
        <f t="shared" si="141"/>
        <v>Unique</v>
      </c>
      <c r="AB680" t="str">
        <f t="shared" si="145"/>
        <v>OK</v>
      </c>
      <c r="AC680">
        <f t="shared" si="146"/>
        <v>0.15</v>
      </c>
      <c r="AD680" t="str">
        <f t="shared" si="147"/>
        <v>OK</v>
      </c>
      <c r="AE680">
        <f t="shared" si="148"/>
        <v>21141.6165</v>
      </c>
      <c r="AF680">
        <f t="shared" si="149"/>
        <v>9465.2865000000002</v>
      </c>
      <c r="AG680">
        <f t="shared" si="150"/>
        <v>0.44770874071999178</v>
      </c>
      <c r="AH680" t="str">
        <f t="shared" si="142"/>
        <v>November</v>
      </c>
      <c r="AI680">
        <f t="shared" si="143"/>
        <v>2024</v>
      </c>
      <c r="AJ680" t="str">
        <f t="shared" si="151"/>
        <v>OK</v>
      </c>
      <c r="AK680" t="str">
        <f t="shared" si="152"/>
        <v>OK</v>
      </c>
      <c r="AL680" t="str">
        <f t="shared" si="153"/>
        <v>Include</v>
      </c>
      <c r="AM680" t="str">
        <f t="shared" si="144"/>
        <v>Clean</v>
      </c>
    </row>
    <row r="681" spans="1:39">
      <c r="A681" t="s">
        <v>2120</v>
      </c>
      <c r="B681" s="4">
        <v>45885</v>
      </c>
      <c r="C681" s="4">
        <v>45892</v>
      </c>
      <c r="D681" s="6">
        <v>7</v>
      </c>
      <c r="E681" t="s">
        <v>2788</v>
      </c>
      <c r="F681" t="s">
        <v>2788</v>
      </c>
      <c r="G681" t="s">
        <v>2788</v>
      </c>
      <c r="H681" t="s">
        <v>2121</v>
      </c>
      <c r="I681" t="s">
        <v>141</v>
      </c>
      <c r="J681" t="s">
        <v>90</v>
      </c>
      <c r="K681" t="s">
        <v>25</v>
      </c>
      <c r="L681" t="s">
        <v>122</v>
      </c>
      <c r="M681" t="s">
        <v>123</v>
      </c>
      <c r="N681" t="s">
        <v>74</v>
      </c>
      <c r="O681" t="s">
        <v>80</v>
      </c>
      <c r="P681" t="s">
        <v>2122</v>
      </c>
      <c r="Q681" t="s">
        <v>44</v>
      </c>
      <c r="R681">
        <v>4</v>
      </c>
      <c r="S681">
        <v>1410.57</v>
      </c>
      <c r="T681" t="s">
        <v>463</v>
      </c>
      <c r="U681">
        <v>5360.17</v>
      </c>
      <c r="V681">
        <v>3881.51</v>
      </c>
      <c r="W681">
        <v>1478.66</v>
      </c>
      <c r="X681" t="s">
        <v>102</v>
      </c>
      <c r="Y681" t="s">
        <v>68</v>
      </c>
      <c r="Z681" t="str">
        <f t="shared" si="140"/>
        <v>Unique</v>
      </c>
      <c r="AA681" t="str">
        <f t="shared" si="141"/>
        <v>Unique</v>
      </c>
      <c r="AB681" t="str">
        <f t="shared" si="145"/>
        <v>OK</v>
      </c>
      <c r="AC681" t="str">
        <f t="shared" si="146"/>
        <v>70%</v>
      </c>
      <c r="AD681" t="str">
        <f t="shared" si="147"/>
        <v>Invalid High Discount</v>
      </c>
      <c r="AE681">
        <f t="shared" si="148"/>
        <v>1692.6840000000002</v>
      </c>
      <c r="AF681">
        <f t="shared" si="149"/>
        <v>-2188.826</v>
      </c>
      <c r="AG681">
        <f t="shared" si="150"/>
        <v>-1.2931096412561351</v>
      </c>
      <c r="AH681" t="str">
        <f t="shared" si="142"/>
        <v>August</v>
      </c>
      <c r="AI681">
        <f t="shared" si="143"/>
        <v>2025</v>
      </c>
      <c r="AJ681" t="str">
        <f t="shared" si="151"/>
        <v>Sales Mismatch</v>
      </c>
      <c r="AK681" t="str">
        <f t="shared" si="152"/>
        <v>Profit Mismatch</v>
      </c>
      <c r="AL681" t="str">
        <f t="shared" si="153"/>
        <v>Exclude</v>
      </c>
      <c r="AM681" t="str">
        <f t="shared" si="144"/>
        <v>Invalid</v>
      </c>
    </row>
    <row r="682" spans="1:39">
      <c r="A682" t="s">
        <v>2123</v>
      </c>
      <c r="B682" s="4">
        <v>45441</v>
      </c>
      <c r="C682" s="4">
        <v>45448</v>
      </c>
      <c r="D682" s="6">
        <v>7</v>
      </c>
      <c r="E682" t="s">
        <v>2788</v>
      </c>
      <c r="F682" t="s">
        <v>2788</v>
      </c>
      <c r="G682" t="s">
        <v>2788</v>
      </c>
      <c r="H682" t="s">
        <v>2124</v>
      </c>
      <c r="I682" t="s">
        <v>264</v>
      </c>
      <c r="J682" t="s">
        <v>90</v>
      </c>
      <c r="K682" t="s">
        <v>54</v>
      </c>
      <c r="L682" t="s">
        <v>247</v>
      </c>
      <c r="M682" t="s">
        <v>248</v>
      </c>
      <c r="N682" t="s">
        <v>74</v>
      </c>
      <c r="O682" t="s">
        <v>75</v>
      </c>
      <c r="P682" t="s">
        <v>2125</v>
      </c>
      <c r="Q682" t="s">
        <v>50</v>
      </c>
      <c r="R682">
        <v>4</v>
      </c>
      <c r="S682">
        <v>3700.24</v>
      </c>
      <c r="T682">
        <v>0</v>
      </c>
      <c r="U682">
        <v>14800.96</v>
      </c>
      <c r="V682">
        <v>12048.39</v>
      </c>
      <c r="W682">
        <v>2752.57</v>
      </c>
      <c r="X682" t="s">
        <v>32</v>
      </c>
      <c r="Y682" t="s">
        <v>33</v>
      </c>
      <c r="Z682" t="str">
        <f t="shared" si="140"/>
        <v>Unique</v>
      </c>
      <c r="AA682" t="str">
        <f t="shared" si="141"/>
        <v>Unique</v>
      </c>
      <c r="AB682" t="str">
        <f t="shared" si="145"/>
        <v>OK</v>
      </c>
      <c r="AC682">
        <f t="shared" si="146"/>
        <v>0</v>
      </c>
      <c r="AD682" t="str">
        <f t="shared" si="147"/>
        <v>OK</v>
      </c>
      <c r="AE682">
        <f t="shared" si="148"/>
        <v>14800.96</v>
      </c>
      <c r="AF682">
        <f t="shared" si="149"/>
        <v>2752.5699999999997</v>
      </c>
      <c r="AG682">
        <f t="shared" si="150"/>
        <v>0.18597239638509933</v>
      </c>
      <c r="AH682" t="str">
        <f t="shared" si="142"/>
        <v>May</v>
      </c>
      <c r="AI682">
        <f t="shared" si="143"/>
        <v>2024</v>
      </c>
      <c r="AJ682" t="str">
        <f t="shared" si="151"/>
        <v>OK</v>
      </c>
      <c r="AK682" t="str">
        <f t="shared" si="152"/>
        <v>OK</v>
      </c>
      <c r="AL682" t="str">
        <f t="shared" si="153"/>
        <v>Include</v>
      </c>
      <c r="AM682" t="str">
        <f t="shared" si="144"/>
        <v>Clean</v>
      </c>
    </row>
    <row r="683" spans="1:39">
      <c r="A683" t="s">
        <v>2126</v>
      </c>
      <c r="B683" s="4">
        <v>45477</v>
      </c>
      <c r="C683" s="4">
        <v>45483</v>
      </c>
      <c r="D683" s="6">
        <v>6</v>
      </c>
      <c r="E683" t="s">
        <v>2788</v>
      </c>
      <c r="F683" t="s">
        <v>2788</v>
      </c>
      <c r="G683" t="s">
        <v>2788</v>
      </c>
      <c r="H683" t="s">
        <v>2127</v>
      </c>
      <c r="I683" t="s">
        <v>71</v>
      </c>
      <c r="J683" t="s">
        <v>90</v>
      </c>
      <c r="K683" t="s">
        <v>25</v>
      </c>
      <c r="L683" t="s">
        <v>350</v>
      </c>
      <c r="M683" t="s">
        <v>351</v>
      </c>
      <c r="N683" t="s">
        <v>41</v>
      </c>
      <c r="O683" t="s">
        <v>42</v>
      </c>
      <c r="P683" t="s">
        <v>2128</v>
      </c>
      <c r="Q683" t="s">
        <v>31</v>
      </c>
      <c r="R683">
        <v>5</v>
      </c>
      <c r="S683">
        <v>1200.27</v>
      </c>
      <c r="T683">
        <v>0</v>
      </c>
      <c r="U683">
        <v>6001.35</v>
      </c>
      <c r="V683">
        <v>4182.99</v>
      </c>
      <c r="W683">
        <v>1818.36</v>
      </c>
      <c r="X683" t="s">
        <v>32</v>
      </c>
      <c r="Y683" t="s">
        <v>68</v>
      </c>
      <c r="Z683" t="str">
        <f t="shared" si="140"/>
        <v>Unique</v>
      </c>
      <c r="AA683" t="str">
        <f t="shared" si="141"/>
        <v>Unique</v>
      </c>
      <c r="AB683" t="str">
        <f t="shared" si="145"/>
        <v>OK</v>
      </c>
      <c r="AC683">
        <f t="shared" si="146"/>
        <v>0</v>
      </c>
      <c r="AD683" t="str">
        <f t="shared" si="147"/>
        <v>OK</v>
      </c>
      <c r="AE683">
        <f t="shared" si="148"/>
        <v>6001.35</v>
      </c>
      <c r="AF683">
        <f t="shared" si="149"/>
        <v>1818.3600000000006</v>
      </c>
      <c r="AG683">
        <f t="shared" si="150"/>
        <v>0.30299182683896131</v>
      </c>
      <c r="AH683" t="str">
        <f t="shared" si="142"/>
        <v>July</v>
      </c>
      <c r="AI683">
        <f t="shared" si="143"/>
        <v>2024</v>
      </c>
      <c r="AJ683" t="str">
        <f t="shared" si="151"/>
        <v>OK</v>
      </c>
      <c r="AK683" t="str">
        <f t="shared" si="152"/>
        <v>OK</v>
      </c>
      <c r="AL683" t="str">
        <f t="shared" si="153"/>
        <v>Exclude</v>
      </c>
      <c r="AM683" t="str">
        <f t="shared" si="144"/>
        <v>Clean</v>
      </c>
    </row>
    <row r="684" spans="1:39">
      <c r="A684" t="s">
        <v>2129</v>
      </c>
      <c r="B684" s="4">
        <v>45693</v>
      </c>
      <c r="C684" s="4">
        <v>45693</v>
      </c>
      <c r="D684" s="6">
        <v>0</v>
      </c>
      <c r="E684" t="s">
        <v>2788</v>
      </c>
      <c r="F684" t="s">
        <v>2788</v>
      </c>
      <c r="G684" t="s">
        <v>2788</v>
      </c>
      <c r="H684" t="s">
        <v>2130</v>
      </c>
      <c r="I684" t="s">
        <v>62</v>
      </c>
      <c r="J684" t="s">
        <v>90</v>
      </c>
      <c r="K684" t="s">
        <v>25</v>
      </c>
      <c r="L684" t="s">
        <v>236</v>
      </c>
      <c r="M684" t="s">
        <v>237</v>
      </c>
      <c r="N684" t="s">
        <v>28</v>
      </c>
      <c r="O684" t="s">
        <v>124</v>
      </c>
      <c r="P684" t="s">
        <v>2131</v>
      </c>
      <c r="Q684" t="s">
        <v>44</v>
      </c>
      <c r="R684">
        <v>3</v>
      </c>
      <c r="S684">
        <v>2590.7800000000002</v>
      </c>
      <c r="U684">
        <v>7383.72</v>
      </c>
      <c r="V684">
        <v>4113.66</v>
      </c>
      <c r="W684">
        <v>3270.06</v>
      </c>
      <c r="X684" t="s">
        <v>32</v>
      </c>
      <c r="Y684" t="s">
        <v>33</v>
      </c>
      <c r="Z684" t="str">
        <f t="shared" si="140"/>
        <v>Unique</v>
      </c>
      <c r="AA684" t="str">
        <f t="shared" si="141"/>
        <v>Unique</v>
      </c>
      <c r="AB684" t="str">
        <f t="shared" si="145"/>
        <v>OK</v>
      </c>
      <c r="AC684">
        <f t="shared" si="146"/>
        <v>0</v>
      </c>
      <c r="AD684" t="str">
        <f t="shared" si="147"/>
        <v>OK</v>
      </c>
      <c r="AE684">
        <f t="shared" si="148"/>
        <v>7772.34</v>
      </c>
      <c r="AF684">
        <f t="shared" si="149"/>
        <v>3658.6800000000003</v>
      </c>
      <c r="AG684">
        <f t="shared" si="150"/>
        <v>0.47073082237781677</v>
      </c>
      <c r="AH684" t="str">
        <f t="shared" si="142"/>
        <v>February</v>
      </c>
      <c r="AI684">
        <f t="shared" si="143"/>
        <v>2025</v>
      </c>
      <c r="AJ684" t="str">
        <f t="shared" si="151"/>
        <v>Sales Mismatch</v>
      </c>
      <c r="AK684" t="str">
        <f t="shared" si="152"/>
        <v>Profit Mismatch</v>
      </c>
      <c r="AL684" t="str">
        <f t="shared" si="153"/>
        <v>Include</v>
      </c>
      <c r="AM684" t="str">
        <f t="shared" si="144"/>
        <v>Warning</v>
      </c>
    </row>
    <row r="685" spans="1:39">
      <c r="A685" t="s">
        <v>2132</v>
      </c>
      <c r="B685" s="4">
        <v>45858</v>
      </c>
      <c r="C685" s="4">
        <v>45862</v>
      </c>
      <c r="D685" s="6">
        <v>4</v>
      </c>
      <c r="E685" t="s">
        <v>2788</v>
      </c>
      <c r="F685" t="s">
        <v>2788</v>
      </c>
      <c r="G685" t="s">
        <v>2788</v>
      </c>
      <c r="H685" t="s">
        <v>2133</v>
      </c>
      <c r="I685" t="s">
        <v>53</v>
      </c>
      <c r="J685" t="s">
        <v>37</v>
      </c>
      <c r="K685" t="s">
        <v>54</v>
      </c>
      <c r="L685" t="s">
        <v>55</v>
      </c>
      <c r="M685" t="s">
        <v>56</v>
      </c>
      <c r="N685" t="s">
        <v>41</v>
      </c>
      <c r="O685" t="s">
        <v>57</v>
      </c>
      <c r="P685" t="s">
        <v>2134</v>
      </c>
      <c r="Q685" t="s">
        <v>31</v>
      </c>
      <c r="R685">
        <v>6</v>
      </c>
      <c r="S685">
        <v>1646.45</v>
      </c>
      <c r="T685">
        <v>0.2</v>
      </c>
      <c r="U685">
        <v>7902.96</v>
      </c>
      <c r="V685">
        <v>5512.03</v>
      </c>
      <c r="W685">
        <v>2390.9299999999998</v>
      </c>
      <c r="X685" t="s">
        <v>102</v>
      </c>
      <c r="Y685" t="s">
        <v>68</v>
      </c>
      <c r="Z685" t="str">
        <f t="shared" si="140"/>
        <v>Unique</v>
      </c>
      <c r="AA685" t="str">
        <f t="shared" si="141"/>
        <v>Unique</v>
      </c>
      <c r="AB685" t="str">
        <f t="shared" si="145"/>
        <v>OK</v>
      </c>
      <c r="AC685">
        <f t="shared" si="146"/>
        <v>0.2</v>
      </c>
      <c r="AD685" t="str">
        <f t="shared" si="147"/>
        <v>OK</v>
      </c>
      <c r="AE685">
        <f t="shared" si="148"/>
        <v>7902.9600000000009</v>
      </c>
      <c r="AF685">
        <f t="shared" si="149"/>
        <v>2390.9300000000012</v>
      </c>
      <c r="AG685">
        <f t="shared" si="150"/>
        <v>0.30253601182341816</v>
      </c>
      <c r="AH685" t="str">
        <f t="shared" si="142"/>
        <v>July</v>
      </c>
      <c r="AI685">
        <f t="shared" si="143"/>
        <v>2025</v>
      </c>
      <c r="AJ685" t="str">
        <f t="shared" si="151"/>
        <v>OK</v>
      </c>
      <c r="AK685" t="str">
        <f t="shared" si="152"/>
        <v>OK</v>
      </c>
      <c r="AL685" t="str">
        <f t="shared" si="153"/>
        <v>Exclude</v>
      </c>
      <c r="AM685" t="str">
        <f t="shared" si="144"/>
        <v>Clean</v>
      </c>
    </row>
    <row r="686" spans="1:39">
      <c r="A686" t="s">
        <v>2135</v>
      </c>
      <c r="B686" s="4">
        <v>45859</v>
      </c>
      <c r="C686" s="4">
        <v>45859</v>
      </c>
      <c r="D686" s="6">
        <v>0</v>
      </c>
      <c r="E686" t="s">
        <v>2788</v>
      </c>
      <c r="F686" t="s">
        <v>2788</v>
      </c>
      <c r="G686" t="s">
        <v>2788</v>
      </c>
      <c r="H686" t="s">
        <v>2136</v>
      </c>
      <c r="I686" t="s">
        <v>47</v>
      </c>
      <c r="J686" t="s">
        <v>95</v>
      </c>
      <c r="K686" t="s">
        <v>54</v>
      </c>
      <c r="L686" t="s">
        <v>247</v>
      </c>
      <c r="M686" t="s">
        <v>248</v>
      </c>
      <c r="N686" t="s">
        <v>41</v>
      </c>
      <c r="O686" t="s">
        <v>158</v>
      </c>
      <c r="P686" t="s">
        <v>2137</v>
      </c>
      <c r="Q686" t="s">
        <v>50</v>
      </c>
      <c r="R686">
        <v>7</v>
      </c>
      <c r="S686">
        <v>4396.6499999999996</v>
      </c>
      <c r="T686">
        <v>0.2</v>
      </c>
      <c r="U686">
        <v>24621.24</v>
      </c>
      <c r="V686">
        <v>17155.48</v>
      </c>
      <c r="W686">
        <v>7465.76</v>
      </c>
      <c r="X686" t="s">
        <v>102</v>
      </c>
      <c r="Y686" t="s">
        <v>68</v>
      </c>
      <c r="Z686" t="str">
        <f t="shared" si="140"/>
        <v>Unique</v>
      </c>
      <c r="AA686" t="str">
        <f t="shared" si="141"/>
        <v>Unique</v>
      </c>
      <c r="AB686" t="str">
        <f t="shared" si="145"/>
        <v>OK</v>
      </c>
      <c r="AC686">
        <f t="shared" si="146"/>
        <v>0.2</v>
      </c>
      <c r="AD686" t="str">
        <f t="shared" si="147"/>
        <v>OK</v>
      </c>
      <c r="AE686">
        <f t="shared" si="148"/>
        <v>24621.239999999998</v>
      </c>
      <c r="AF686">
        <f t="shared" si="149"/>
        <v>7465.7599999999984</v>
      </c>
      <c r="AG686">
        <f t="shared" si="150"/>
        <v>0.3032243705028666</v>
      </c>
      <c r="AH686" t="str">
        <f t="shared" si="142"/>
        <v>July</v>
      </c>
      <c r="AI686">
        <f t="shared" si="143"/>
        <v>2025</v>
      </c>
      <c r="AJ686" t="str">
        <f t="shared" si="151"/>
        <v>OK</v>
      </c>
      <c r="AK686" t="str">
        <f t="shared" si="152"/>
        <v>OK</v>
      </c>
      <c r="AL686" t="str">
        <f t="shared" si="153"/>
        <v>Exclude</v>
      </c>
      <c r="AM686" t="str">
        <f t="shared" si="144"/>
        <v>Clean</v>
      </c>
    </row>
    <row r="687" spans="1:39">
      <c r="A687" t="s">
        <v>2138</v>
      </c>
      <c r="B687" s="4">
        <v>45931</v>
      </c>
      <c r="C687" s="4">
        <v>45933</v>
      </c>
      <c r="D687" s="6">
        <v>2</v>
      </c>
      <c r="E687" t="s">
        <v>2788</v>
      </c>
      <c r="F687" t="s">
        <v>2788</v>
      </c>
      <c r="G687" t="s">
        <v>2788</v>
      </c>
      <c r="H687" t="s">
        <v>1804</v>
      </c>
      <c r="I687" t="s">
        <v>79</v>
      </c>
      <c r="J687" t="s">
        <v>90</v>
      </c>
      <c r="K687" t="s">
        <v>63</v>
      </c>
      <c r="L687" t="s">
        <v>190</v>
      </c>
      <c r="M687" t="s">
        <v>191</v>
      </c>
      <c r="N687" t="s">
        <v>28</v>
      </c>
      <c r="O687" t="s">
        <v>48</v>
      </c>
      <c r="P687" t="s">
        <v>2139</v>
      </c>
      <c r="Q687" t="s">
        <v>59</v>
      </c>
      <c r="R687">
        <v>9</v>
      </c>
      <c r="S687">
        <v>818.15</v>
      </c>
      <c r="T687">
        <v>0.55000000000000004</v>
      </c>
      <c r="U687">
        <v>6627.01</v>
      </c>
      <c r="V687">
        <v>5606.79</v>
      </c>
      <c r="W687">
        <v>1020.22</v>
      </c>
      <c r="X687" t="s">
        <v>155</v>
      </c>
      <c r="Y687" t="s">
        <v>68</v>
      </c>
      <c r="Z687" t="str">
        <f t="shared" si="140"/>
        <v>Unique</v>
      </c>
      <c r="AA687" t="str">
        <f t="shared" si="141"/>
        <v>Unique</v>
      </c>
      <c r="AB687" t="str">
        <f t="shared" si="145"/>
        <v>OK</v>
      </c>
      <c r="AC687">
        <f t="shared" si="146"/>
        <v>0.55000000000000004</v>
      </c>
      <c r="AD687" t="str">
        <f t="shared" si="147"/>
        <v>OK</v>
      </c>
      <c r="AE687">
        <f t="shared" si="148"/>
        <v>3313.5074999999993</v>
      </c>
      <c r="AF687">
        <f t="shared" si="149"/>
        <v>-2293.2825000000007</v>
      </c>
      <c r="AG687">
        <f t="shared" si="150"/>
        <v>-0.69210119488185895</v>
      </c>
      <c r="AH687" t="str">
        <f t="shared" si="142"/>
        <v>October</v>
      </c>
      <c r="AI687">
        <f t="shared" si="143"/>
        <v>2025</v>
      </c>
      <c r="AJ687" t="str">
        <f t="shared" si="151"/>
        <v>Sales Mismatch</v>
      </c>
      <c r="AK687" t="str">
        <f t="shared" si="152"/>
        <v>Profit Mismatch</v>
      </c>
      <c r="AL687" t="str">
        <f t="shared" si="153"/>
        <v>Exclude</v>
      </c>
      <c r="AM687" t="str">
        <f t="shared" si="144"/>
        <v>Warning</v>
      </c>
    </row>
    <row r="688" spans="1:39">
      <c r="A688" t="s">
        <v>2140</v>
      </c>
      <c r="B688" s="4">
        <v>45376</v>
      </c>
      <c r="C688" s="4">
        <v>45384</v>
      </c>
      <c r="D688" s="6">
        <v>8</v>
      </c>
      <c r="E688" t="s">
        <v>2788</v>
      </c>
      <c r="F688" t="s">
        <v>2788</v>
      </c>
      <c r="G688" t="s">
        <v>2788</v>
      </c>
      <c r="H688" t="s">
        <v>2141</v>
      </c>
      <c r="I688" t="s">
        <v>132</v>
      </c>
      <c r="J688" t="s">
        <v>95</v>
      </c>
      <c r="K688" t="s">
        <v>54</v>
      </c>
      <c r="L688" t="s">
        <v>247</v>
      </c>
      <c r="M688" t="s">
        <v>248</v>
      </c>
      <c r="N688" t="s">
        <v>74</v>
      </c>
      <c r="O688" t="s">
        <v>80</v>
      </c>
      <c r="P688" t="s">
        <v>2142</v>
      </c>
      <c r="Q688" t="s">
        <v>59</v>
      </c>
      <c r="R688">
        <v>2</v>
      </c>
      <c r="S688">
        <v>2349.13</v>
      </c>
      <c r="T688">
        <v>0</v>
      </c>
      <c r="U688">
        <v>4698.26</v>
      </c>
      <c r="V688">
        <v>2654.92</v>
      </c>
      <c r="W688">
        <v>2043.34</v>
      </c>
      <c r="X688" t="s">
        <v>32</v>
      </c>
      <c r="Y688" t="s">
        <v>33</v>
      </c>
      <c r="Z688" t="str">
        <f t="shared" si="140"/>
        <v>Unique</v>
      </c>
      <c r="AA688" t="str">
        <f t="shared" si="141"/>
        <v>Unique</v>
      </c>
      <c r="AB688" t="str">
        <f t="shared" si="145"/>
        <v>OK</v>
      </c>
      <c r="AC688">
        <f t="shared" si="146"/>
        <v>0</v>
      </c>
      <c r="AD688" t="str">
        <f t="shared" si="147"/>
        <v>OK</v>
      </c>
      <c r="AE688">
        <f t="shared" si="148"/>
        <v>4698.26</v>
      </c>
      <c r="AF688">
        <f t="shared" si="149"/>
        <v>2043.3400000000001</v>
      </c>
      <c r="AG688">
        <f t="shared" si="150"/>
        <v>0.43491420227914163</v>
      </c>
      <c r="AH688" t="str">
        <f t="shared" si="142"/>
        <v>March</v>
      </c>
      <c r="AI688">
        <f t="shared" si="143"/>
        <v>2024</v>
      </c>
      <c r="AJ688" t="str">
        <f t="shared" si="151"/>
        <v>OK</v>
      </c>
      <c r="AK688" t="str">
        <f t="shared" si="152"/>
        <v>OK</v>
      </c>
      <c r="AL688" t="str">
        <f t="shared" si="153"/>
        <v>Include</v>
      </c>
      <c r="AM688" t="str">
        <f t="shared" si="144"/>
        <v>Clean</v>
      </c>
    </row>
    <row r="689" spans="1:39">
      <c r="A689" t="s">
        <v>2143</v>
      </c>
      <c r="B689" s="4">
        <v>45938</v>
      </c>
      <c r="C689" s="4">
        <v>45943</v>
      </c>
      <c r="D689" s="6">
        <v>5</v>
      </c>
      <c r="E689" t="s">
        <v>2788</v>
      </c>
      <c r="F689" t="s">
        <v>2788</v>
      </c>
      <c r="G689" t="s">
        <v>2788</v>
      </c>
      <c r="H689" t="s">
        <v>2144</v>
      </c>
      <c r="I689" t="s">
        <v>36</v>
      </c>
      <c r="J689" t="s">
        <v>95</v>
      </c>
      <c r="K689" t="s">
        <v>25</v>
      </c>
      <c r="L689" t="s">
        <v>122</v>
      </c>
      <c r="M689" t="s">
        <v>123</v>
      </c>
      <c r="N689" t="s">
        <v>41</v>
      </c>
      <c r="O689" t="s">
        <v>42</v>
      </c>
      <c r="P689" t="s">
        <v>2145</v>
      </c>
      <c r="Q689" t="s">
        <v>50</v>
      </c>
      <c r="R689">
        <v>4</v>
      </c>
      <c r="S689">
        <v>172.05</v>
      </c>
      <c r="T689">
        <v>0</v>
      </c>
      <c r="U689">
        <v>688.2</v>
      </c>
      <c r="V689">
        <v>497.68</v>
      </c>
      <c r="W689">
        <v>190.52</v>
      </c>
      <c r="X689" t="s">
        <v>155</v>
      </c>
      <c r="Y689" t="s">
        <v>68</v>
      </c>
      <c r="Z689" t="str">
        <f t="shared" si="140"/>
        <v>Unique</v>
      </c>
      <c r="AA689" t="str">
        <f t="shared" si="141"/>
        <v>Unique</v>
      </c>
      <c r="AB689" t="str">
        <f t="shared" si="145"/>
        <v>OK</v>
      </c>
      <c r="AC689">
        <f t="shared" si="146"/>
        <v>0</v>
      </c>
      <c r="AD689" t="str">
        <f t="shared" si="147"/>
        <v>OK</v>
      </c>
      <c r="AE689">
        <f t="shared" si="148"/>
        <v>688.2</v>
      </c>
      <c r="AF689">
        <f t="shared" si="149"/>
        <v>190.52000000000004</v>
      </c>
      <c r="AG689">
        <f t="shared" si="150"/>
        <v>0.27683812845103173</v>
      </c>
      <c r="AH689" t="str">
        <f t="shared" si="142"/>
        <v>October</v>
      </c>
      <c r="AI689">
        <f t="shared" si="143"/>
        <v>2025</v>
      </c>
      <c r="AJ689" t="str">
        <f t="shared" si="151"/>
        <v>OK</v>
      </c>
      <c r="AK689" t="str">
        <f t="shared" si="152"/>
        <v>OK</v>
      </c>
      <c r="AL689" t="str">
        <f t="shared" si="153"/>
        <v>Exclude</v>
      </c>
      <c r="AM689" t="str">
        <f t="shared" si="144"/>
        <v>Clean</v>
      </c>
    </row>
    <row r="690" spans="1:39">
      <c r="A690" t="s">
        <v>2146</v>
      </c>
      <c r="B690" s="4">
        <v>45714</v>
      </c>
      <c r="C690" s="4">
        <v>45715</v>
      </c>
      <c r="D690" s="6">
        <v>1</v>
      </c>
      <c r="E690" t="s">
        <v>2788</v>
      </c>
      <c r="F690" t="s">
        <v>2788</v>
      </c>
      <c r="G690" t="s">
        <v>2788</v>
      </c>
      <c r="H690" t="s">
        <v>2147</v>
      </c>
      <c r="I690" t="s">
        <v>79</v>
      </c>
      <c r="J690" t="s">
        <v>95</v>
      </c>
      <c r="K690" t="s">
        <v>25</v>
      </c>
      <c r="L690" t="s">
        <v>236</v>
      </c>
      <c r="M690" t="s">
        <v>237</v>
      </c>
      <c r="N690" t="s">
        <v>28</v>
      </c>
      <c r="O690" t="s">
        <v>48</v>
      </c>
      <c r="P690" t="s">
        <v>2148</v>
      </c>
      <c r="Q690" t="s">
        <v>31</v>
      </c>
      <c r="R690">
        <v>6</v>
      </c>
      <c r="S690">
        <v>3037.66</v>
      </c>
      <c r="T690">
        <v>0.15</v>
      </c>
      <c r="U690">
        <v>15492.07</v>
      </c>
      <c r="V690">
        <v>12581.23</v>
      </c>
      <c r="W690">
        <v>2910.84</v>
      </c>
      <c r="X690" t="s">
        <v>32</v>
      </c>
      <c r="Y690" t="s">
        <v>33</v>
      </c>
      <c r="Z690" t="str">
        <f t="shared" si="140"/>
        <v>Unique</v>
      </c>
      <c r="AA690" t="str">
        <f t="shared" si="141"/>
        <v>Unique</v>
      </c>
      <c r="AB690" t="str">
        <f t="shared" si="145"/>
        <v>OK</v>
      </c>
      <c r="AC690">
        <f t="shared" si="146"/>
        <v>0.15</v>
      </c>
      <c r="AD690" t="str">
        <f t="shared" si="147"/>
        <v>OK</v>
      </c>
      <c r="AE690">
        <f t="shared" si="148"/>
        <v>15492.065999999999</v>
      </c>
      <c r="AF690">
        <f t="shared" si="149"/>
        <v>2910.8359999999993</v>
      </c>
      <c r="AG690">
        <f t="shared" si="150"/>
        <v>0.18789204745190213</v>
      </c>
      <c r="AH690" t="str">
        <f t="shared" si="142"/>
        <v>February</v>
      </c>
      <c r="AI690">
        <f t="shared" si="143"/>
        <v>2025</v>
      </c>
      <c r="AJ690" t="str">
        <f t="shared" si="151"/>
        <v>OK</v>
      </c>
      <c r="AK690" t="str">
        <f t="shared" si="152"/>
        <v>OK</v>
      </c>
      <c r="AL690" t="str">
        <f t="shared" si="153"/>
        <v>Include</v>
      </c>
      <c r="AM690" t="str">
        <f t="shared" si="144"/>
        <v>Clean</v>
      </c>
    </row>
    <row r="691" spans="1:39">
      <c r="A691" t="s">
        <v>2149</v>
      </c>
      <c r="B691" s="4">
        <v>45570</v>
      </c>
      <c r="C691" s="4">
        <v>45571</v>
      </c>
      <c r="D691" s="6">
        <v>1</v>
      </c>
      <c r="E691" t="s">
        <v>2788</v>
      </c>
      <c r="F691" t="s">
        <v>2788</v>
      </c>
      <c r="G691" t="s">
        <v>2788</v>
      </c>
      <c r="H691" t="s">
        <v>2150</v>
      </c>
      <c r="I691" t="s">
        <v>141</v>
      </c>
      <c r="J691" t="s">
        <v>37</v>
      </c>
      <c r="K691" t="s">
        <v>25</v>
      </c>
      <c r="L691" t="s">
        <v>122</v>
      </c>
      <c r="M691" t="s">
        <v>123</v>
      </c>
      <c r="N691" t="s">
        <v>41</v>
      </c>
      <c r="O691" t="s">
        <v>42</v>
      </c>
      <c r="P691" t="s">
        <v>2151</v>
      </c>
      <c r="Q691" t="s">
        <v>59</v>
      </c>
      <c r="R691">
        <v>9</v>
      </c>
      <c r="S691">
        <v>489.58</v>
      </c>
      <c r="T691">
        <v>0.15</v>
      </c>
      <c r="U691">
        <v>3745.29</v>
      </c>
      <c r="V691">
        <v>2302.65</v>
      </c>
      <c r="W691">
        <v>1442.64</v>
      </c>
      <c r="X691" t="s">
        <v>155</v>
      </c>
      <c r="Y691" t="s">
        <v>68</v>
      </c>
      <c r="Z691" t="str">
        <f t="shared" si="140"/>
        <v>Unique</v>
      </c>
      <c r="AA691" t="str">
        <f t="shared" si="141"/>
        <v>Unique</v>
      </c>
      <c r="AB691" t="str">
        <f t="shared" si="145"/>
        <v>OK</v>
      </c>
      <c r="AC691">
        <f t="shared" si="146"/>
        <v>0.15</v>
      </c>
      <c r="AD691" t="str">
        <f t="shared" si="147"/>
        <v>OK</v>
      </c>
      <c r="AE691">
        <f t="shared" si="148"/>
        <v>3745.2870000000003</v>
      </c>
      <c r="AF691">
        <f t="shared" si="149"/>
        <v>1442.6370000000002</v>
      </c>
      <c r="AG691">
        <f t="shared" si="150"/>
        <v>0.38518730340291679</v>
      </c>
      <c r="AH691" t="str">
        <f t="shared" si="142"/>
        <v>October</v>
      </c>
      <c r="AI691">
        <f t="shared" si="143"/>
        <v>2024</v>
      </c>
      <c r="AJ691" t="str">
        <f t="shared" si="151"/>
        <v>OK</v>
      </c>
      <c r="AK691" t="str">
        <f t="shared" si="152"/>
        <v>OK</v>
      </c>
      <c r="AL691" t="str">
        <f t="shared" si="153"/>
        <v>Exclude</v>
      </c>
      <c r="AM691" t="str">
        <f t="shared" si="144"/>
        <v>Clean</v>
      </c>
    </row>
    <row r="692" spans="1:39">
      <c r="A692" t="s">
        <v>2152</v>
      </c>
      <c r="B692" s="4">
        <v>45546</v>
      </c>
      <c r="C692" s="4">
        <v>45550</v>
      </c>
      <c r="D692" s="6">
        <v>4</v>
      </c>
      <c r="E692" t="s">
        <v>2788</v>
      </c>
      <c r="F692" t="s">
        <v>2788</v>
      </c>
      <c r="G692" t="s">
        <v>2788</v>
      </c>
      <c r="H692" t="s">
        <v>2153</v>
      </c>
      <c r="I692" t="s">
        <v>132</v>
      </c>
      <c r="J692" t="s">
        <v>90</v>
      </c>
      <c r="K692" t="s">
        <v>54</v>
      </c>
      <c r="L692" t="s">
        <v>247</v>
      </c>
      <c r="M692" t="s">
        <v>248</v>
      </c>
      <c r="N692" t="s">
        <v>28</v>
      </c>
      <c r="O692" t="s">
        <v>48</v>
      </c>
      <c r="P692" t="s">
        <v>2154</v>
      </c>
      <c r="Q692" t="s">
        <v>59</v>
      </c>
      <c r="R692">
        <v>4</v>
      </c>
      <c r="S692">
        <v>865.63</v>
      </c>
      <c r="T692">
        <v>0</v>
      </c>
      <c r="U692">
        <v>3462.52</v>
      </c>
      <c r="V692">
        <v>2797.29</v>
      </c>
      <c r="W692">
        <v>665.23</v>
      </c>
      <c r="X692" t="s">
        <v>155</v>
      </c>
      <c r="Y692" t="s">
        <v>103</v>
      </c>
      <c r="Z692" t="str">
        <f t="shared" si="140"/>
        <v>Unique</v>
      </c>
      <c r="AA692" t="str">
        <f t="shared" si="141"/>
        <v>Unique</v>
      </c>
      <c r="AB692" t="str">
        <f t="shared" si="145"/>
        <v>OK</v>
      </c>
      <c r="AC692">
        <f t="shared" si="146"/>
        <v>0</v>
      </c>
      <c r="AD692" t="str">
        <f t="shared" si="147"/>
        <v>OK</v>
      </c>
      <c r="AE692">
        <f t="shared" si="148"/>
        <v>3462.52</v>
      </c>
      <c r="AF692">
        <f t="shared" si="149"/>
        <v>665.23</v>
      </c>
      <c r="AG692">
        <f t="shared" si="150"/>
        <v>0.19212307798944123</v>
      </c>
      <c r="AH692" t="str">
        <f t="shared" si="142"/>
        <v>September</v>
      </c>
      <c r="AI692">
        <f t="shared" si="143"/>
        <v>2024</v>
      </c>
      <c r="AJ692" t="str">
        <f t="shared" si="151"/>
        <v>OK</v>
      </c>
      <c r="AK692" t="str">
        <f t="shared" si="152"/>
        <v>OK</v>
      </c>
      <c r="AL692" t="str">
        <f t="shared" si="153"/>
        <v>Exclude</v>
      </c>
      <c r="AM692" t="str">
        <f t="shared" si="144"/>
        <v>Clean</v>
      </c>
    </row>
    <row r="693" spans="1:39">
      <c r="A693" t="s">
        <v>2155</v>
      </c>
      <c r="B693" s="4">
        <v>45641</v>
      </c>
      <c r="C693" s="4">
        <v>45642</v>
      </c>
      <c r="D693" s="6">
        <v>1</v>
      </c>
      <c r="E693" t="s">
        <v>2788</v>
      </c>
      <c r="F693" t="s">
        <v>2788</v>
      </c>
      <c r="G693" t="s">
        <v>2788</v>
      </c>
      <c r="H693" t="s">
        <v>2156</v>
      </c>
      <c r="I693" t="s">
        <v>141</v>
      </c>
      <c r="J693" t="s">
        <v>24</v>
      </c>
      <c r="K693" t="s">
        <v>38</v>
      </c>
      <c r="L693" t="s">
        <v>39</v>
      </c>
      <c r="M693" t="s">
        <v>40</v>
      </c>
      <c r="N693" t="s">
        <v>74</v>
      </c>
      <c r="O693" t="s">
        <v>80</v>
      </c>
      <c r="P693" t="s">
        <v>2157</v>
      </c>
      <c r="Q693" t="s">
        <v>31</v>
      </c>
      <c r="R693">
        <v>6</v>
      </c>
      <c r="S693">
        <v>1538.1</v>
      </c>
      <c r="T693">
        <v>0.05</v>
      </c>
      <c r="U693">
        <v>8767.17</v>
      </c>
      <c r="V693">
        <v>5098.2</v>
      </c>
      <c r="W693">
        <v>3668.97</v>
      </c>
      <c r="X693" t="s">
        <v>32</v>
      </c>
      <c r="Y693" t="s">
        <v>33</v>
      </c>
      <c r="Z693" t="str">
        <f t="shared" si="140"/>
        <v>Unique</v>
      </c>
      <c r="AA693" t="str">
        <f t="shared" si="141"/>
        <v>Unique</v>
      </c>
      <c r="AB693" t="str">
        <f t="shared" si="145"/>
        <v>OK</v>
      </c>
      <c r="AC693">
        <f t="shared" si="146"/>
        <v>0.05</v>
      </c>
      <c r="AD693" t="str">
        <f t="shared" si="147"/>
        <v>OK</v>
      </c>
      <c r="AE693">
        <f t="shared" si="148"/>
        <v>8767.1699999999983</v>
      </c>
      <c r="AF693">
        <f t="shared" si="149"/>
        <v>3668.9699999999984</v>
      </c>
      <c r="AG693">
        <f t="shared" si="150"/>
        <v>0.41848966085977563</v>
      </c>
      <c r="AH693" t="str">
        <f t="shared" si="142"/>
        <v>December</v>
      </c>
      <c r="AI693">
        <f t="shared" si="143"/>
        <v>2024</v>
      </c>
      <c r="AJ693" t="str">
        <f t="shared" si="151"/>
        <v>OK</v>
      </c>
      <c r="AK693" t="str">
        <f t="shared" si="152"/>
        <v>OK</v>
      </c>
      <c r="AL693" t="str">
        <f t="shared" si="153"/>
        <v>Include</v>
      </c>
      <c r="AM693" t="str">
        <f t="shared" si="144"/>
        <v>Clean</v>
      </c>
    </row>
    <row r="694" spans="1:39">
      <c r="A694" t="s">
        <v>2158</v>
      </c>
      <c r="B694" s="4">
        <v>45935</v>
      </c>
      <c r="C694" s="4">
        <v>45940</v>
      </c>
      <c r="D694" s="6">
        <v>5</v>
      </c>
      <c r="E694" t="s">
        <v>2788</v>
      </c>
      <c r="F694" t="s">
        <v>2788</v>
      </c>
      <c r="G694" t="s">
        <v>2788</v>
      </c>
      <c r="H694" t="s">
        <v>2159</v>
      </c>
      <c r="I694" t="s">
        <v>47</v>
      </c>
      <c r="J694" t="s">
        <v>90</v>
      </c>
      <c r="K694" t="s">
        <v>54</v>
      </c>
      <c r="L694" t="s">
        <v>175</v>
      </c>
      <c r="M694" t="s">
        <v>176</v>
      </c>
      <c r="N694" t="s">
        <v>41</v>
      </c>
      <c r="O694" t="s">
        <v>57</v>
      </c>
      <c r="P694" t="s">
        <v>2160</v>
      </c>
      <c r="Q694" t="s">
        <v>31</v>
      </c>
      <c r="R694">
        <v>4</v>
      </c>
      <c r="S694">
        <v>2365.6799999999998</v>
      </c>
      <c r="T694">
        <v>0.1</v>
      </c>
      <c r="U694">
        <v>8516.4500000000007</v>
      </c>
      <c r="V694">
        <v>5903.81</v>
      </c>
      <c r="W694">
        <v>2612.64</v>
      </c>
      <c r="X694" t="s">
        <v>32</v>
      </c>
      <c r="Y694" t="s">
        <v>33</v>
      </c>
      <c r="Z694" t="str">
        <f t="shared" si="140"/>
        <v>Unique</v>
      </c>
      <c r="AA694" t="str">
        <f t="shared" si="141"/>
        <v>Unique</v>
      </c>
      <c r="AB694" t="str">
        <f t="shared" si="145"/>
        <v>OK</v>
      </c>
      <c r="AC694">
        <f t="shared" si="146"/>
        <v>0.1</v>
      </c>
      <c r="AD694" t="str">
        <f t="shared" si="147"/>
        <v>OK</v>
      </c>
      <c r="AE694">
        <f t="shared" si="148"/>
        <v>8516.4480000000003</v>
      </c>
      <c r="AF694">
        <f t="shared" si="149"/>
        <v>2612.6379999999999</v>
      </c>
      <c r="AG694">
        <f t="shared" si="150"/>
        <v>0.30677554774009069</v>
      </c>
      <c r="AH694" t="str">
        <f t="shared" si="142"/>
        <v>October</v>
      </c>
      <c r="AI694">
        <f t="shared" si="143"/>
        <v>2025</v>
      </c>
      <c r="AJ694" t="str">
        <f t="shared" si="151"/>
        <v>OK</v>
      </c>
      <c r="AK694" t="str">
        <f t="shared" si="152"/>
        <v>OK</v>
      </c>
      <c r="AL694" t="str">
        <f t="shared" si="153"/>
        <v>Include</v>
      </c>
      <c r="AM694" t="str">
        <f t="shared" si="144"/>
        <v>Clean</v>
      </c>
    </row>
    <row r="695" spans="1:39">
      <c r="A695" t="s">
        <v>2161</v>
      </c>
      <c r="B695" s="4">
        <v>45750</v>
      </c>
      <c r="C695" s="4">
        <v>45758</v>
      </c>
      <c r="D695" s="6">
        <v>8</v>
      </c>
      <c r="E695" t="s">
        <v>2788</v>
      </c>
      <c r="F695" t="s">
        <v>2788</v>
      </c>
      <c r="G695" t="s">
        <v>2788</v>
      </c>
      <c r="H695" t="s">
        <v>2162</v>
      </c>
      <c r="I695" t="s">
        <v>53</v>
      </c>
      <c r="J695" t="s">
        <v>24</v>
      </c>
      <c r="K695" t="s">
        <v>54</v>
      </c>
      <c r="L695" t="s">
        <v>247</v>
      </c>
      <c r="M695" t="s">
        <v>248</v>
      </c>
      <c r="N695" t="s">
        <v>41</v>
      </c>
      <c r="O695" t="s">
        <v>158</v>
      </c>
      <c r="P695" t="s">
        <v>2163</v>
      </c>
      <c r="Q695" t="s">
        <v>31</v>
      </c>
      <c r="R695">
        <v>3</v>
      </c>
      <c r="S695">
        <v>4149.7700000000004</v>
      </c>
      <c r="T695">
        <v>0.05</v>
      </c>
      <c r="U695">
        <v>11826.84</v>
      </c>
      <c r="V695">
        <v>8035.96</v>
      </c>
      <c r="W695">
        <v>3790.88</v>
      </c>
      <c r="X695" t="s">
        <v>32</v>
      </c>
      <c r="Y695" t="s">
        <v>33</v>
      </c>
      <c r="Z695" t="str">
        <f t="shared" si="140"/>
        <v>Unique</v>
      </c>
      <c r="AA695" t="str">
        <f t="shared" si="141"/>
        <v>Unique</v>
      </c>
      <c r="AB695" t="str">
        <f t="shared" si="145"/>
        <v>OK</v>
      </c>
      <c r="AC695">
        <f t="shared" si="146"/>
        <v>0.05</v>
      </c>
      <c r="AD695" t="str">
        <f t="shared" si="147"/>
        <v>OK</v>
      </c>
      <c r="AE695">
        <f t="shared" si="148"/>
        <v>11826.844500000001</v>
      </c>
      <c r="AF695">
        <f t="shared" si="149"/>
        <v>3790.884500000001</v>
      </c>
      <c r="AG695">
        <f t="shared" si="150"/>
        <v>0.32053220112938835</v>
      </c>
      <c r="AH695" t="str">
        <f t="shared" si="142"/>
        <v>April</v>
      </c>
      <c r="AI695">
        <f t="shared" si="143"/>
        <v>2025</v>
      </c>
      <c r="AJ695" t="str">
        <f t="shared" si="151"/>
        <v>OK</v>
      </c>
      <c r="AK695" t="str">
        <f t="shared" si="152"/>
        <v>OK</v>
      </c>
      <c r="AL695" t="str">
        <f t="shared" si="153"/>
        <v>Include</v>
      </c>
      <c r="AM695" t="str">
        <f t="shared" si="144"/>
        <v>Clean</v>
      </c>
    </row>
    <row r="696" spans="1:39">
      <c r="A696" t="s">
        <v>2164</v>
      </c>
      <c r="B696" s="4">
        <v>45870</v>
      </c>
      <c r="C696" s="4">
        <v>45878</v>
      </c>
      <c r="D696" s="6">
        <v>8</v>
      </c>
      <c r="E696" t="s">
        <v>2788</v>
      </c>
      <c r="F696" t="s">
        <v>2788</v>
      </c>
      <c r="G696" t="s">
        <v>2788</v>
      </c>
      <c r="H696" t="s">
        <v>1137</v>
      </c>
      <c r="I696" t="s">
        <v>47</v>
      </c>
      <c r="J696" t="s">
        <v>24</v>
      </c>
      <c r="K696" t="s">
        <v>54</v>
      </c>
      <c r="L696" t="s">
        <v>84</v>
      </c>
      <c r="M696" t="s">
        <v>85</v>
      </c>
      <c r="N696" t="s">
        <v>28</v>
      </c>
      <c r="O696" t="s">
        <v>124</v>
      </c>
      <c r="P696" t="s">
        <v>2165</v>
      </c>
      <c r="Q696" t="s">
        <v>50</v>
      </c>
      <c r="R696">
        <v>5</v>
      </c>
      <c r="S696">
        <v>2736.24</v>
      </c>
      <c r="T696">
        <v>0.15</v>
      </c>
      <c r="U696">
        <v>11629.02</v>
      </c>
      <c r="V696">
        <v>9627.2099999999991</v>
      </c>
      <c r="W696">
        <v>2001.81</v>
      </c>
      <c r="X696" t="s">
        <v>32</v>
      </c>
      <c r="Y696" t="s">
        <v>33</v>
      </c>
      <c r="Z696" t="str">
        <f t="shared" si="140"/>
        <v>Exact Duplicate</v>
      </c>
      <c r="AA696" t="str">
        <f t="shared" si="141"/>
        <v>Duplicate Order ID</v>
      </c>
      <c r="AB696" t="str">
        <f t="shared" si="145"/>
        <v>OK</v>
      </c>
      <c r="AC696">
        <f t="shared" si="146"/>
        <v>0.15</v>
      </c>
      <c r="AD696" t="str">
        <f t="shared" si="147"/>
        <v>OK</v>
      </c>
      <c r="AE696">
        <f t="shared" si="148"/>
        <v>11629.019999999999</v>
      </c>
      <c r="AF696">
        <f t="shared" si="149"/>
        <v>2001.8099999999995</v>
      </c>
      <c r="AG696">
        <f t="shared" si="150"/>
        <v>0.17213918283741877</v>
      </c>
      <c r="AH696" t="str">
        <f t="shared" si="142"/>
        <v>August</v>
      </c>
      <c r="AI696">
        <f t="shared" si="143"/>
        <v>2025</v>
      </c>
      <c r="AJ696" t="str">
        <f t="shared" si="151"/>
        <v>OK</v>
      </c>
      <c r="AK696" t="str">
        <f t="shared" si="152"/>
        <v>OK</v>
      </c>
      <c r="AL696" t="str">
        <f t="shared" si="153"/>
        <v>Include</v>
      </c>
      <c r="AM696" t="str">
        <f t="shared" si="144"/>
        <v>Clean</v>
      </c>
    </row>
    <row r="697" spans="1:39">
      <c r="A697" t="s">
        <v>2166</v>
      </c>
      <c r="B697" s="4">
        <v>45474</v>
      </c>
      <c r="C697" s="4">
        <v>45474</v>
      </c>
      <c r="D697" s="6">
        <v>0</v>
      </c>
      <c r="E697" t="s">
        <v>2788</v>
      </c>
      <c r="F697" t="s">
        <v>2788</v>
      </c>
      <c r="G697" t="s">
        <v>2788</v>
      </c>
      <c r="H697" t="s">
        <v>2167</v>
      </c>
      <c r="I697" t="s">
        <v>128</v>
      </c>
      <c r="J697" t="s">
        <v>24</v>
      </c>
      <c r="K697" t="s">
        <v>63</v>
      </c>
      <c r="L697" t="s">
        <v>72</v>
      </c>
      <c r="M697" t="s">
        <v>73</v>
      </c>
      <c r="N697" t="s">
        <v>74</v>
      </c>
      <c r="O697" t="s">
        <v>274</v>
      </c>
      <c r="P697" t="s">
        <v>2168</v>
      </c>
      <c r="Q697" t="s">
        <v>59</v>
      </c>
      <c r="R697">
        <v>4</v>
      </c>
      <c r="S697">
        <v>257.39</v>
      </c>
      <c r="T697">
        <v>0</v>
      </c>
      <c r="U697">
        <v>1029.56</v>
      </c>
      <c r="V697">
        <v>626.33000000000004</v>
      </c>
      <c r="W697">
        <v>403.23</v>
      </c>
      <c r="X697" t="s">
        <v>32</v>
      </c>
      <c r="Y697" t="s">
        <v>33</v>
      </c>
      <c r="Z697" t="str">
        <f t="shared" si="140"/>
        <v>Unique</v>
      </c>
      <c r="AA697" t="str">
        <f t="shared" si="141"/>
        <v>Unique</v>
      </c>
      <c r="AB697" t="str">
        <f t="shared" si="145"/>
        <v>OK</v>
      </c>
      <c r="AC697">
        <f t="shared" si="146"/>
        <v>0</v>
      </c>
      <c r="AD697" t="str">
        <f t="shared" si="147"/>
        <v>OK</v>
      </c>
      <c r="AE697">
        <f t="shared" si="148"/>
        <v>1029.56</v>
      </c>
      <c r="AF697">
        <f t="shared" si="149"/>
        <v>403.2299999999999</v>
      </c>
      <c r="AG697">
        <f t="shared" si="150"/>
        <v>0.39165274486188267</v>
      </c>
      <c r="AH697" t="str">
        <f t="shared" si="142"/>
        <v>July</v>
      </c>
      <c r="AI697">
        <f t="shared" si="143"/>
        <v>2024</v>
      </c>
      <c r="AJ697" t="str">
        <f t="shared" si="151"/>
        <v>OK</v>
      </c>
      <c r="AK697" t="str">
        <f t="shared" si="152"/>
        <v>OK</v>
      </c>
      <c r="AL697" t="str">
        <f t="shared" si="153"/>
        <v>Include</v>
      </c>
      <c r="AM697" t="str">
        <f t="shared" si="144"/>
        <v>Clean</v>
      </c>
    </row>
    <row r="698" spans="1:39">
      <c r="A698" t="s">
        <v>2169</v>
      </c>
      <c r="B698" s="4">
        <v>45922</v>
      </c>
      <c r="C698" s="4">
        <v>45925</v>
      </c>
      <c r="D698" s="6">
        <v>3</v>
      </c>
      <c r="E698" t="s">
        <v>2788</v>
      </c>
      <c r="F698" t="s">
        <v>2788</v>
      </c>
      <c r="G698" t="s">
        <v>2788</v>
      </c>
      <c r="H698" t="s">
        <v>2170</v>
      </c>
      <c r="I698" t="s">
        <v>47</v>
      </c>
      <c r="J698" t="s">
        <v>37</v>
      </c>
      <c r="K698" t="s">
        <v>54</v>
      </c>
      <c r="L698" t="s">
        <v>185</v>
      </c>
      <c r="M698" t="s">
        <v>186</v>
      </c>
      <c r="N698" t="s">
        <v>74</v>
      </c>
      <c r="O698" t="s">
        <v>171</v>
      </c>
      <c r="P698" t="s">
        <v>2171</v>
      </c>
      <c r="Q698" t="s">
        <v>2783</v>
      </c>
      <c r="R698">
        <v>4</v>
      </c>
      <c r="S698">
        <v>1178.8399999999999</v>
      </c>
      <c r="T698">
        <v>0.25</v>
      </c>
      <c r="U698">
        <v>3536.52</v>
      </c>
      <c r="V698">
        <v>2102.41</v>
      </c>
      <c r="W698">
        <v>1363.28</v>
      </c>
      <c r="X698" t="s">
        <v>32</v>
      </c>
      <c r="Y698" t="s">
        <v>33</v>
      </c>
      <c r="Z698" t="str">
        <f t="shared" si="140"/>
        <v>Unique</v>
      </c>
      <c r="AA698" t="str">
        <f t="shared" si="141"/>
        <v>Unique</v>
      </c>
      <c r="AB698" t="str">
        <f t="shared" si="145"/>
        <v>OK</v>
      </c>
      <c r="AC698">
        <f t="shared" si="146"/>
        <v>0.25</v>
      </c>
      <c r="AD698" t="str">
        <f t="shared" si="147"/>
        <v>OK</v>
      </c>
      <c r="AE698">
        <f t="shared" si="148"/>
        <v>3536.5199999999995</v>
      </c>
      <c r="AF698">
        <f t="shared" si="149"/>
        <v>1434.1099999999997</v>
      </c>
      <c r="AG698">
        <f t="shared" si="150"/>
        <v>0.40551446054313278</v>
      </c>
      <c r="AH698" t="str">
        <f t="shared" si="142"/>
        <v>September</v>
      </c>
      <c r="AI698">
        <f t="shared" si="143"/>
        <v>2025</v>
      </c>
      <c r="AJ698" t="str">
        <f t="shared" si="151"/>
        <v>OK</v>
      </c>
      <c r="AK698" t="str">
        <f t="shared" si="152"/>
        <v>Profit Mismatch</v>
      </c>
      <c r="AL698" t="str">
        <f t="shared" si="153"/>
        <v>Include</v>
      </c>
      <c r="AM698" t="str">
        <f t="shared" si="144"/>
        <v>Warning</v>
      </c>
    </row>
    <row r="699" spans="1:39">
      <c r="A699" t="s">
        <v>2172</v>
      </c>
      <c r="B699" s="4">
        <v>45717</v>
      </c>
      <c r="C699" s="4">
        <v>45723</v>
      </c>
      <c r="D699" s="6">
        <v>6</v>
      </c>
      <c r="E699" t="s">
        <v>2788</v>
      </c>
      <c r="F699" t="s">
        <v>2788</v>
      </c>
      <c r="G699" t="s">
        <v>2788</v>
      </c>
      <c r="H699" t="s">
        <v>2173</v>
      </c>
      <c r="I699" t="s">
        <v>53</v>
      </c>
      <c r="J699" t="s">
        <v>90</v>
      </c>
      <c r="K699" t="s">
        <v>54</v>
      </c>
      <c r="L699" t="s">
        <v>84</v>
      </c>
      <c r="M699" t="s">
        <v>85</v>
      </c>
      <c r="N699" t="s">
        <v>28</v>
      </c>
      <c r="O699" t="s">
        <v>91</v>
      </c>
      <c r="P699" t="s">
        <v>2174</v>
      </c>
      <c r="Q699" t="s">
        <v>50</v>
      </c>
      <c r="R699">
        <v>7</v>
      </c>
      <c r="S699">
        <v>567.15</v>
      </c>
      <c r="U699">
        <v>2977.54</v>
      </c>
      <c r="V699">
        <v>1849.3</v>
      </c>
      <c r="W699">
        <v>1128.24</v>
      </c>
      <c r="X699" t="s">
        <v>102</v>
      </c>
      <c r="Y699" t="s">
        <v>103</v>
      </c>
      <c r="Z699" t="str">
        <f t="shared" si="140"/>
        <v>Unique</v>
      </c>
      <c r="AA699" t="str">
        <f t="shared" si="141"/>
        <v>Unique</v>
      </c>
      <c r="AB699" t="str">
        <f t="shared" si="145"/>
        <v>OK</v>
      </c>
      <c r="AC699">
        <f t="shared" si="146"/>
        <v>0</v>
      </c>
      <c r="AD699" t="str">
        <f t="shared" si="147"/>
        <v>OK</v>
      </c>
      <c r="AE699">
        <f t="shared" si="148"/>
        <v>3970.0499999999997</v>
      </c>
      <c r="AF699">
        <f t="shared" si="149"/>
        <v>2120.75</v>
      </c>
      <c r="AG699">
        <f t="shared" si="150"/>
        <v>0.53418722686112274</v>
      </c>
      <c r="AH699" t="str">
        <f t="shared" si="142"/>
        <v>March</v>
      </c>
      <c r="AI699">
        <f t="shared" si="143"/>
        <v>2025</v>
      </c>
      <c r="AJ699" t="str">
        <f t="shared" si="151"/>
        <v>Sales Mismatch</v>
      </c>
      <c r="AK699" t="str">
        <f t="shared" si="152"/>
        <v>Profit Mismatch</v>
      </c>
      <c r="AL699" t="str">
        <f t="shared" si="153"/>
        <v>Exclude</v>
      </c>
      <c r="AM699" t="str">
        <f t="shared" si="144"/>
        <v>Warning</v>
      </c>
    </row>
    <row r="700" spans="1:39">
      <c r="A700" t="s">
        <v>2175</v>
      </c>
      <c r="B700" s="4">
        <v>45549</v>
      </c>
      <c r="C700" s="4">
        <v>45549</v>
      </c>
      <c r="D700" s="6">
        <v>0</v>
      </c>
      <c r="E700" t="s">
        <v>2788</v>
      </c>
      <c r="F700" t="s">
        <v>2788</v>
      </c>
      <c r="G700" t="s">
        <v>2788</v>
      </c>
      <c r="H700" t="s">
        <v>2176</v>
      </c>
      <c r="I700" t="s">
        <v>36</v>
      </c>
      <c r="J700" t="s">
        <v>90</v>
      </c>
      <c r="K700" t="s">
        <v>25</v>
      </c>
      <c r="L700" t="s">
        <v>26</v>
      </c>
      <c r="M700" t="s">
        <v>27</v>
      </c>
      <c r="N700" t="s">
        <v>74</v>
      </c>
      <c r="O700" t="s">
        <v>274</v>
      </c>
      <c r="P700" t="s">
        <v>2177</v>
      </c>
      <c r="Q700" t="s">
        <v>59</v>
      </c>
      <c r="R700">
        <v>8</v>
      </c>
      <c r="S700">
        <v>4081.66</v>
      </c>
      <c r="T700">
        <v>0.15</v>
      </c>
      <c r="U700">
        <v>28208.1</v>
      </c>
      <c r="V700">
        <v>23751.91</v>
      </c>
      <c r="W700">
        <v>4003.38</v>
      </c>
      <c r="X700" t="s">
        <v>32</v>
      </c>
      <c r="Y700" t="s">
        <v>103</v>
      </c>
      <c r="Z700" t="str">
        <f t="shared" si="140"/>
        <v>Unique</v>
      </c>
      <c r="AA700" t="str">
        <f t="shared" si="141"/>
        <v>Unique</v>
      </c>
      <c r="AB700" t="str">
        <f t="shared" si="145"/>
        <v>OK</v>
      </c>
      <c r="AC700">
        <f t="shared" si="146"/>
        <v>0.15</v>
      </c>
      <c r="AD700" t="str">
        <f t="shared" si="147"/>
        <v>OK</v>
      </c>
      <c r="AE700">
        <f t="shared" si="148"/>
        <v>27755.287999999997</v>
      </c>
      <c r="AF700">
        <f t="shared" si="149"/>
        <v>4003.377999999997</v>
      </c>
      <c r="AG700">
        <f t="shared" si="150"/>
        <v>0.14423838801456493</v>
      </c>
      <c r="AH700" t="str">
        <f t="shared" si="142"/>
        <v>September</v>
      </c>
      <c r="AI700">
        <f t="shared" si="143"/>
        <v>2024</v>
      </c>
      <c r="AJ700" t="str">
        <f t="shared" si="151"/>
        <v>Sales Mismatch</v>
      </c>
      <c r="AK700" t="str">
        <f t="shared" si="152"/>
        <v>OK</v>
      </c>
      <c r="AL700" t="str">
        <f t="shared" si="153"/>
        <v>Exclude</v>
      </c>
      <c r="AM700" t="str">
        <f t="shared" si="144"/>
        <v>Warning</v>
      </c>
    </row>
    <row r="701" spans="1:39">
      <c r="A701" t="s">
        <v>2178</v>
      </c>
      <c r="B701" s="4">
        <v>45454</v>
      </c>
      <c r="C701" s="4">
        <v>45454</v>
      </c>
      <c r="D701" s="6">
        <v>0</v>
      </c>
      <c r="E701" t="s">
        <v>2788</v>
      </c>
      <c r="F701" t="s">
        <v>2788</v>
      </c>
      <c r="G701" t="s">
        <v>2788</v>
      </c>
      <c r="H701" t="s">
        <v>2179</v>
      </c>
      <c r="I701" t="s">
        <v>53</v>
      </c>
      <c r="J701" t="s">
        <v>37</v>
      </c>
      <c r="K701" t="s">
        <v>54</v>
      </c>
      <c r="L701" t="s">
        <v>175</v>
      </c>
      <c r="M701" t="s">
        <v>176</v>
      </c>
      <c r="N701" t="s">
        <v>41</v>
      </c>
      <c r="O701" t="s">
        <v>158</v>
      </c>
      <c r="P701" t="s">
        <v>2180</v>
      </c>
      <c r="Q701" t="s">
        <v>59</v>
      </c>
      <c r="R701">
        <v>9</v>
      </c>
      <c r="S701">
        <v>1400.11</v>
      </c>
      <c r="T701">
        <v>0.25</v>
      </c>
      <c r="U701">
        <v>9450.74</v>
      </c>
      <c r="V701">
        <v>7798.56</v>
      </c>
      <c r="W701">
        <v>1652.18</v>
      </c>
      <c r="X701" t="s">
        <v>32</v>
      </c>
      <c r="Y701" t="s">
        <v>33</v>
      </c>
      <c r="Z701" t="str">
        <f t="shared" si="140"/>
        <v>Unique</v>
      </c>
      <c r="AA701" t="str">
        <f t="shared" si="141"/>
        <v>Unique</v>
      </c>
      <c r="AB701" t="str">
        <f t="shared" si="145"/>
        <v>OK</v>
      </c>
      <c r="AC701">
        <f t="shared" si="146"/>
        <v>0.25</v>
      </c>
      <c r="AD701" t="str">
        <f t="shared" si="147"/>
        <v>OK</v>
      </c>
      <c r="AE701">
        <f t="shared" si="148"/>
        <v>9450.7425000000003</v>
      </c>
      <c r="AF701">
        <f t="shared" si="149"/>
        <v>1652.1824999999999</v>
      </c>
      <c r="AG701">
        <f t="shared" si="150"/>
        <v>0.17482039109625511</v>
      </c>
      <c r="AH701" t="str">
        <f t="shared" si="142"/>
        <v>June</v>
      </c>
      <c r="AI701">
        <f t="shared" si="143"/>
        <v>2024</v>
      </c>
      <c r="AJ701" t="str">
        <f t="shared" si="151"/>
        <v>OK</v>
      </c>
      <c r="AK701" t="str">
        <f t="shared" si="152"/>
        <v>OK</v>
      </c>
      <c r="AL701" t="str">
        <f t="shared" si="153"/>
        <v>Include</v>
      </c>
      <c r="AM701" t="str">
        <f t="shared" si="144"/>
        <v>Clean</v>
      </c>
    </row>
    <row r="702" spans="1:39">
      <c r="A702" t="s">
        <v>2181</v>
      </c>
      <c r="B702" s="4">
        <v>45553</v>
      </c>
      <c r="C702" s="4">
        <v>45556</v>
      </c>
      <c r="D702" s="6">
        <v>3</v>
      </c>
      <c r="E702" t="s">
        <v>2788</v>
      </c>
      <c r="F702" t="s">
        <v>2788</v>
      </c>
      <c r="G702" t="s">
        <v>2788</v>
      </c>
      <c r="H702" t="s">
        <v>2182</v>
      </c>
      <c r="I702" t="s">
        <v>79</v>
      </c>
      <c r="J702" t="s">
        <v>90</v>
      </c>
      <c r="K702" t="s">
        <v>38</v>
      </c>
      <c r="L702" t="s">
        <v>99</v>
      </c>
      <c r="M702" t="s">
        <v>100</v>
      </c>
      <c r="N702" t="s">
        <v>74</v>
      </c>
      <c r="O702" t="s">
        <v>274</v>
      </c>
      <c r="P702" t="s">
        <v>2183</v>
      </c>
      <c r="Q702" t="s">
        <v>59</v>
      </c>
      <c r="R702">
        <v>3</v>
      </c>
      <c r="S702">
        <v>3055.9</v>
      </c>
      <c r="T702">
        <v>0.15</v>
      </c>
      <c r="U702">
        <v>7792.55</v>
      </c>
      <c r="V702">
        <v>4691.7299999999996</v>
      </c>
      <c r="W702">
        <v>3100.82</v>
      </c>
      <c r="X702" t="s">
        <v>32</v>
      </c>
      <c r="Y702" t="s">
        <v>33</v>
      </c>
      <c r="Z702" t="str">
        <f t="shared" si="140"/>
        <v>Unique</v>
      </c>
      <c r="AA702" t="str">
        <f t="shared" si="141"/>
        <v>Unique</v>
      </c>
      <c r="AB702" t="str">
        <f t="shared" si="145"/>
        <v>OK</v>
      </c>
      <c r="AC702">
        <f t="shared" si="146"/>
        <v>0.15</v>
      </c>
      <c r="AD702" t="str">
        <f t="shared" si="147"/>
        <v>OK</v>
      </c>
      <c r="AE702">
        <f t="shared" si="148"/>
        <v>7792.5450000000001</v>
      </c>
      <c r="AF702">
        <f t="shared" si="149"/>
        <v>3100.8150000000005</v>
      </c>
      <c r="AG702">
        <f t="shared" si="150"/>
        <v>0.39792070498149201</v>
      </c>
      <c r="AH702" t="str">
        <f t="shared" si="142"/>
        <v>September</v>
      </c>
      <c r="AI702">
        <f t="shared" si="143"/>
        <v>2024</v>
      </c>
      <c r="AJ702" t="str">
        <f t="shared" si="151"/>
        <v>OK</v>
      </c>
      <c r="AK702" t="str">
        <f t="shared" si="152"/>
        <v>OK</v>
      </c>
      <c r="AL702" t="str">
        <f t="shared" si="153"/>
        <v>Include</v>
      </c>
      <c r="AM702" t="str">
        <f t="shared" si="144"/>
        <v>Clean</v>
      </c>
    </row>
    <row r="703" spans="1:39">
      <c r="A703" t="s">
        <v>2184</v>
      </c>
      <c r="B703" s="4">
        <v>45412</v>
      </c>
      <c r="C703" s="4">
        <v>45416</v>
      </c>
      <c r="D703" s="6">
        <v>4</v>
      </c>
      <c r="E703" t="s">
        <v>2788</v>
      </c>
      <c r="F703" t="s">
        <v>2788</v>
      </c>
      <c r="G703" t="s">
        <v>2788</v>
      </c>
      <c r="H703" t="s">
        <v>2185</v>
      </c>
      <c r="I703" t="s">
        <v>141</v>
      </c>
      <c r="J703" t="s">
        <v>37</v>
      </c>
      <c r="K703" t="s">
        <v>63</v>
      </c>
      <c r="L703" t="s">
        <v>180</v>
      </c>
      <c r="M703" t="s">
        <v>181</v>
      </c>
      <c r="N703" t="s">
        <v>28</v>
      </c>
      <c r="O703" t="s">
        <v>48</v>
      </c>
      <c r="P703" t="s">
        <v>2186</v>
      </c>
      <c r="Q703" t="s">
        <v>44</v>
      </c>
      <c r="R703">
        <v>7</v>
      </c>
      <c r="S703">
        <v>1224.94</v>
      </c>
      <c r="T703">
        <v>0</v>
      </c>
      <c r="U703">
        <v>8574.58</v>
      </c>
      <c r="V703">
        <v>6685.81</v>
      </c>
      <c r="W703">
        <v>1888.77</v>
      </c>
      <c r="X703" t="s">
        <v>32</v>
      </c>
      <c r="Y703" t="s">
        <v>103</v>
      </c>
      <c r="Z703" t="str">
        <f t="shared" si="140"/>
        <v>Unique</v>
      </c>
      <c r="AA703" t="str">
        <f t="shared" si="141"/>
        <v>Unique</v>
      </c>
      <c r="AB703" t="str">
        <f t="shared" si="145"/>
        <v>OK</v>
      </c>
      <c r="AC703">
        <f t="shared" si="146"/>
        <v>0</v>
      </c>
      <c r="AD703" t="str">
        <f t="shared" si="147"/>
        <v>OK</v>
      </c>
      <c r="AE703">
        <f t="shared" si="148"/>
        <v>8574.58</v>
      </c>
      <c r="AF703">
        <f t="shared" si="149"/>
        <v>1888.7699999999995</v>
      </c>
      <c r="AG703">
        <f t="shared" si="150"/>
        <v>0.22027551203674112</v>
      </c>
      <c r="AH703" t="str">
        <f t="shared" si="142"/>
        <v>April</v>
      </c>
      <c r="AI703">
        <f t="shared" si="143"/>
        <v>2024</v>
      </c>
      <c r="AJ703" t="str">
        <f t="shared" si="151"/>
        <v>OK</v>
      </c>
      <c r="AK703" t="str">
        <f t="shared" si="152"/>
        <v>OK</v>
      </c>
      <c r="AL703" t="str">
        <f t="shared" si="153"/>
        <v>Exclude</v>
      </c>
      <c r="AM703" t="str">
        <f t="shared" si="144"/>
        <v>Clean</v>
      </c>
    </row>
    <row r="704" spans="1:39">
      <c r="A704" t="s">
        <v>2187</v>
      </c>
      <c r="B704" s="4">
        <v>45690</v>
      </c>
      <c r="C704" s="4">
        <v>45694</v>
      </c>
      <c r="D704" s="6">
        <v>4</v>
      </c>
      <c r="E704" t="s">
        <v>2788</v>
      </c>
      <c r="F704" t="s">
        <v>2788</v>
      </c>
      <c r="G704" t="s">
        <v>2788</v>
      </c>
      <c r="H704" t="s">
        <v>2188</v>
      </c>
      <c r="I704" t="s">
        <v>23</v>
      </c>
      <c r="J704" t="s">
        <v>37</v>
      </c>
      <c r="K704" t="s">
        <v>63</v>
      </c>
      <c r="L704" t="s">
        <v>26</v>
      </c>
      <c r="M704" t="s">
        <v>109</v>
      </c>
      <c r="N704" t="s">
        <v>41</v>
      </c>
      <c r="O704" t="s">
        <v>42</v>
      </c>
      <c r="P704" t="s">
        <v>2189</v>
      </c>
      <c r="Q704" t="s">
        <v>31</v>
      </c>
      <c r="R704">
        <v>3</v>
      </c>
      <c r="S704">
        <v>997.34</v>
      </c>
      <c r="T704">
        <v>0.1</v>
      </c>
      <c r="U704">
        <v>2692.82</v>
      </c>
      <c r="V704">
        <v>1820.08</v>
      </c>
      <c r="W704">
        <v>872.74</v>
      </c>
      <c r="X704" t="s">
        <v>32</v>
      </c>
      <c r="Y704" t="s">
        <v>33</v>
      </c>
      <c r="Z704" t="str">
        <f t="shared" si="140"/>
        <v>Unique</v>
      </c>
      <c r="AA704" t="str">
        <f t="shared" si="141"/>
        <v>Unique</v>
      </c>
      <c r="AB704" t="str">
        <f t="shared" si="145"/>
        <v>OK</v>
      </c>
      <c r="AC704">
        <f t="shared" si="146"/>
        <v>0.1</v>
      </c>
      <c r="AD704" t="str">
        <f t="shared" si="147"/>
        <v>OK</v>
      </c>
      <c r="AE704">
        <f t="shared" si="148"/>
        <v>2692.8180000000002</v>
      </c>
      <c r="AF704">
        <f t="shared" si="149"/>
        <v>872.73800000000028</v>
      </c>
      <c r="AG704">
        <f t="shared" si="150"/>
        <v>0.32409839803506968</v>
      </c>
      <c r="AH704" t="str">
        <f t="shared" si="142"/>
        <v>February</v>
      </c>
      <c r="AI704">
        <f t="shared" si="143"/>
        <v>2025</v>
      </c>
      <c r="AJ704" t="str">
        <f t="shared" si="151"/>
        <v>OK</v>
      </c>
      <c r="AK704" t="str">
        <f t="shared" si="152"/>
        <v>OK</v>
      </c>
      <c r="AL704" t="str">
        <f t="shared" si="153"/>
        <v>Include</v>
      </c>
      <c r="AM704" t="str">
        <f t="shared" si="144"/>
        <v>Clean</v>
      </c>
    </row>
    <row r="705" spans="1:39">
      <c r="A705" t="s">
        <v>2190</v>
      </c>
      <c r="B705" s="4">
        <v>45584</v>
      </c>
      <c r="C705" s="4">
        <v>45585</v>
      </c>
      <c r="D705" s="6">
        <v>1</v>
      </c>
      <c r="E705" t="s">
        <v>2788</v>
      </c>
      <c r="F705" t="s">
        <v>2788</v>
      </c>
      <c r="G705" t="s">
        <v>2788</v>
      </c>
      <c r="H705" t="s">
        <v>2191</v>
      </c>
      <c r="I705" t="s">
        <v>89</v>
      </c>
      <c r="J705" t="s">
        <v>90</v>
      </c>
      <c r="K705" t="s">
        <v>25</v>
      </c>
      <c r="L705" t="s">
        <v>26</v>
      </c>
      <c r="M705" t="s">
        <v>27</v>
      </c>
      <c r="N705" t="s">
        <v>41</v>
      </c>
      <c r="O705" t="s">
        <v>42</v>
      </c>
      <c r="P705" t="s">
        <v>2192</v>
      </c>
      <c r="Q705" t="s">
        <v>50</v>
      </c>
      <c r="R705">
        <v>1</v>
      </c>
      <c r="S705">
        <v>1150.03</v>
      </c>
      <c r="T705">
        <v>0.1</v>
      </c>
      <c r="U705">
        <v>1035.03</v>
      </c>
      <c r="V705">
        <v>854.35</v>
      </c>
      <c r="W705">
        <v>180.68</v>
      </c>
      <c r="X705" t="s">
        <v>32</v>
      </c>
      <c r="Y705" t="s">
        <v>33</v>
      </c>
      <c r="Z705" t="str">
        <f t="shared" si="140"/>
        <v>Unique</v>
      </c>
      <c r="AA705" t="str">
        <f t="shared" si="141"/>
        <v>Unique</v>
      </c>
      <c r="AB705" t="str">
        <f t="shared" si="145"/>
        <v>OK</v>
      </c>
      <c r="AC705">
        <f t="shared" si="146"/>
        <v>0.1</v>
      </c>
      <c r="AD705" t="str">
        <f t="shared" si="147"/>
        <v>OK</v>
      </c>
      <c r="AE705">
        <f t="shared" si="148"/>
        <v>1035.027</v>
      </c>
      <c r="AF705">
        <f t="shared" si="149"/>
        <v>180.67700000000002</v>
      </c>
      <c r="AG705">
        <f t="shared" si="150"/>
        <v>0.1745625959516032</v>
      </c>
      <c r="AH705" t="str">
        <f t="shared" si="142"/>
        <v>October</v>
      </c>
      <c r="AI705">
        <f t="shared" si="143"/>
        <v>2024</v>
      </c>
      <c r="AJ705" t="str">
        <f t="shared" si="151"/>
        <v>OK</v>
      </c>
      <c r="AK705" t="str">
        <f t="shared" si="152"/>
        <v>OK</v>
      </c>
      <c r="AL705" t="str">
        <f t="shared" si="153"/>
        <v>Include</v>
      </c>
      <c r="AM705" t="str">
        <f t="shared" si="144"/>
        <v>Clean</v>
      </c>
    </row>
    <row r="706" spans="1:39">
      <c r="A706" t="s">
        <v>2193</v>
      </c>
      <c r="B706" s="4">
        <v>45364</v>
      </c>
      <c r="C706" s="4">
        <v>45371</v>
      </c>
      <c r="D706" s="6">
        <v>7</v>
      </c>
      <c r="E706" t="s">
        <v>2788</v>
      </c>
      <c r="F706" t="s">
        <v>2788</v>
      </c>
      <c r="G706" t="s">
        <v>2788</v>
      </c>
      <c r="H706" t="s">
        <v>2194</v>
      </c>
      <c r="I706" t="s">
        <v>114</v>
      </c>
      <c r="J706" t="s">
        <v>95</v>
      </c>
      <c r="K706" t="s">
        <v>54</v>
      </c>
      <c r="L706" t="s">
        <v>247</v>
      </c>
      <c r="M706" t="s">
        <v>248</v>
      </c>
      <c r="N706" t="s">
        <v>41</v>
      </c>
      <c r="O706" t="s">
        <v>158</v>
      </c>
      <c r="P706" t="s">
        <v>2195</v>
      </c>
      <c r="Q706" t="s">
        <v>2783</v>
      </c>
      <c r="R706">
        <v>1</v>
      </c>
      <c r="S706">
        <v>2825.63</v>
      </c>
      <c r="T706">
        <v>0.15</v>
      </c>
      <c r="U706">
        <v>2401.79</v>
      </c>
      <c r="V706">
        <v>1820.34</v>
      </c>
      <c r="W706">
        <v>581.45000000000005</v>
      </c>
      <c r="X706" t="s">
        <v>32</v>
      </c>
      <c r="Y706" t="s">
        <v>33</v>
      </c>
      <c r="Z706" t="str">
        <f t="shared" ref="Z706:Z769" si="154">IF(COUNTIFS($A:$A,A706,$B:$B,B706,$C:$C,C706,$H:$H,H706,$U:$U,U706,$W:$W,W706)&gt;1,"Exact Duplicate","Unique")</f>
        <v>Exact Duplicate</v>
      </c>
      <c r="AA706" t="str">
        <f t="shared" ref="AA706:AA769" si="155">IF(COUNTIF($A:$A,A706)&gt;1,"Duplicate Order ID","Unique")</f>
        <v>Duplicate Order ID</v>
      </c>
      <c r="AB706" t="str">
        <f t="shared" si="145"/>
        <v>OK</v>
      </c>
      <c r="AC706">
        <f t="shared" si="146"/>
        <v>0.15</v>
      </c>
      <c r="AD706" t="str">
        <f t="shared" si="147"/>
        <v>OK</v>
      </c>
      <c r="AE706">
        <f t="shared" si="148"/>
        <v>2401.7855</v>
      </c>
      <c r="AF706">
        <f t="shared" si="149"/>
        <v>581.44550000000004</v>
      </c>
      <c r="AG706">
        <f t="shared" si="150"/>
        <v>0.24208885431276025</v>
      </c>
      <c r="AH706" t="str">
        <f t="shared" ref="AH706:AH769" si="156">IFERROR(TEXT(B706,"mmmm"),"")</f>
        <v>March</v>
      </c>
      <c r="AI706">
        <f t="shared" ref="AI706:AI769" si="157">IFERROR(YEAR(B706),"")</f>
        <v>2024</v>
      </c>
      <c r="AJ706" t="str">
        <f t="shared" si="151"/>
        <v>OK</v>
      </c>
      <c r="AK706" t="str">
        <f t="shared" si="152"/>
        <v>OK</v>
      </c>
      <c r="AL706" t="str">
        <f t="shared" si="153"/>
        <v>Include</v>
      </c>
      <c r="AM706" t="str">
        <f t="shared" ref="AM706:AM769" si="158">IF(OR(E706&lt;&gt;"OK",F706&lt;&gt;"OK",AD706&lt;&gt;"OK",AB706="Conflicting Duplicate"),"Invalid",IF(OR(G706&lt;&gt;"OK",AJ706&lt;&gt;"OK",AK706&lt;&gt;"OK"),"Warning","Clean"))</f>
        <v>Clean</v>
      </c>
    </row>
    <row r="707" spans="1:39">
      <c r="A707" t="s">
        <v>2196</v>
      </c>
      <c r="B707" s="4">
        <v>45543</v>
      </c>
      <c r="C707" s="4">
        <v>45549</v>
      </c>
      <c r="D707" s="6">
        <v>6</v>
      </c>
      <c r="E707" t="s">
        <v>2788</v>
      </c>
      <c r="F707" t="s">
        <v>2788</v>
      </c>
      <c r="G707" t="s">
        <v>2788</v>
      </c>
      <c r="H707" t="s">
        <v>2197</v>
      </c>
      <c r="I707" t="s">
        <v>141</v>
      </c>
      <c r="J707" t="s">
        <v>24</v>
      </c>
      <c r="K707" t="s">
        <v>25</v>
      </c>
      <c r="L707" t="s">
        <v>26</v>
      </c>
      <c r="M707" t="s">
        <v>27</v>
      </c>
      <c r="N707" t="s">
        <v>28</v>
      </c>
      <c r="O707" t="s">
        <v>153</v>
      </c>
      <c r="P707" t="s">
        <v>2198</v>
      </c>
      <c r="Q707" t="s">
        <v>59</v>
      </c>
      <c r="R707">
        <v>5</v>
      </c>
      <c r="S707">
        <v>3371.75</v>
      </c>
      <c r="T707">
        <v>0.05</v>
      </c>
      <c r="U707">
        <v>16015.81</v>
      </c>
      <c r="V707">
        <v>11352.38</v>
      </c>
      <c r="W707">
        <v>4663.43</v>
      </c>
      <c r="X707" t="s">
        <v>32</v>
      </c>
      <c r="Y707" t="s">
        <v>33</v>
      </c>
      <c r="Z707" t="str">
        <f t="shared" si="154"/>
        <v>Unique</v>
      </c>
      <c r="AA707" t="str">
        <f t="shared" si="155"/>
        <v>Unique</v>
      </c>
      <c r="AB707" t="str">
        <f t="shared" ref="AB707:AB770" si="159">IF(AND(AA707="Duplicate Order ID",Z707&lt;&gt;"Exact Duplicate"),"Conflicting Duplicate","OK")</f>
        <v>OK</v>
      </c>
      <c r="AC707">
        <f t="shared" ref="AC707:AC770" si="160">IF(OR(T707="",ISBLANK(T707)),0,T707)</f>
        <v>0.05</v>
      </c>
      <c r="AD707" t="str">
        <f t="shared" ref="AD707:AD770" si="161">IF(AC707&lt;0,"Invalid Negative Discount",IF(AC707&gt;1,"Invalid High Discount","OK"))</f>
        <v>OK</v>
      </c>
      <c r="AE707">
        <f t="shared" ref="AE707:AE770" si="162">R707*S707*(1-AC707)</f>
        <v>16015.8125</v>
      </c>
      <c r="AF707">
        <f t="shared" ref="AF707:AF770" si="163">AE707-V707</f>
        <v>4663.4325000000008</v>
      </c>
      <c r="AG707">
        <f t="shared" ref="AG707:AG770" si="164">IF(AE707=0,0,AF707/AE707)</f>
        <v>0.29117676671102394</v>
      </c>
      <c r="AH707" t="str">
        <f t="shared" si="156"/>
        <v>September</v>
      </c>
      <c r="AI707">
        <f t="shared" si="157"/>
        <v>2024</v>
      </c>
      <c r="AJ707" t="str">
        <f t="shared" ref="AJ707:AJ770" si="165">IF(ABS(U707-AE707)&gt;1,"Sales Mismatch","OK")</f>
        <v>OK</v>
      </c>
      <c r="AK707" t="str">
        <f t="shared" ref="AK707:AK770" si="166">IF(ABS(W707-AF707)&gt;1,"Profit Mismatch","OK")</f>
        <v>OK</v>
      </c>
      <c r="AL707" t="str">
        <f t="shared" ref="AL707:AL770" si="167">IF(AND(X707="Paid",Y707="Completed"),"Include","Exclude")</f>
        <v>Include</v>
      </c>
      <c r="AM707" t="str">
        <f t="shared" si="158"/>
        <v>Clean</v>
      </c>
    </row>
    <row r="708" spans="1:39">
      <c r="A708" t="s">
        <v>2199</v>
      </c>
      <c r="B708" s="4">
        <v>45467</v>
      </c>
      <c r="C708" s="4">
        <v>45471</v>
      </c>
      <c r="D708" s="6">
        <v>4</v>
      </c>
      <c r="E708" t="s">
        <v>2788</v>
      </c>
      <c r="F708" t="s">
        <v>2788</v>
      </c>
      <c r="G708" t="s">
        <v>2788</v>
      </c>
      <c r="H708" t="s">
        <v>2200</v>
      </c>
      <c r="I708" t="s">
        <v>47</v>
      </c>
      <c r="J708" t="s">
        <v>37</v>
      </c>
      <c r="K708" t="s">
        <v>38</v>
      </c>
      <c r="L708" t="s">
        <v>39</v>
      </c>
      <c r="M708" t="s">
        <v>40</v>
      </c>
      <c r="N708" t="s">
        <v>28</v>
      </c>
      <c r="O708" t="s">
        <v>29</v>
      </c>
      <c r="P708" t="s">
        <v>2201</v>
      </c>
      <c r="Q708" t="s">
        <v>44</v>
      </c>
      <c r="R708">
        <v>1</v>
      </c>
      <c r="S708">
        <v>2112.75</v>
      </c>
      <c r="T708">
        <v>0.1</v>
      </c>
      <c r="U708">
        <v>1901.48</v>
      </c>
      <c r="V708">
        <v>1354.28</v>
      </c>
      <c r="W708">
        <v>547.20000000000005</v>
      </c>
      <c r="X708" t="s">
        <v>32</v>
      </c>
      <c r="Y708" t="s">
        <v>33</v>
      </c>
      <c r="Z708" t="str">
        <f t="shared" si="154"/>
        <v>Unique</v>
      </c>
      <c r="AA708" t="str">
        <f t="shared" si="155"/>
        <v>Unique</v>
      </c>
      <c r="AB708" t="str">
        <f t="shared" si="159"/>
        <v>OK</v>
      </c>
      <c r="AC708">
        <f t="shared" si="160"/>
        <v>0.1</v>
      </c>
      <c r="AD708" t="str">
        <f t="shared" si="161"/>
        <v>OK</v>
      </c>
      <c r="AE708">
        <f t="shared" si="162"/>
        <v>1901.4750000000001</v>
      </c>
      <c r="AF708">
        <f t="shared" si="163"/>
        <v>547.19500000000016</v>
      </c>
      <c r="AG708">
        <f t="shared" si="164"/>
        <v>0.28777396494826391</v>
      </c>
      <c r="AH708" t="str">
        <f t="shared" si="156"/>
        <v>June</v>
      </c>
      <c r="AI708">
        <f t="shared" si="157"/>
        <v>2024</v>
      </c>
      <c r="AJ708" t="str">
        <f t="shared" si="165"/>
        <v>OK</v>
      </c>
      <c r="AK708" t="str">
        <f t="shared" si="166"/>
        <v>OK</v>
      </c>
      <c r="AL708" t="str">
        <f t="shared" si="167"/>
        <v>Include</v>
      </c>
      <c r="AM708" t="str">
        <f t="shared" si="158"/>
        <v>Clean</v>
      </c>
    </row>
    <row r="709" spans="1:39">
      <c r="A709" t="s">
        <v>2202</v>
      </c>
      <c r="B709" s="4">
        <v>45832</v>
      </c>
      <c r="C709" s="4">
        <v>45834</v>
      </c>
      <c r="D709" s="6">
        <v>2</v>
      </c>
      <c r="E709" t="s">
        <v>2788</v>
      </c>
      <c r="F709" t="s">
        <v>2788</v>
      </c>
      <c r="G709" t="s">
        <v>2788</v>
      </c>
      <c r="H709" t="s">
        <v>2203</v>
      </c>
      <c r="I709" t="s">
        <v>71</v>
      </c>
      <c r="J709" t="s">
        <v>24</v>
      </c>
      <c r="K709" t="s">
        <v>25</v>
      </c>
      <c r="L709" t="s">
        <v>26</v>
      </c>
      <c r="M709" t="s">
        <v>27</v>
      </c>
      <c r="N709" t="s">
        <v>74</v>
      </c>
      <c r="O709" t="s">
        <v>75</v>
      </c>
      <c r="P709" t="s">
        <v>2204</v>
      </c>
      <c r="Q709" t="s">
        <v>44</v>
      </c>
      <c r="R709">
        <v>5</v>
      </c>
      <c r="S709">
        <v>3722.66</v>
      </c>
      <c r="T709">
        <v>0.55000000000000004</v>
      </c>
      <c r="U709">
        <v>16751.97</v>
      </c>
      <c r="V709">
        <v>11678.32</v>
      </c>
      <c r="W709">
        <v>5073.6499999999996</v>
      </c>
      <c r="X709" t="s">
        <v>32</v>
      </c>
      <c r="Y709" t="s">
        <v>33</v>
      </c>
      <c r="Z709" t="str">
        <f t="shared" si="154"/>
        <v>Unique</v>
      </c>
      <c r="AA709" t="str">
        <f t="shared" si="155"/>
        <v>Unique</v>
      </c>
      <c r="AB709" t="str">
        <f t="shared" si="159"/>
        <v>OK</v>
      </c>
      <c r="AC709">
        <f t="shared" si="160"/>
        <v>0.55000000000000004</v>
      </c>
      <c r="AD709" t="str">
        <f t="shared" si="161"/>
        <v>OK</v>
      </c>
      <c r="AE709">
        <f t="shared" si="162"/>
        <v>8375.9849999999988</v>
      </c>
      <c r="AF709">
        <f t="shared" si="163"/>
        <v>-3302.3350000000009</v>
      </c>
      <c r="AG709">
        <f t="shared" si="164"/>
        <v>-0.39426228676388525</v>
      </c>
      <c r="AH709" t="str">
        <f t="shared" si="156"/>
        <v>June</v>
      </c>
      <c r="AI709">
        <f t="shared" si="157"/>
        <v>2025</v>
      </c>
      <c r="AJ709" t="str">
        <f t="shared" si="165"/>
        <v>Sales Mismatch</v>
      </c>
      <c r="AK709" t="str">
        <f t="shared" si="166"/>
        <v>Profit Mismatch</v>
      </c>
      <c r="AL709" t="str">
        <f t="shared" si="167"/>
        <v>Include</v>
      </c>
      <c r="AM709" t="str">
        <f t="shared" si="158"/>
        <v>Warning</v>
      </c>
    </row>
    <row r="710" spans="1:39">
      <c r="A710" t="s">
        <v>2205</v>
      </c>
      <c r="B710" s="4">
        <v>45736</v>
      </c>
      <c r="C710" s="4">
        <v>45742</v>
      </c>
      <c r="D710" s="6">
        <v>6</v>
      </c>
      <c r="E710" t="s">
        <v>2788</v>
      </c>
      <c r="F710" t="s">
        <v>2788</v>
      </c>
      <c r="G710" t="s">
        <v>2788</v>
      </c>
      <c r="H710" t="s">
        <v>2206</v>
      </c>
      <c r="I710" t="s">
        <v>132</v>
      </c>
      <c r="J710" t="s">
        <v>24</v>
      </c>
      <c r="K710" t="s">
        <v>38</v>
      </c>
      <c r="L710" t="s">
        <v>166</v>
      </c>
      <c r="M710" t="s">
        <v>167</v>
      </c>
      <c r="N710" t="s">
        <v>41</v>
      </c>
      <c r="O710" t="s">
        <v>158</v>
      </c>
      <c r="P710" t="s">
        <v>2207</v>
      </c>
      <c r="Q710" t="s">
        <v>50</v>
      </c>
      <c r="R710">
        <v>4</v>
      </c>
      <c r="S710">
        <v>4357.66</v>
      </c>
      <c r="T710">
        <v>0.05</v>
      </c>
      <c r="U710">
        <v>16559.11</v>
      </c>
      <c r="V710">
        <v>13233.79</v>
      </c>
      <c r="W710">
        <v>3325.32</v>
      </c>
      <c r="X710" t="s">
        <v>32</v>
      </c>
      <c r="Y710" t="s">
        <v>33</v>
      </c>
      <c r="Z710" t="str">
        <f t="shared" si="154"/>
        <v>Unique</v>
      </c>
      <c r="AA710" t="str">
        <f t="shared" si="155"/>
        <v>Unique</v>
      </c>
      <c r="AB710" t="str">
        <f t="shared" si="159"/>
        <v>OK</v>
      </c>
      <c r="AC710">
        <f t="shared" si="160"/>
        <v>0.05</v>
      </c>
      <c r="AD710" t="str">
        <f t="shared" si="161"/>
        <v>OK</v>
      </c>
      <c r="AE710">
        <f t="shared" si="162"/>
        <v>16559.108</v>
      </c>
      <c r="AF710">
        <f t="shared" si="163"/>
        <v>3325.3179999999993</v>
      </c>
      <c r="AG710">
        <f t="shared" si="164"/>
        <v>0.20081504390212318</v>
      </c>
      <c r="AH710" t="str">
        <f t="shared" si="156"/>
        <v>March</v>
      </c>
      <c r="AI710">
        <f t="shared" si="157"/>
        <v>2025</v>
      </c>
      <c r="AJ710" t="str">
        <f t="shared" si="165"/>
        <v>OK</v>
      </c>
      <c r="AK710" t="str">
        <f t="shared" si="166"/>
        <v>OK</v>
      </c>
      <c r="AL710" t="str">
        <f t="shared" si="167"/>
        <v>Include</v>
      </c>
      <c r="AM710" t="str">
        <f t="shared" si="158"/>
        <v>Clean</v>
      </c>
    </row>
    <row r="711" spans="1:39">
      <c r="A711" t="s">
        <v>2208</v>
      </c>
      <c r="B711" s="4">
        <v>45676</v>
      </c>
      <c r="C711" s="4">
        <v>45680</v>
      </c>
      <c r="D711" s="6">
        <v>4</v>
      </c>
      <c r="E711" t="s">
        <v>2788</v>
      </c>
      <c r="F711" t="s">
        <v>2788</v>
      </c>
      <c r="G711" t="s">
        <v>2788</v>
      </c>
      <c r="H711" t="s">
        <v>2209</v>
      </c>
      <c r="I711" t="s">
        <v>264</v>
      </c>
      <c r="J711" t="s">
        <v>95</v>
      </c>
      <c r="K711" t="s">
        <v>25</v>
      </c>
      <c r="L711" t="s">
        <v>122</v>
      </c>
      <c r="M711" t="s">
        <v>123</v>
      </c>
      <c r="N711" t="s">
        <v>74</v>
      </c>
      <c r="O711" t="s">
        <v>171</v>
      </c>
      <c r="P711" t="s">
        <v>2210</v>
      </c>
      <c r="Q711" t="s">
        <v>44</v>
      </c>
      <c r="R711">
        <v>7</v>
      </c>
      <c r="S711">
        <v>1363.04</v>
      </c>
      <c r="T711">
        <v>0.15</v>
      </c>
      <c r="U711">
        <v>8110.09</v>
      </c>
      <c r="V711">
        <v>6417.32</v>
      </c>
      <c r="W711">
        <v>1692.77</v>
      </c>
      <c r="X711" t="s">
        <v>32</v>
      </c>
      <c r="Y711" t="s">
        <v>68</v>
      </c>
      <c r="Z711" t="str">
        <f t="shared" si="154"/>
        <v>Unique</v>
      </c>
      <c r="AA711" t="str">
        <f t="shared" si="155"/>
        <v>Unique</v>
      </c>
      <c r="AB711" t="str">
        <f t="shared" si="159"/>
        <v>OK</v>
      </c>
      <c r="AC711">
        <f t="shared" si="160"/>
        <v>0.15</v>
      </c>
      <c r="AD711" t="str">
        <f t="shared" si="161"/>
        <v>OK</v>
      </c>
      <c r="AE711">
        <f t="shared" si="162"/>
        <v>8110.0879999999988</v>
      </c>
      <c r="AF711">
        <f t="shared" si="163"/>
        <v>1692.7679999999991</v>
      </c>
      <c r="AG711">
        <f t="shared" si="164"/>
        <v>0.2087237524426368</v>
      </c>
      <c r="AH711" t="str">
        <f t="shared" si="156"/>
        <v>January</v>
      </c>
      <c r="AI711">
        <f t="shared" si="157"/>
        <v>2025</v>
      </c>
      <c r="AJ711" t="str">
        <f t="shared" si="165"/>
        <v>OK</v>
      </c>
      <c r="AK711" t="str">
        <f t="shared" si="166"/>
        <v>OK</v>
      </c>
      <c r="AL711" t="str">
        <f t="shared" si="167"/>
        <v>Exclude</v>
      </c>
      <c r="AM711" t="str">
        <f t="shared" si="158"/>
        <v>Clean</v>
      </c>
    </row>
    <row r="712" spans="1:39">
      <c r="A712" t="s">
        <v>2211</v>
      </c>
      <c r="B712" s="4">
        <v>45485</v>
      </c>
      <c r="C712" s="4">
        <v>45492</v>
      </c>
      <c r="D712" s="6">
        <v>7</v>
      </c>
      <c r="E712" t="s">
        <v>2788</v>
      </c>
      <c r="F712" t="s">
        <v>2788</v>
      </c>
      <c r="G712" t="s">
        <v>2788</v>
      </c>
      <c r="H712" t="s">
        <v>2212</v>
      </c>
      <c r="I712" t="s">
        <v>71</v>
      </c>
      <c r="J712" t="s">
        <v>90</v>
      </c>
      <c r="K712" t="s">
        <v>25</v>
      </c>
      <c r="L712" t="s">
        <v>122</v>
      </c>
      <c r="M712" t="s">
        <v>123</v>
      </c>
      <c r="N712" t="s">
        <v>28</v>
      </c>
      <c r="O712" t="s">
        <v>48</v>
      </c>
      <c r="P712" t="s">
        <v>2213</v>
      </c>
      <c r="Q712" t="s">
        <v>31</v>
      </c>
      <c r="R712">
        <v>5</v>
      </c>
      <c r="S712">
        <v>1559.16</v>
      </c>
      <c r="T712">
        <v>0.05</v>
      </c>
      <c r="U712">
        <v>7406.01</v>
      </c>
      <c r="V712">
        <v>5941.74</v>
      </c>
      <c r="W712">
        <v>1464.27</v>
      </c>
      <c r="X712" t="s">
        <v>32</v>
      </c>
      <c r="Y712" t="s">
        <v>33</v>
      </c>
      <c r="Z712" t="str">
        <f t="shared" si="154"/>
        <v>Unique</v>
      </c>
      <c r="AA712" t="str">
        <f t="shared" si="155"/>
        <v>Unique</v>
      </c>
      <c r="AB712" t="str">
        <f t="shared" si="159"/>
        <v>OK</v>
      </c>
      <c r="AC712">
        <f t="shared" si="160"/>
        <v>0.05</v>
      </c>
      <c r="AD712" t="str">
        <f t="shared" si="161"/>
        <v>OK</v>
      </c>
      <c r="AE712">
        <f t="shared" si="162"/>
        <v>7406.01</v>
      </c>
      <c r="AF712">
        <f t="shared" si="163"/>
        <v>1464.2700000000004</v>
      </c>
      <c r="AG712">
        <f t="shared" si="164"/>
        <v>0.19771374869869207</v>
      </c>
      <c r="AH712" t="str">
        <f t="shared" si="156"/>
        <v>July</v>
      </c>
      <c r="AI712">
        <f t="shared" si="157"/>
        <v>2024</v>
      </c>
      <c r="AJ712" t="str">
        <f t="shared" si="165"/>
        <v>OK</v>
      </c>
      <c r="AK712" t="str">
        <f t="shared" si="166"/>
        <v>OK</v>
      </c>
      <c r="AL712" t="str">
        <f t="shared" si="167"/>
        <v>Include</v>
      </c>
      <c r="AM712" t="str">
        <f t="shared" si="158"/>
        <v>Clean</v>
      </c>
    </row>
    <row r="713" spans="1:39">
      <c r="A713" t="s">
        <v>2214</v>
      </c>
      <c r="B713" s="4">
        <v>45690</v>
      </c>
      <c r="C713" s="4">
        <v>45690</v>
      </c>
      <c r="D713" s="6">
        <v>0</v>
      </c>
      <c r="E713" t="s">
        <v>2788</v>
      </c>
      <c r="F713" t="s">
        <v>2788</v>
      </c>
      <c r="G713" t="s">
        <v>2788</v>
      </c>
      <c r="H713" t="s">
        <v>2215</v>
      </c>
      <c r="I713" t="s">
        <v>264</v>
      </c>
      <c r="J713" t="s">
        <v>90</v>
      </c>
      <c r="K713" t="s">
        <v>38</v>
      </c>
      <c r="L713" t="s">
        <v>99</v>
      </c>
      <c r="M713" t="s">
        <v>100</v>
      </c>
      <c r="N713" t="s">
        <v>74</v>
      </c>
      <c r="O713" t="s">
        <v>274</v>
      </c>
      <c r="P713" t="s">
        <v>2216</v>
      </c>
      <c r="Q713" t="s">
        <v>50</v>
      </c>
      <c r="R713">
        <v>1</v>
      </c>
      <c r="S713">
        <v>4326.75</v>
      </c>
      <c r="T713">
        <v>0.05</v>
      </c>
      <c r="U713">
        <v>4110.41</v>
      </c>
      <c r="V713">
        <v>2394.14</v>
      </c>
      <c r="W713">
        <v>1716.27</v>
      </c>
      <c r="X713" t="s">
        <v>111</v>
      </c>
      <c r="Y713" t="s">
        <v>103</v>
      </c>
      <c r="Z713" t="str">
        <f t="shared" si="154"/>
        <v>Unique</v>
      </c>
      <c r="AA713" t="str">
        <f t="shared" si="155"/>
        <v>Unique</v>
      </c>
      <c r="AB713" t="str">
        <f t="shared" si="159"/>
        <v>OK</v>
      </c>
      <c r="AC713">
        <f t="shared" si="160"/>
        <v>0.05</v>
      </c>
      <c r="AD713" t="str">
        <f t="shared" si="161"/>
        <v>OK</v>
      </c>
      <c r="AE713">
        <f t="shared" si="162"/>
        <v>4110.4124999999995</v>
      </c>
      <c r="AF713">
        <f t="shared" si="163"/>
        <v>1716.2724999999996</v>
      </c>
      <c r="AG713">
        <f t="shared" si="164"/>
        <v>0.41754264322619683</v>
      </c>
      <c r="AH713" t="str">
        <f t="shared" si="156"/>
        <v>February</v>
      </c>
      <c r="AI713">
        <f t="shared" si="157"/>
        <v>2025</v>
      </c>
      <c r="AJ713" t="str">
        <f t="shared" si="165"/>
        <v>OK</v>
      </c>
      <c r="AK713" t="str">
        <f t="shared" si="166"/>
        <v>OK</v>
      </c>
      <c r="AL713" t="str">
        <f t="shared" si="167"/>
        <v>Exclude</v>
      </c>
      <c r="AM713" t="str">
        <f t="shared" si="158"/>
        <v>Clean</v>
      </c>
    </row>
    <row r="714" spans="1:39">
      <c r="A714" t="s">
        <v>2217</v>
      </c>
      <c r="B714" s="4">
        <v>45332</v>
      </c>
      <c r="C714" s="4">
        <v>45340</v>
      </c>
      <c r="D714" s="6">
        <v>8</v>
      </c>
      <c r="E714" t="s">
        <v>2788</v>
      </c>
      <c r="F714" t="s">
        <v>2788</v>
      </c>
      <c r="G714" t="s">
        <v>2788</v>
      </c>
      <c r="H714" t="s">
        <v>2218</v>
      </c>
      <c r="I714" t="s">
        <v>47</v>
      </c>
      <c r="J714" t="s">
        <v>95</v>
      </c>
      <c r="K714" t="s">
        <v>63</v>
      </c>
      <c r="L714" t="s">
        <v>72</v>
      </c>
      <c r="M714" t="s">
        <v>73</v>
      </c>
      <c r="N714" t="s">
        <v>41</v>
      </c>
      <c r="O714" t="s">
        <v>66</v>
      </c>
      <c r="P714" t="s">
        <v>2219</v>
      </c>
      <c r="Q714" t="s">
        <v>50</v>
      </c>
      <c r="R714">
        <v>7</v>
      </c>
      <c r="S714">
        <v>1382.86</v>
      </c>
      <c r="T714">
        <v>0</v>
      </c>
      <c r="U714">
        <v>9680.02</v>
      </c>
      <c r="V714">
        <v>6876.66</v>
      </c>
      <c r="W714">
        <v>2803.36</v>
      </c>
      <c r="X714" t="s">
        <v>32</v>
      </c>
      <c r="Y714" t="s">
        <v>33</v>
      </c>
      <c r="Z714" t="str">
        <f t="shared" si="154"/>
        <v>Exact Duplicate</v>
      </c>
      <c r="AA714" t="str">
        <f t="shared" si="155"/>
        <v>Duplicate Order ID</v>
      </c>
      <c r="AB714" t="str">
        <f t="shared" si="159"/>
        <v>OK</v>
      </c>
      <c r="AC714">
        <f t="shared" si="160"/>
        <v>0</v>
      </c>
      <c r="AD714" t="str">
        <f t="shared" si="161"/>
        <v>OK</v>
      </c>
      <c r="AE714">
        <f t="shared" si="162"/>
        <v>9680.0199999999986</v>
      </c>
      <c r="AF714">
        <f t="shared" si="163"/>
        <v>2803.3599999999988</v>
      </c>
      <c r="AG714">
        <f t="shared" si="164"/>
        <v>0.28960270743242256</v>
      </c>
      <c r="AH714" t="str">
        <f t="shared" si="156"/>
        <v>February</v>
      </c>
      <c r="AI714">
        <f t="shared" si="157"/>
        <v>2024</v>
      </c>
      <c r="AJ714" t="str">
        <f t="shared" si="165"/>
        <v>OK</v>
      </c>
      <c r="AK714" t="str">
        <f t="shared" si="166"/>
        <v>OK</v>
      </c>
      <c r="AL714" t="str">
        <f t="shared" si="167"/>
        <v>Include</v>
      </c>
      <c r="AM714" t="str">
        <f t="shared" si="158"/>
        <v>Clean</v>
      </c>
    </row>
    <row r="715" spans="1:39">
      <c r="A715" t="s">
        <v>2220</v>
      </c>
      <c r="B715" s="4">
        <v>45814</v>
      </c>
      <c r="C715" s="4">
        <v>45818</v>
      </c>
      <c r="D715" s="6">
        <v>4</v>
      </c>
      <c r="E715" t="s">
        <v>2788</v>
      </c>
      <c r="F715" t="s">
        <v>2788</v>
      </c>
      <c r="G715" t="s">
        <v>2788</v>
      </c>
      <c r="H715" t="s">
        <v>599</v>
      </c>
      <c r="I715" t="s">
        <v>36</v>
      </c>
      <c r="J715" t="s">
        <v>24</v>
      </c>
      <c r="K715" t="s">
        <v>63</v>
      </c>
      <c r="L715" t="s">
        <v>26</v>
      </c>
      <c r="M715" t="s">
        <v>109</v>
      </c>
      <c r="N715" t="s">
        <v>74</v>
      </c>
      <c r="O715" t="s">
        <v>274</v>
      </c>
      <c r="P715" t="s">
        <v>2221</v>
      </c>
      <c r="Q715" t="s">
        <v>31</v>
      </c>
      <c r="R715">
        <v>1</v>
      </c>
      <c r="S715">
        <v>289.97000000000003</v>
      </c>
      <c r="T715">
        <v>0.25</v>
      </c>
      <c r="U715">
        <v>217.48</v>
      </c>
      <c r="V715">
        <v>132.13</v>
      </c>
      <c r="W715">
        <v>85.35</v>
      </c>
      <c r="X715" t="s">
        <v>32</v>
      </c>
      <c r="Y715" t="s">
        <v>33</v>
      </c>
      <c r="Z715" t="str">
        <f t="shared" si="154"/>
        <v>Unique</v>
      </c>
      <c r="AA715" t="str">
        <f t="shared" si="155"/>
        <v>Unique</v>
      </c>
      <c r="AB715" t="str">
        <f t="shared" si="159"/>
        <v>OK</v>
      </c>
      <c r="AC715">
        <f t="shared" si="160"/>
        <v>0.25</v>
      </c>
      <c r="AD715" t="str">
        <f t="shared" si="161"/>
        <v>OK</v>
      </c>
      <c r="AE715">
        <f t="shared" si="162"/>
        <v>217.47750000000002</v>
      </c>
      <c r="AF715">
        <f t="shared" si="163"/>
        <v>85.347500000000025</v>
      </c>
      <c r="AG715">
        <f t="shared" si="164"/>
        <v>0.39244289639158081</v>
      </c>
      <c r="AH715" t="str">
        <f t="shared" si="156"/>
        <v>June</v>
      </c>
      <c r="AI715">
        <f t="shared" si="157"/>
        <v>2025</v>
      </c>
      <c r="AJ715" t="str">
        <f t="shared" si="165"/>
        <v>OK</v>
      </c>
      <c r="AK715" t="str">
        <f t="shared" si="166"/>
        <v>OK</v>
      </c>
      <c r="AL715" t="str">
        <f t="shared" si="167"/>
        <v>Include</v>
      </c>
      <c r="AM715" t="str">
        <f t="shared" si="158"/>
        <v>Clean</v>
      </c>
    </row>
    <row r="716" spans="1:39">
      <c r="A716" t="s">
        <v>2222</v>
      </c>
      <c r="B716" s="4">
        <v>45738</v>
      </c>
      <c r="C716" s="4">
        <v>45739</v>
      </c>
      <c r="D716" s="6">
        <v>1</v>
      </c>
      <c r="E716" t="s">
        <v>2788</v>
      </c>
      <c r="F716" t="s">
        <v>2788</v>
      </c>
      <c r="G716" t="s">
        <v>2788</v>
      </c>
      <c r="H716" t="s">
        <v>2223</v>
      </c>
      <c r="I716" t="s">
        <v>23</v>
      </c>
      <c r="J716" t="s">
        <v>95</v>
      </c>
      <c r="K716" t="s">
        <v>25</v>
      </c>
      <c r="L716" t="s">
        <v>350</v>
      </c>
      <c r="M716" t="s">
        <v>351</v>
      </c>
      <c r="N716" t="s">
        <v>74</v>
      </c>
      <c r="O716" t="s">
        <v>80</v>
      </c>
      <c r="P716" t="s">
        <v>2224</v>
      </c>
      <c r="Q716" t="s">
        <v>59</v>
      </c>
      <c r="R716">
        <v>9</v>
      </c>
      <c r="S716">
        <v>2075.02</v>
      </c>
      <c r="T716">
        <v>0</v>
      </c>
      <c r="U716">
        <v>18675.18</v>
      </c>
      <c r="V716">
        <v>13974.7</v>
      </c>
      <c r="W716">
        <v>4700.4799999999996</v>
      </c>
      <c r="X716" t="s">
        <v>32</v>
      </c>
      <c r="Y716" t="s">
        <v>33</v>
      </c>
      <c r="Z716" t="str">
        <f t="shared" si="154"/>
        <v>Unique</v>
      </c>
      <c r="AA716" t="str">
        <f t="shared" si="155"/>
        <v>Unique</v>
      </c>
      <c r="AB716" t="str">
        <f t="shared" si="159"/>
        <v>OK</v>
      </c>
      <c r="AC716">
        <f t="shared" si="160"/>
        <v>0</v>
      </c>
      <c r="AD716" t="str">
        <f t="shared" si="161"/>
        <v>OK</v>
      </c>
      <c r="AE716">
        <f t="shared" si="162"/>
        <v>18675.18</v>
      </c>
      <c r="AF716">
        <f t="shared" si="163"/>
        <v>4700.4799999999996</v>
      </c>
      <c r="AG716">
        <f t="shared" si="164"/>
        <v>0.25169663692665878</v>
      </c>
      <c r="AH716" t="str">
        <f t="shared" si="156"/>
        <v>March</v>
      </c>
      <c r="AI716">
        <f t="shared" si="157"/>
        <v>2025</v>
      </c>
      <c r="AJ716" t="str">
        <f t="shared" si="165"/>
        <v>OK</v>
      </c>
      <c r="AK716" t="str">
        <f t="shared" si="166"/>
        <v>OK</v>
      </c>
      <c r="AL716" t="str">
        <f t="shared" si="167"/>
        <v>Include</v>
      </c>
      <c r="AM716" t="str">
        <f t="shared" si="158"/>
        <v>Clean</v>
      </c>
    </row>
    <row r="717" spans="1:39">
      <c r="A717" t="s">
        <v>2225</v>
      </c>
      <c r="B717" s="4">
        <v>45891</v>
      </c>
      <c r="C717" s="4">
        <v>45896</v>
      </c>
      <c r="D717" s="6">
        <v>5</v>
      </c>
      <c r="E717" t="s">
        <v>2788</v>
      </c>
      <c r="F717" t="s">
        <v>2788</v>
      </c>
      <c r="G717" t="s">
        <v>2788</v>
      </c>
      <c r="H717" t="s">
        <v>2226</v>
      </c>
      <c r="I717" t="s">
        <v>114</v>
      </c>
      <c r="J717" t="s">
        <v>24</v>
      </c>
      <c r="K717" t="s">
        <v>25</v>
      </c>
      <c r="L717" t="s">
        <v>236</v>
      </c>
      <c r="M717" t="s">
        <v>237</v>
      </c>
      <c r="N717" t="s">
        <v>41</v>
      </c>
      <c r="O717" t="s">
        <v>66</v>
      </c>
      <c r="P717" t="s">
        <v>2227</v>
      </c>
      <c r="Q717" t="s">
        <v>31</v>
      </c>
      <c r="R717">
        <v>7</v>
      </c>
      <c r="S717">
        <v>2843.09</v>
      </c>
      <c r="T717">
        <v>0</v>
      </c>
      <c r="U717">
        <v>19901.63</v>
      </c>
      <c r="V717">
        <v>15492.03</v>
      </c>
      <c r="W717">
        <v>4409.6000000000004</v>
      </c>
      <c r="X717" t="s">
        <v>102</v>
      </c>
      <c r="Y717" t="s">
        <v>68</v>
      </c>
      <c r="Z717" t="str">
        <f t="shared" si="154"/>
        <v>Unique</v>
      </c>
      <c r="AA717" t="str">
        <f t="shared" si="155"/>
        <v>Unique</v>
      </c>
      <c r="AB717" t="str">
        <f t="shared" si="159"/>
        <v>OK</v>
      </c>
      <c r="AC717">
        <f t="shared" si="160"/>
        <v>0</v>
      </c>
      <c r="AD717" t="str">
        <f t="shared" si="161"/>
        <v>OK</v>
      </c>
      <c r="AE717">
        <f t="shared" si="162"/>
        <v>19901.63</v>
      </c>
      <c r="AF717">
        <f t="shared" si="163"/>
        <v>4409.6000000000004</v>
      </c>
      <c r="AG717">
        <f t="shared" si="164"/>
        <v>0.22156979101711771</v>
      </c>
      <c r="AH717" t="str">
        <f t="shared" si="156"/>
        <v>August</v>
      </c>
      <c r="AI717">
        <f t="shared" si="157"/>
        <v>2025</v>
      </c>
      <c r="AJ717" t="str">
        <f t="shared" si="165"/>
        <v>OK</v>
      </c>
      <c r="AK717" t="str">
        <f t="shared" si="166"/>
        <v>OK</v>
      </c>
      <c r="AL717" t="str">
        <f t="shared" si="167"/>
        <v>Exclude</v>
      </c>
      <c r="AM717" t="str">
        <f t="shared" si="158"/>
        <v>Clean</v>
      </c>
    </row>
    <row r="718" spans="1:39">
      <c r="A718" t="s">
        <v>2228</v>
      </c>
      <c r="B718" s="4">
        <v>45895</v>
      </c>
      <c r="C718" s="4">
        <v>45900</v>
      </c>
      <c r="D718" s="6">
        <v>5</v>
      </c>
      <c r="E718" t="s">
        <v>2788</v>
      </c>
      <c r="F718" t="s">
        <v>2788</v>
      </c>
      <c r="G718" t="s">
        <v>2788</v>
      </c>
      <c r="H718" t="s">
        <v>2229</v>
      </c>
      <c r="I718" t="s">
        <v>162</v>
      </c>
      <c r="J718" t="s">
        <v>37</v>
      </c>
      <c r="K718" t="s">
        <v>25</v>
      </c>
      <c r="L718" t="s">
        <v>236</v>
      </c>
      <c r="M718" t="s">
        <v>237</v>
      </c>
      <c r="N718" t="s">
        <v>74</v>
      </c>
      <c r="O718" t="s">
        <v>171</v>
      </c>
      <c r="P718" t="s">
        <v>2230</v>
      </c>
      <c r="Q718" t="s">
        <v>50</v>
      </c>
      <c r="R718">
        <v>1</v>
      </c>
      <c r="S718">
        <v>3388.02</v>
      </c>
      <c r="T718">
        <v>0.15</v>
      </c>
      <c r="U718">
        <v>2879.82</v>
      </c>
      <c r="V718">
        <v>1824.88</v>
      </c>
      <c r="W718">
        <v>1054.94</v>
      </c>
      <c r="X718" t="s">
        <v>32</v>
      </c>
      <c r="Y718" t="s">
        <v>33</v>
      </c>
      <c r="Z718" t="str">
        <f t="shared" si="154"/>
        <v>Unique</v>
      </c>
      <c r="AA718" t="str">
        <f t="shared" si="155"/>
        <v>Unique</v>
      </c>
      <c r="AB718" t="str">
        <f t="shared" si="159"/>
        <v>OK</v>
      </c>
      <c r="AC718">
        <f t="shared" si="160"/>
        <v>0.15</v>
      </c>
      <c r="AD718" t="str">
        <f t="shared" si="161"/>
        <v>OK</v>
      </c>
      <c r="AE718">
        <f t="shared" si="162"/>
        <v>2879.817</v>
      </c>
      <c r="AF718">
        <f t="shared" si="163"/>
        <v>1054.9369999999999</v>
      </c>
      <c r="AG718">
        <f t="shared" si="164"/>
        <v>0.3663208460815392</v>
      </c>
      <c r="AH718" t="str">
        <f t="shared" si="156"/>
        <v>August</v>
      </c>
      <c r="AI718">
        <f t="shared" si="157"/>
        <v>2025</v>
      </c>
      <c r="AJ718" t="str">
        <f t="shared" si="165"/>
        <v>OK</v>
      </c>
      <c r="AK718" t="str">
        <f t="shared" si="166"/>
        <v>OK</v>
      </c>
      <c r="AL718" t="str">
        <f t="shared" si="167"/>
        <v>Include</v>
      </c>
      <c r="AM718" t="str">
        <f t="shared" si="158"/>
        <v>Clean</v>
      </c>
    </row>
    <row r="719" spans="1:39">
      <c r="A719" t="s">
        <v>2231</v>
      </c>
      <c r="B719" s="4">
        <v>45942</v>
      </c>
      <c r="C719" s="4">
        <v>45945</v>
      </c>
      <c r="D719" s="6">
        <v>3</v>
      </c>
      <c r="E719" t="s">
        <v>2788</v>
      </c>
      <c r="F719" t="s">
        <v>2788</v>
      </c>
      <c r="G719" t="s">
        <v>2788</v>
      </c>
      <c r="H719" t="s">
        <v>2232</v>
      </c>
      <c r="I719" t="s">
        <v>264</v>
      </c>
      <c r="J719" t="s">
        <v>37</v>
      </c>
      <c r="K719" t="s">
        <v>25</v>
      </c>
      <c r="L719" t="s">
        <v>236</v>
      </c>
      <c r="M719" t="s">
        <v>237</v>
      </c>
      <c r="N719" t="s">
        <v>74</v>
      </c>
      <c r="O719" t="s">
        <v>274</v>
      </c>
      <c r="P719" t="s">
        <v>2233</v>
      </c>
      <c r="Q719" t="s">
        <v>59</v>
      </c>
      <c r="R719">
        <v>9</v>
      </c>
      <c r="S719">
        <v>2598.92</v>
      </c>
      <c r="T719">
        <v>0.2</v>
      </c>
      <c r="U719">
        <v>18712.22</v>
      </c>
      <c r="V719">
        <v>11852.22</v>
      </c>
      <c r="W719">
        <v>6860</v>
      </c>
      <c r="X719" t="s">
        <v>111</v>
      </c>
      <c r="Y719" t="s">
        <v>68</v>
      </c>
      <c r="Z719" t="str">
        <f t="shared" si="154"/>
        <v>Unique</v>
      </c>
      <c r="AA719" t="str">
        <f t="shared" si="155"/>
        <v>Unique</v>
      </c>
      <c r="AB719" t="str">
        <f t="shared" si="159"/>
        <v>OK</v>
      </c>
      <c r="AC719">
        <f t="shared" si="160"/>
        <v>0.2</v>
      </c>
      <c r="AD719" t="str">
        <f t="shared" si="161"/>
        <v>OK</v>
      </c>
      <c r="AE719">
        <f t="shared" si="162"/>
        <v>18712.223999999998</v>
      </c>
      <c r="AF719">
        <f t="shared" si="163"/>
        <v>6860.003999999999</v>
      </c>
      <c r="AG719">
        <f t="shared" si="164"/>
        <v>0.3666054874075898</v>
      </c>
      <c r="AH719" t="str">
        <f t="shared" si="156"/>
        <v>October</v>
      </c>
      <c r="AI719">
        <f t="shared" si="157"/>
        <v>2025</v>
      </c>
      <c r="AJ719" t="str">
        <f t="shared" si="165"/>
        <v>OK</v>
      </c>
      <c r="AK719" t="str">
        <f t="shared" si="166"/>
        <v>OK</v>
      </c>
      <c r="AL719" t="str">
        <f t="shared" si="167"/>
        <v>Exclude</v>
      </c>
      <c r="AM719" t="str">
        <f t="shared" si="158"/>
        <v>Clean</v>
      </c>
    </row>
    <row r="720" spans="1:39">
      <c r="A720" t="s">
        <v>2234</v>
      </c>
      <c r="B720" s="4">
        <v>45541</v>
      </c>
      <c r="C720" s="4">
        <v>45544</v>
      </c>
      <c r="D720" s="6">
        <v>3</v>
      </c>
      <c r="E720" t="s">
        <v>2788</v>
      </c>
      <c r="F720" t="s">
        <v>2788</v>
      </c>
      <c r="G720" t="s">
        <v>2788</v>
      </c>
      <c r="H720" t="s">
        <v>2235</v>
      </c>
      <c r="I720" t="s">
        <v>36</v>
      </c>
      <c r="J720" t="s">
        <v>24</v>
      </c>
      <c r="K720" t="s">
        <v>63</v>
      </c>
      <c r="L720" t="s">
        <v>64</v>
      </c>
      <c r="M720" t="s">
        <v>65</v>
      </c>
      <c r="N720" t="s">
        <v>28</v>
      </c>
      <c r="O720" t="s">
        <v>48</v>
      </c>
      <c r="P720" t="s">
        <v>2236</v>
      </c>
      <c r="Q720" t="s">
        <v>44</v>
      </c>
      <c r="R720">
        <v>3</v>
      </c>
      <c r="S720">
        <v>1972.27</v>
      </c>
      <c r="T720">
        <v>0.2</v>
      </c>
      <c r="U720">
        <v>4733.45</v>
      </c>
      <c r="V720">
        <v>3672.32</v>
      </c>
      <c r="W720">
        <v>1061.1300000000001</v>
      </c>
      <c r="X720" t="s">
        <v>32</v>
      </c>
      <c r="Y720" t="s">
        <v>33</v>
      </c>
      <c r="Z720" t="str">
        <f t="shared" si="154"/>
        <v>Unique</v>
      </c>
      <c r="AA720" t="str">
        <f t="shared" si="155"/>
        <v>Unique</v>
      </c>
      <c r="AB720" t="str">
        <f t="shared" si="159"/>
        <v>OK</v>
      </c>
      <c r="AC720">
        <f t="shared" si="160"/>
        <v>0.2</v>
      </c>
      <c r="AD720" t="str">
        <f t="shared" si="161"/>
        <v>OK</v>
      </c>
      <c r="AE720">
        <f t="shared" si="162"/>
        <v>4733.4479999999994</v>
      </c>
      <c r="AF720">
        <f t="shared" si="163"/>
        <v>1061.1279999999992</v>
      </c>
      <c r="AG720">
        <f t="shared" si="164"/>
        <v>0.22417654107534282</v>
      </c>
      <c r="AH720" t="str">
        <f t="shared" si="156"/>
        <v>September</v>
      </c>
      <c r="AI720">
        <f t="shared" si="157"/>
        <v>2024</v>
      </c>
      <c r="AJ720" t="str">
        <f t="shared" si="165"/>
        <v>OK</v>
      </c>
      <c r="AK720" t="str">
        <f t="shared" si="166"/>
        <v>OK</v>
      </c>
      <c r="AL720" t="str">
        <f t="shared" si="167"/>
        <v>Include</v>
      </c>
      <c r="AM720" t="str">
        <f t="shared" si="158"/>
        <v>Clean</v>
      </c>
    </row>
    <row r="721" spans="1:39">
      <c r="A721" t="s">
        <v>2237</v>
      </c>
      <c r="B721" s="4">
        <v>45908</v>
      </c>
      <c r="C721" s="4">
        <v>45909</v>
      </c>
      <c r="D721" s="6">
        <v>1</v>
      </c>
      <c r="E721" t="s">
        <v>2788</v>
      </c>
      <c r="F721" t="s">
        <v>2788</v>
      </c>
      <c r="G721" t="s">
        <v>2788</v>
      </c>
      <c r="H721" t="s">
        <v>144</v>
      </c>
      <c r="I721" t="s">
        <v>264</v>
      </c>
      <c r="J721" t="s">
        <v>90</v>
      </c>
      <c r="K721" t="s">
        <v>63</v>
      </c>
      <c r="L721" t="s">
        <v>180</v>
      </c>
      <c r="M721" t="s">
        <v>181</v>
      </c>
      <c r="N721" t="s">
        <v>28</v>
      </c>
      <c r="O721" t="s">
        <v>48</v>
      </c>
      <c r="P721" t="s">
        <v>2238</v>
      </c>
      <c r="Q721" t="s">
        <v>44</v>
      </c>
      <c r="R721">
        <v>2</v>
      </c>
      <c r="S721">
        <v>2372.41</v>
      </c>
      <c r="T721">
        <v>0.2</v>
      </c>
      <c r="U721">
        <v>3795.86</v>
      </c>
      <c r="V721">
        <v>2264.92</v>
      </c>
      <c r="W721">
        <v>1530.94</v>
      </c>
      <c r="X721" t="s">
        <v>32</v>
      </c>
      <c r="Y721" t="s">
        <v>33</v>
      </c>
      <c r="Z721" t="str">
        <f t="shared" si="154"/>
        <v>Exact Duplicate</v>
      </c>
      <c r="AA721" t="str">
        <f t="shared" si="155"/>
        <v>Duplicate Order ID</v>
      </c>
      <c r="AB721" t="str">
        <f t="shared" si="159"/>
        <v>OK</v>
      </c>
      <c r="AC721">
        <f t="shared" si="160"/>
        <v>0.2</v>
      </c>
      <c r="AD721" t="str">
        <f t="shared" si="161"/>
        <v>OK</v>
      </c>
      <c r="AE721">
        <f t="shared" si="162"/>
        <v>3795.8559999999998</v>
      </c>
      <c r="AF721">
        <f t="shared" si="163"/>
        <v>1530.9359999999997</v>
      </c>
      <c r="AG721">
        <f t="shared" si="164"/>
        <v>0.40331772332775528</v>
      </c>
      <c r="AH721" t="str">
        <f t="shared" si="156"/>
        <v>September</v>
      </c>
      <c r="AI721">
        <f t="shared" si="157"/>
        <v>2025</v>
      </c>
      <c r="AJ721" t="str">
        <f t="shared" si="165"/>
        <v>OK</v>
      </c>
      <c r="AK721" t="str">
        <f t="shared" si="166"/>
        <v>OK</v>
      </c>
      <c r="AL721" t="str">
        <f t="shared" si="167"/>
        <v>Include</v>
      </c>
      <c r="AM721" t="str">
        <f t="shared" si="158"/>
        <v>Clean</v>
      </c>
    </row>
    <row r="722" spans="1:39">
      <c r="A722" t="s">
        <v>2239</v>
      </c>
      <c r="B722" s="4">
        <v>45489</v>
      </c>
      <c r="C722" s="4">
        <v>45489</v>
      </c>
      <c r="D722" s="6">
        <v>0</v>
      </c>
      <c r="E722" t="s">
        <v>2788</v>
      </c>
      <c r="F722" t="s">
        <v>2788</v>
      </c>
      <c r="G722" t="s">
        <v>2788</v>
      </c>
      <c r="H722" t="s">
        <v>2240</v>
      </c>
      <c r="I722" t="s">
        <v>89</v>
      </c>
      <c r="J722" t="s">
        <v>95</v>
      </c>
      <c r="K722" t="s">
        <v>63</v>
      </c>
      <c r="L722" t="s">
        <v>72</v>
      </c>
      <c r="M722" t="s">
        <v>73</v>
      </c>
      <c r="N722" t="s">
        <v>74</v>
      </c>
      <c r="O722" t="s">
        <v>80</v>
      </c>
      <c r="P722" t="s">
        <v>2241</v>
      </c>
      <c r="Q722" t="s">
        <v>44</v>
      </c>
      <c r="R722">
        <v>4</v>
      </c>
      <c r="S722">
        <v>4479.92</v>
      </c>
      <c r="T722">
        <v>0.15</v>
      </c>
      <c r="U722">
        <v>15231.73</v>
      </c>
      <c r="V722">
        <v>12451.46</v>
      </c>
      <c r="W722">
        <v>2780.27</v>
      </c>
      <c r="X722" t="s">
        <v>32</v>
      </c>
      <c r="Y722" t="s">
        <v>33</v>
      </c>
      <c r="Z722" t="str">
        <f t="shared" si="154"/>
        <v>Unique</v>
      </c>
      <c r="AA722" t="str">
        <f t="shared" si="155"/>
        <v>Unique</v>
      </c>
      <c r="AB722" t="str">
        <f t="shared" si="159"/>
        <v>OK</v>
      </c>
      <c r="AC722">
        <f t="shared" si="160"/>
        <v>0.15</v>
      </c>
      <c r="AD722" t="str">
        <f t="shared" si="161"/>
        <v>OK</v>
      </c>
      <c r="AE722">
        <f t="shared" si="162"/>
        <v>15231.727999999999</v>
      </c>
      <c r="AF722">
        <f t="shared" si="163"/>
        <v>2780.268</v>
      </c>
      <c r="AG722">
        <f t="shared" si="164"/>
        <v>0.1825313582280356</v>
      </c>
      <c r="AH722" t="str">
        <f t="shared" si="156"/>
        <v>July</v>
      </c>
      <c r="AI722">
        <f t="shared" si="157"/>
        <v>2024</v>
      </c>
      <c r="AJ722" t="str">
        <f t="shared" si="165"/>
        <v>OK</v>
      </c>
      <c r="AK722" t="str">
        <f t="shared" si="166"/>
        <v>OK</v>
      </c>
      <c r="AL722" t="str">
        <f t="shared" si="167"/>
        <v>Include</v>
      </c>
      <c r="AM722" t="str">
        <f t="shared" si="158"/>
        <v>Clean</v>
      </c>
    </row>
    <row r="723" spans="1:39">
      <c r="A723" t="s">
        <v>2242</v>
      </c>
      <c r="B723" s="4">
        <v>45827</v>
      </c>
      <c r="C723" s="4">
        <v>45831</v>
      </c>
      <c r="D723" s="6">
        <v>4</v>
      </c>
      <c r="E723" t="s">
        <v>2788</v>
      </c>
      <c r="F723" t="s">
        <v>2788</v>
      </c>
      <c r="G723" t="s">
        <v>2788</v>
      </c>
      <c r="H723" t="s">
        <v>2243</v>
      </c>
      <c r="I723" t="s">
        <v>132</v>
      </c>
      <c r="J723" t="s">
        <v>24</v>
      </c>
      <c r="K723" t="s">
        <v>54</v>
      </c>
      <c r="L723" t="s">
        <v>175</v>
      </c>
      <c r="M723" t="s">
        <v>176</v>
      </c>
      <c r="N723" t="s">
        <v>74</v>
      </c>
      <c r="O723" t="s">
        <v>80</v>
      </c>
      <c r="P723" t="s">
        <v>2244</v>
      </c>
      <c r="Q723" t="s">
        <v>50</v>
      </c>
      <c r="R723">
        <v>5</v>
      </c>
      <c r="S723">
        <v>2729.95</v>
      </c>
      <c r="T723">
        <v>0</v>
      </c>
      <c r="U723">
        <v>13649.75</v>
      </c>
      <c r="V723">
        <v>10288.030000000001</v>
      </c>
      <c r="W723">
        <v>3361.72</v>
      </c>
      <c r="X723" t="s">
        <v>32</v>
      </c>
      <c r="Y723" t="s">
        <v>33</v>
      </c>
      <c r="Z723" t="str">
        <f t="shared" si="154"/>
        <v>Unique</v>
      </c>
      <c r="AA723" t="str">
        <f t="shared" si="155"/>
        <v>Unique</v>
      </c>
      <c r="AB723" t="str">
        <f t="shared" si="159"/>
        <v>OK</v>
      </c>
      <c r="AC723">
        <f t="shared" si="160"/>
        <v>0</v>
      </c>
      <c r="AD723" t="str">
        <f t="shared" si="161"/>
        <v>OK</v>
      </c>
      <c r="AE723">
        <f t="shared" si="162"/>
        <v>13649.75</v>
      </c>
      <c r="AF723">
        <f t="shared" si="163"/>
        <v>3361.7199999999993</v>
      </c>
      <c r="AG723">
        <f t="shared" si="164"/>
        <v>0.24628436418249414</v>
      </c>
      <c r="AH723" t="str">
        <f t="shared" si="156"/>
        <v>June</v>
      </c>
      <c r="AI723">
        <f t="shared" si="157"/>
        <v>2025</v>
      </c>
      <c r="AJ723" t="str">
        <f t="shared" si="165"/>
        <v>OK</v>
      </c>
      <c r="AK723" t="str">
        <f t="shared" si="166"/>
        <v>OK</v>
      </c>
      <c r="AL723" t="str">
        <f t="shared" si="167"/>
        <v>Include</v>
      </c>
      <c r="AM723" t="str">
        <f t="shared" si="158"/>
        <v>Clean</v>
      </c>
    </row>
    <row r="724" spans="1:39">
      <c r="A724" t="s">
        <v>2245</v>
      </c>
      <c r="B724" s="4">
        <v>45572</v>
      </c>
      <c r="C724" s="4">
        <v>45575</v>
      </c>
      <c r="D724" s="6">
        <v>3</v>
      </c>
      <c r="E724" t="s">
        <v>2788</v>
      </c>
      <c r="F724" t="s">
        <v>2788</v>
      </c>
      <c r="G724" t="s">
        <v>2788</v>
      </c>
      <c r="H724" t="s">
        <v>2246</v>
      </c>
      <c r="I724" t="s">
        <v>71</v>
      </c>
      <c r="J724" t="s">
        <v>24</v>
      </c>
      <c r="K724" t="s">
        <v>38</v>
      </c>
      <c r="L724" t="s">
        <v>99</v>
      </c>
      <c r="M724" t="s">
        <v>100</v>
      </c>
      <c r="N724" t="s">
        <v>41</v>
      </c>
      <c r="O724" t="s">
        <v>66</v>
      </c>
      <c r="P724" t="s">
        <v>2247</v>
      </c>
      <c r="Q724" t="s">
        <v>31</v>
      </c>
      <c r="R724">
        <v>9</v>
      </c>
      <c r="S724">
        <v>481.51</v>
      </c>
      <c r="U724">
        <v>4333.59</v>
      </c>
      <c r="V724">
        <v>2533.59</v>
      </c>
      <c r="W724">
        <v>1800</v>
      </c>
      <c r="X724" t="s">
        <v>102</v>
      </c>
      <c r="Y724" t="s">
        <v>68</v>
      </c>
      <c r="Z724" t="str">
        <f t="shared" si="154"/>
        <v>Unique</v>
      </c>
      <c r="AA724" t="str">
        <f t="shared" si="155"/>
        <v>Unique</v>
      </c>
      <c r="AB724" t="str">
        <f t="shared" si="159"/>
        <v>OK</v>
      </c>
      <c r="AC724">
        <f t="shared" si="160"/>
        <v>0</v>
      </c>
      <c r="AD724" t="str">
        <f t="shared" si="161"/>
        <v>OK</v>
      </c>
      <c r="AE724">
        <f t="shared" si="162"/>
        <v>4333.59</v>
      </c>
      <c r="AF724">
        <f t="shared" si="163"/>
        <v>1800</v>
      </c>
      <c r="AG724">
        <f t="shared" si="164"/>
        <v>0.41536001329152039</v>
      </c>
      <c r="AH724" t="str">
        <f t="shared" si="156"/>
        <v>October</v>
      </c>
      <c r="AI724">
        <f t="shared" si="157"/>
        <v>2024</v>
      </c>
      <c r="AJ724" t="str">
        <f t="shared" si="165"/>
        <v>OK</v>
      </c>
      <c r="AK724" t="str">
        <f t="shared" si="166"/>
        <v>OK</v>
      </c>
      <c r="AL724" t="str">
        <f t="shared" si="167"/>
        <v>Exclude</v>
      </c>
      <c r="AM724" t="str">
        <f t="shared" si="158"/>
        <v>Clean</v>
      </c>
    </row>
    <row r="725" spans="1:39">
      <c r="A725" t="s">
        <v>2248</v>
      </c>
      <c r="B725" s="4">
        <v>45936</v>
      </c>
      <c r="C725" s="4">
        <v>45943</v>
      </c>
      <c r="D725" s="6">
        <v>7</v>
      </c>
      <c r="E725" t="s">
        <v>2788</v>
      </c>
      <c r="F725" t="s">
        <v>2788</v>
      </c>
      <c r="G725" t="s">
        <v>2788</v>
      </c>
      <c r="H725" t="s">
        <v>2249</v>
      </c>
      <c r="I725" t="s">
        <v>264</v>
      </c>
      <c r="J725" t="s">
        <v>95</v>
      </c>
      <c r="K725" t="s">
        <v>38</v>
      </c>
      <c r="L725" t="s">
        <v>228</v>
      </c>
      <c r="M725" t="s">
        <v>229</v>
      </c>
      <c r="N725" t="s">
        <v>74</v>
      </c>
      <c r="O725" t="s">
        <v>75</v>
      </c>
      <c r="P725" t="s">
        <v>2250</v>
      </c>
      <c r="Q725" t="s">
        <v>59</v>
      </c>
      <c r="R725">
        <v>6</v>
      </c>
      <c r="S725">
        <v>2391.9299999999998</v>
      </c>
      <c r="T725">
        <v>0.05</v>
      </c>
      <c r="U725">
        <v>13634</v>
      </c>
      <c r="V725">
        <v>9589.81</v>
      </c>
      <c r="W725">
        <v>4044.19</v>
      </c>
      <c r="X725" t="s">
        <v>155</v>
      </c>
      <c r="Y725" t="s">
        <v>103</v>
      </c>
      <c r="Z725" t="str">
        <f t="shared" si="154"/>
        <v>Unique</v>
      </c>
      <c r="AA725" t="str">
        <f t="shared" si="155"/>
        <v>Unique</v>
      </c>
      <c r="AB725" t="str">
        <f t="shared" si="159"/>
        <v>OK</v>
      </c>
      <c r="AC725">
        <f t="shared" si="160"/>
        <v>0.05</v>
      </c>
      <c r="AD725" t="str">
        <f t="shared" si="161"/>
        <v>OK</v>
      </c>
      <c r="AE725">
        <f t="shared" si="162"/>
        <v>13634.000999999998</v>
      </c>
      <c r="AF725">
        <f t="shared" si="163"/>
        <v>4044.1909999999989</v>
      </c>
      <c r="AG725">
        <f t="shared" si="164"/>
        <v>0.29662539998346776</v>
      </c>
      <c r="AH725" t="str">
        <f t="shared" si="156"/>
        <v>October</v>
      </c>
      <c r="AI725">
        <f t="shared" si="157"/>
        <v>2025</v>
      </c>
      <c r="AJ725" t="str">
        <f t="shared" si="165"/>
        <v>OK</v>
      </c>
      <c r="AK725" t="str">
        <f t="shared" si="166"/>
        <v>OK</v>
      </c>
      <c r="AL725" t="str">
        <f t="shared" si="167"/>
        <v>Exclude</v>
      </c>
      <c r="AM725" t="str">
        <f t="shared" si="158"/>
        <v>Clean</v>
      </c>
    </row>
    <row r="726" spans="1:39">
      <c r="A726" t="s">
        <v>2251</v>
      </c>
      <c r="B726" s="4">
        <v>45332</v>
      </c>
      <c r="C726" s="4">
        <v>45338</v>
      </c>
      <c r="D726" s="6">
        <v>6</v>
      </c>
      <c r="E726" t="s">
        <v>2788</v>
      </c>
      <c r="F726" t="s">
        <v>2788</v>
      </c>
      <c r="G726" t="s">
        <v>2788</v>
      </c>
      <c r="H726" t="s">
        <v>2252</v>
      </c>
      <c r="I726" t="s">
        <v>23</v>
      </c>
      <c r="J726" t="s">
        <v>24</v>
      </c>
      <c r="K726" t="s">
        <v>63</v>
      </c>
      <c r="L726" t="s">
        <v>190</v>
      </c>
      <c r="M726" t="s">
        <v>191</v>
      </c>
      <c r="N726" t="s">
        <v>41</v>
      </c>
      <c r="O726" t="s">
        <v>57</v>
      </c>
      <c r="P726" t="s">
        <v>2253</v>
      </c>
      <c r="Q726" t="s">
        <v>31</v>
      </c>
      <c r="R726">
        <v>3</v>
      </c>
      <c r="S726">
        <v>253.43</v>
      </c>
      <c r="T726">
        <v>0</v>
      </c>
      <c r="U726">
        <v>760.29</v>
      </c>
      <c r="V726">
        <v>497.77</v>
      </c>
      <c r="W726">
        <v>262.52</v>
      </c>
      <c r="X726" t="s">
        <v>32</v>
      </c>
      <c r="Y726" t="s">
        <v>33</v>
      </c>
      <c r="Z726" t="str">
        <f t="shared" si="154"/>
        <v>Unique</v>
      </c>
      <c r="AA726" t="str">
        <f t="shared" si="155"/>
        <v>Unique</v>
      </c>
      <c r="AB726" t="str">
        <f t="shared" si="159"/>
        <v>OK</v>
      </c>
      <c r="AC726">
        <f t="shared" si="160"/>
        <v>0</v>
      </c>
      <c r="AD726" t="str">
        <f t="shared" si="161"/>
        <v>OK</v>
      </c>
      <c r="AE726">
        <f t="shared" si="162"/>
        <v>760.29</v>
      </c>
      <c r="AF726">
        <f t="shared" si="163"/>
        <v>262.52</v>
      </c>
      <c r="AG726">
        <f t="shared" si="164"/>
        <v>0.34528929750489945</v>
      </c>
      <c r="AH726" t="str">
        <f t="shared" si="156"/>
        <v>February</v>
      </c>
      <c r="AI726">
        <f t="shared" si="157"/>
        <v>2024</v>
      </c>
      <c r="AJ726" t="str">
        <f t="shared" si="165"/>
        <v>OK</v>
      </c>
      <c r="AK726" t="str">
        <f t="shared" si="166"/>
        <v>OK</v>
      </c>
      <c r="AL726" t="str">
        <f t="shared" si="167"/>
        <v>Include</v>
      </c>
      <c r="AM726" t="str">
        <f t="shared" si="158"/>
        <v>Clean</v>
      </c>
    </row>
    <row r="727" spans="1:39">
      <c r="A727" t="s">
        <v>2254</v>
      </c>
      <c r="B727" s="4">
        <v>45935</v>
      </c>
      <c r="C727" s="4">
        <v>45942</v>
      </c>
      <c r="D727" s="6">
        <v>7</v>
      </c>
      <c r="E727" t="s">
        <v>2788</v>
      </c>
      <c r="F727" t="s">
        <v>2788</v>
      </c>
      <c r="G727" t="s">
        <v>2788</v>
      </c>
      <c r="H727" t="s">
        <v>2255</v>
      </c>
      <c r="I727" t="s">
        <v>114</v>
      </c>
      <c r="J727" t="s">
        <v>90</v>
      </c>
      <c r="K727" t="s">
        <v>54</v>
      </c>
      <c r="L727" t="s">
        <v>175</v>
      </c>
      <c r="M727" t="s">
        <v>176</v>
      </c>
      <c r="N727" t="s">
        <v>41</v>
      </c>
      <c r="O727" t="s">
        <v>42</v>
      </c>
      <c r="P727" t="s">
        <v>2256</v>
      </c>
      <c r="Q727" t="s">
        <v>31</v>
      </c>
      <c r="R727">
        <v>7</v>
      </c>
      <c r="S727">
        <v>2134.73</v>
      </c>
      <c r="T727">
        <v>0</v>
      </c>
      <c r="U727">
        <v>14943.11</v>
      </c>
      <c r="V727">
        <v>8521.5</v>
      </c>
      <c r="W727">
        <v>6421.61</v>
      </c>
      <c r="X727" t="s">
        <v>32</v>
      </c>
      <c r="Y727" t="s">
        <v>33</v>
      </c>
      <c r="Z727" t="str">
        <f t="shared" si="154"/>
        <v>Unique</v>
      </c>
      <c r="AA727" t="str">
        <f t="shared" si="155"/>
        <v>Unique</v>
      </c>
      <c r="AB727" t="str">
        <f t="shared" si="159"/>
        <v>OK</v>
      </c>
      <c r="AC727">
        <f t="shared" si="160"/>
        <v>0</v>
      </c>
      <c r="AD727" t="str">
        <f t="shared" si="161"/>
        <v>OK</v>
      </c>
      <c r="AE727">
        <f t="shared" si="162"/>
        <v>14943.11</v>
      </c>
      <c r="AF727">
        <f t="shared" si="163"/>
        <v>6421.6100000000006</v>
      </c>
      <c r="AG727">
        <f t="shared" si="164"/>
        <v>0.42973718322357263</v>
      </c>
      <c r="AH727" t="str">
        <f t="shared" si="156"/>
        <v>October</v>
      </c>
      <c r="AI727">
        <f t="shared" si="157"/>
        <v>2025</v>
      </c>
      <c r="AJ727" t="str">
        <f t="shared" si="165"/>
        <v>OK</v>
      </c>
      <c r="AK727" t="str">
        <f t="shared" si="166"/>
        <v>OK</v>
      </c>
      <c r="AL727" t="str">
        <f t="shared" si="167"/>
        <v>Include</v>
      </c>
      <c r="AM727" t="str">
        <f t="shared" si="158"/>
        <v>Clean</v>
      </c>
    </row>
    <row r="728" spans="1:39">
      <c r="A728" t="s">
        <v>2257</v>
      </c>
      <c r="B728" s="4">
        <v>45308</v>
      </c>
      <c r="C728" s="4">
        <v>45314</v>
      </c>
      <c r="D728" s="6">
        <v>6</v>
      </c>
      <c r="E728" t="s">
        <v>2788</v>
      </c>
      <c r="F728" t="s">
        <v>2788</v>
      </c>
      <c r="G728" t="s">
        <v>2788</v>
      </c>
      <c r="H728" t="s">
        <v>2258</v>
      </c>
      <c r="I728" t="s">
        <v>264</v>
      </c>
      <c r="J728" t="s">
        <v>95</v>
      </c>
      <c r="K728" t="s">
        <v>63</v>
      </c>
      <c r="L728" t="s">
        <v>180</v>
      </c>
      <c r="M728" t="s">
        <v>181</v>
      </c>
      <c r="N728" t="s">
        <v>74</v>
      </c>
      <c r="O728" t="s">
        <v>171</v>
      </c>
      <c r="P728" t="s">
        <v>2259</v>
      </c>
      <c r="Q728" t="s">
        <v>59</v>
      </c>
      <c r="R728">
        <v>5</v>
      </c>
      <c r="S728">
        <v>2018</v>
      </c>
      <c r="T728">
        <v>0.2</v>
      </c>
      <c r="U728">
        <v>8072</v>
      </c>
      <c r="V728">
        <v>5379.22</v>
      </c>
      <c r="W728">
        <v>2692.78</v>
      </c>
      <c r="X728" t="s">
        <v>111</v>
      </c>
      <c r="Y728" t="s">
        <v>103</v>
      </c>
      <c r="Z728" t="str">
        <f t="shared" si="154"/>
        <v>Unique</v>
      </c>
      <c r="AA728" t="str">
        <f t="shared" si="155"/>
        <v>Unique</v>
      </c>
      <c r="AB728" t="str">
        <f t="shared" si="159"/>
        <v>OK</v>
      </c>
      <c r="AC728">
        <f t="shared" si="160"/>
        <v>0.2</v>
      </c>
      <c r="AD728" t="str">
        <f t="shared" si="161"/>
        <v>OK</v>
      </c>
      <c r="AE728">
        <f t="shared" si="162"/>
        <v>8072</v>
      </c>
      <c r="AF728">
        <f t="shared" si="163"/>
        <v>2692.7799999999997</v>
      </c>
      <c r="AG728">
        <f t="shared" si="164"/>
        <v>0.33359514370664023</v>
      </c>
      <c r="AH728" t="str">
        <f t="shared" si="156"/>
        <v>January</v>
      </c>
      <c r="AI728">
        <f t="shared" si="157"/>
        <v>2024</v>
      </c>
      <c r="AJ728" t="str">
        <f t="shared" si="165"/>
        <v>OK</v>
      </c>
      <c r="AK728" t="str">
        <f t="shared" si="166"/>
        <v>OK</v>
      </c>
      <c r="AL728" t="str">
        <f t="shared" si="167"/>
        <v>Exclude</v>
      </c>
      <c r="AM728" t="str">
        <f t="shared" si="158"/>
        <v>Clean</v>
      </c>
    </row>
    <row r="729" spans="1:39">
      <c r="A729" t="s">
        <v>2260</v>
      </c>
      <c r="B729" s="4">
        <v>45578</v>
      </c>
      <c r="C729" s="4">
        <v>45578</v>
      </c>
      <c r="D729" s="6">
        <v>0</v>
      </c>
      <c r="E729" t="s">
        <v>2788</v>
      </c>
      <c r="F729" t="s">
        <v>2788</v>
      </c>
      <c r="G729" t="s">
        <v>2788</v>
      </c>
      <c r="H729" t="s">
        <v>2261</v>
      </c>
      <c r="I729" t="s">
        <v>128</v>
      </c>
      <c r="J729" t="s">
        <v>37</v>
      </c>
      <c r="K729" t="s">
        <v>38</v>
      </c>
      <c r="L729" t="s">
        <v>166</v>
      </c>
      <c r="M729" t="s">
        <v>167</v>
      </c>
      <c r="N729" t="s">
        <v>74</v>
      </c>
      <c r="O729" t="s">
        <v>75</v>
      </c>
      <c r="P729" t="s">
        <v>2262</v>
      </c>
      <c r="Q729" t="s">
        <v>31</v>
      </c>
      <c r="R729">
        <v>8</v>
      </c>
      <c r="S729">
        <v>3730.66</v>
      </c>
      <c r="T729">
        <v>0.05</v>
      </c>
      <c r="U729">
        <v>28353.02</v>
      </c>
      <c r="V729">
        <v>19257.849999999999</v>
      </c>
      <c r="W729">
        <v>9095.17</v>
      </c>
      <c r="X729" t="s">
        <v>32</v>
      </c>
      <c r="Y729" t="s">
        <v>33</v>
      </c>
      <c r="Z729" t="str">
        <f t="shared" si="154"/>
        <v>Unique</v>
      </c>
      <c r="AA729" t="str">
        <f t="shared" si="155"/>
        <v>Unique</v>
      </c>
      <c r="AB729" t="str">
        <f t="shared" si="159"/>
        <v>OK</v>
      </c>
      <c r="AC729">
        <f t="shared" si="160"/>
        <v>0.05</v>
      </c>
      <c r="AD729" t="str">
        <f t="shared" si="161"/>
        <v>OK</v>
      </c>
      <c r="AE729">
        <f t="shared" si="162"/>
        <v>28353.015999999996</v>
      </c>
      <c r="AF729">
        <f t="shared" si="163"/>
        <v>9095.1659999999974</v>
      </c>
      <c r="AG729">
        <f t="shared" si="164"/>
        <v>0.3207830165228277</v>
      </c>
      <c r="AH729" t="str">
        <f t="shared" si="156"/>
        <v>October</v>
      </c>
      <c r="AI729">
        <f t="shared" si="157"/>
        <v>2024</v>
      </c>
      <c r="AJ729" t="str">
        <f t="shared" si="165"/>
        <v>OK</v>
      </c>
      <c r="AK729" t="str">
        <f t="shared" si="166"/>
        <v>OK</v>
      </c>
      <c r="AL729" t="str">
        <f t="shared" si="167"/>
        <v>Include</v>
      </c>
      <c r="AM729" t="str">
        <f t="shared" si="158"/>
        <v>Clean</v>
      </c>
    </row>
    <row r="730" spans="1:39">
      <c r="A730" t="s">
        <v>2263</v>
      </c>
      <c r="B730" s="4">
        <v>45295</v>
      </c>
      <c r="C730" s="4">
        <v>45298</v>
      </c>
      <c r="D730" s="6">
        <v>3</v>
      </c>
      <c r="E730" t="s">
        <v>2788</v>
      </c>
      <c r="F730" t="s">
        <v>2788</v>
      </c>
      <c r="G730" t="s">
        <v>2788</v>
      </c>
      <c r="H730" t="s">
        <v>2264</v>
      </c>
      <c r="I730" t="s">
        <v>132</v>
      </c>
      <c r="J730" t="s">
        <v>37</v>
      </c>
      <c r="K730" t="s">
        <v>54</v>
      </c>
      <c r="L730" t="s">
        <v>175</v>
      </c>
      <c r="M730" t="s">
        <v>176</v>
      </c>
      <c r="N730" t="s">
        <v>74</v>
      </c>
      <c r="O730" t="s">
        <v>274</v>
      </c>
      <c r="P730" t="s">
        <v>2265</v>
      </c>
      <c r="Q730" t="s">
        <v>50</v>
      </c>
      <c r="R730">
        <v>1</v>
      </c>
      <c r="S730">
        <v>2363.02</v>
      </c>
      <c r="T730">
        <v>0.15</v>
      </c>
      <c r="U730">
        <v>2008.57</v>
      </c>
      <c r="V730">
        <v>1194.83</v>
      </c>
      <c r="W730">
        <v>813.74</v>
      </c>
      <c r="X730" t="s">
        <v>32</v>
      </c>
      <c r="Y730" t="s">
        <v>33</v>
      </c>
      <c r="Z730" t="str">
        <f t="shared" si="154"/>
        <v>Unique</v>
      </c>
      <c r="AA730" t="str">
        <f t="shared" si="155"/>
        <v>Unique</v>
      </c>
      <c r="AB730" t="str">
        <f t="shared" si="159"/>
        <v>OK</v>
      </c>
      <c r="AC730">
        <f t="shared" si="160"/>
        <v>0.15</v>
      </c>
      <c r="AD730" t="str">
        <f t="shared" si="161"/>
        <v>OK</v>
      </c>
      <c r="AE730">
        <f t="shared" si="162"/>
        <v>2008.567</v>
      </c>
      <c r="AF730">
        <f t="shared" si="163"/>
        <v>813.73700000000008</v>
      </c>
      <c r="AG730">
        <f t="shared" si="164"/>
        <v>0.40513311231340554</v>
      </c>
      <c r="AH730" t="str">
        <f t="shared" si="156"/>
        <v>January</v>
      </c>
      <c r="AI730">
        <f t="shared" si="157"/>
        <v>2024</v>
      </c>
      <c r="AJ730" t="str">
        <f t="shared" si="165"/>
        <v>OK</v>
      </c>
      <c r="AK730" t="str">
        <f t="shared" si="166"/>
        <v>OK</v>
      </c>
      <c r="AL730" t="str">
        <f t="shared" si="167"/>
        <v>Include</v>
      </c>
      <c r="AM730" t="str">
        <f t="shared" si="158"/>
        <v>Clean</v>
      </c>
    </row>
    <row r="731" spans="1:39">
      <c r="A731" t="s">
        <v>2266</v>
      </c>
      <c r="B731" s="4">
        <v>45794</v>
      </c>
      <c r="C731" s="4">
        <v>45802</v>
      </c>
      <c r="D731" s="6">
        <v>8</v>
      </c>
      <c r="E731" t="s">
        <v>2788</v>
      </c>
      <c r="F731" t="s">
        <v>2788</v>
      </c>
      <c r="G731" t="s">
        <v>2788</v>
      </c>
      <c r="H731" t="s">
        <v>2267</v>
      </c>
      <c r="I731" t="s">
        <v>62</v>
      </c>
      <c r="J731" t="s">
        <v>90</v>
      </c>
      <c r="K731" t="s">
        <v>54</v>
      </c>
      <c r="L731" t="s">
        <v>247</v>
      </c>
      <c r="M731" t="s">
        <v>248</v>
      </c>
      <c r="N731" t="s">
        <v>74</v>
      </c>
      <c r="O731" t="s">
        <v>274</v>
      </c>
      <c r="P731" t="s">
        <v>2268</v>
      </c>
      <c r="Q731" t="s">
        <v>44</v>
      </c>
      <c r="R731">
        <v>6</v>
      </c>
      <c r="S731">
        <v>1810.63</v>
      </c>
      <c r="T731">
        <v>0.15</v>
      </c>
      <c r="U731">
        <v>9234.2099999999991</v>
      </c>
      <c r="V731">
        <v>5516.52</v>
      </c>
      <c r="W731">
        <v>3717.69</v>
      </c>
      <c r="X731" t="s">
        <v>32</v>
      </c>
      <c r="Y731" t="s">
        <v>33</v>
      </c>
      <c r="Z731" t="str">
        <f t="shared" si="154"/>
        <v>Exact Duplicate</v>
      </c>
      <c r="AA731" t="str">
        <f t="shared" si="155"/>
        <v>Duplicate Order ID</v>
      </c>
      <c r="AB731" t="str">
        <f t="shared" si="159"/>
        <v>OK</v>
      </c>
      <c r="AC731">
        <f t="shared" si="160"/>
        <v>0.15</v>
      </c>
      <c r="AD731" t="str">
        <f t="shared" si="161"/>
        <v>OK</v>
      </c>
      <c r="AE731">
        <f t="shared" si="162"/>
        <v>9234.2129999999997</v>
      </c>
      <c r="AF731">
        <f t="shared" si="163"/>
        <v>3717.6929999999993</v>
      </c>
      <c r="AG731">
        <f t="shared" si="164"/>
        <v>0.40259987505161504</v>
      </c>
      <c r="AH731" t="str">
        <f t="shared" si="156"/>
        <v>May</v>
      </c>
      <c r="AI731">
        <f t="shared" si="157"/>
        <v>2025</v>
      </c>
      <c r="AJ731" t="str">
        <f t="shared" si="165"/>
        <v>OK</v>
      </c>
      <c r="AK731" t="str">
        <f t="shared" si="166"/>
        <v>OK</v>
      </c>
      <c r="AL731" t="str">
        <f t="shared" si="167"/>
        <v>Include</v>
      </c>
      <c r="AM731" t="str">
        <f t="shared" si="158"/>
        <v>Clean</v>
      </c>
    </row>
    <row r="732" spans="1:39">
      <c r="A732" t="s">
        <v>2269</v>
      </c>
      <c r="B732" s="4">
        <v>45827</v>
      </c>
      <c r="C732" s="4">
        <v>45832</v>
      </c>
      <c r="D732" s="6">
        <v>5</v>
      </c>
      <c r="E732" t="s">
        <v>2788</v>
      </c>
      <c r="F732" t="s">
        <v>2788</v>
      </c>
      <c r="G732" t="s">
        <v>2788</v>
      </c>
      <c r="H732" t="s">
        <v>2270</v>
      </c>
      <c r="I732" t="s">
        <v>53</v>
      </c>
      <c r="J732" t="s">
        <v>24</v>
      </c>
      <c r="K732" t="s">
        <v>38</v>
      </c>
      <c r="L732" t="s">
        <v>99</v>
      </c>
      <c r="M732" t="s">
        <v>100</v>
      </c>
      <c r="N732" t="s">
        <v>28</v>
      </c>
      <c r="O732" t="s">
        <v>48</v>
      </c>
      <c r="P732" t="s">
        <v>2271</v>
      </c>
      <c r="Q732" t="s">
        <v>31</v>
      </c>
      <c r="R732">
        <v>4</v>
      </c>
      <c r="S732">
        <v>782.01</v>
      </c>
      <c r="T732">
        <v>0.15</v>
      </c>
      <c r="U732">
        <v>2658.83</v>
      </c>
      <c r="V732">
        <v>2226.9699999999998</v>
      </c>
      <c r="W732">
        <v>431.86</v>
      </c>
      <c r="X732" t="s">
        <v>102</v>
      </c>
      <c r="Y732" t="s">
        <v>103</v>
      </c>
      <c r="Z732" t="str">
        <f t="shared" si="154"/>
        <v>Unique</v>
      </c>
      <c r="AA732" t="str">
        <f t="shared" si="155"/>
        <v>Unique</v>
      </c>
      <c r="AB732" t="str">
        <f t="shared" si="159"/>
        <v>OK</v>
      </c>
      <c r="AC732">
        <f t="shared" si="160"/>
        <v>0.15</v>
      </c>
      <c r="AD732" t="str">
        <f t="shared" si="161"/>
        <v>OK</v>
      </c>
      <c r="AE732">
        <f t="shared" si="162"/>
        <v>2658.8339999999998</v>
      </c>
      <c r="AF732">
        <f t="shared" si="163"/>
        <v>431.86400000000003</v>
      </c>
      <c r="AG732">
        <f t="shared" si="164"/>
        <v>0.16242608602116568</v>
      </c>
      <c r="AH732" t="str">
        <f t="shared" si="156"/>
        <v>June</v>
      </c>
      <c r="AI732">
        <f t="shared" si="157"/>
        <v>2025</v>
      </c>
      <c r="AJ732" t="str">
        <f t="shared" si="165"/>
        <v>OK</v>
      </c>
      <c r="AK732" t="str">
        <f t="shared" si="166"/>
        <v>OK</v>
      </c>
      <c r="AL732" t="str">
        <f t="shared" si="167"/>
        <v>Exclude</v>
      </c>
      <c r="AM732" t="str">
        <f t="shared" si="158"/>
        <v>Clean</v>
      </c>
    </row>
    <row r="733" spans="1:39">
      <c r="A733" t="s">
        <v>2272</v>
      </c>
      <c r="B733" s="4">
        <v>45368</v>
      </c>
      <c r="C733" s="4">
        <v>45370</v>
      </c>
      <c r="D733" s="6">
        <v>2</v>
      </c>
      <c r="E733" t="s">
        <v>2788</v>
      </c>
      <c r="F733" t="s">
        <v>2788</v>
      </c>
      <c r="G733" t="s">
        <v>2788</v>
      </c>
      <c r="H733" t="s">
        <v>2273</v>
      </c>
      <c r="I733" t="s">
        <v>62</v>
      </c>
      <c r="J733" t="s">
        <v>90</v>
      </c>
      <c r="K733" t="s">
        <v>38</v>
      </c>
      <c r="L733" t="s">
        <v>39</v>
      </c>
      <c r="M733" t="s">
        <v>40</v>
      </c>
      <c r="N733" t="s">
        <v>28</v>
      </c>
      <c r="O733" t="s">
        <v>153</v>
      </c>
      <c r="P733" t="s">
        <v>2274</v>
      </c>
      <c r="Q733" t="s">
        <v>50</v>
      </c>
      <c r="R733">
        <v>4</v>
      </c>
      <c r="S733">
        <v>4376.68</v>
      </c>
      <c r="T733">
        <v>0.1</v>
      </c>
      <c r="U733">
        <v>15756.05</v>
      </c>
      <c r="V733">
        <v>10245.44</v>
      </c>
      <c r="W733">
        <v>5510.61</v>
      </c>
      <c r="X733" t="s">
        <v>32</v>
      </c>
      <c r="Y733" t="s">
        <v>33</v>
      </c>
      <c r="Z733" t="str">
        <f t="shared" si="154"/>
        <v>Unique</v>
      </c>
      <c r="AA733" t="str">
        <f t="shared" si="155"/>
        <v>Unique</v>
      </c>
      <c r="AB733" t="str">
        <f t="shared" si="159"/>
        <v>OK</v>
      </c>
      <c r="AC733">
        <f t="shared" si="160"/>
        <v>0.1</v>
      </c>
      <c r="AD733" t="str">
        <f t="shared" si="161"/>
        <v>OK</v>
      </c>
      <c r="AE733">
        <f t="shared" si="162"/>
        <v>15756.048000000001</v>
      </c>
      <c r="AF733">
        <f t="shared" si="163"/>
        <v>5510.6080000000002</v>
      </c>
      <c r="AG733">
        <f t="shared" si="164"/>
        <v>0.3497455707167178</v>
      </c>
      <c r="AH733" t="str">
        <f t="shared" si="156"/>
        <v>March</v>
      </c>
      <c r="AI733">
        <f t="shared" si="157"/>
        <v>2024</v>
      </c>
      <c r="AJ733" t="str">
        <f t="shared" si="165"/>
        <v>OK</v>
      </c>
      <c r="AK733" t="str">
        <f t="shared" si="166"/>
        <v>OK</v>
      </c>
      <c r="AL733" t="str">
        <f t="shared" si="167"/>
        <v>Include</v>
      </c>
      <c r="AM733" t="str">
        <f t="shared" si="158"/>
        <v>Clean</v>
      </c>
    </row>
    <row r="734" spans="1:39">
      <c r="A734" t="s">
        <v>2275</v>
      </c>
      <c r="B734" s="4">
        <v>45624</v>
      </c>
      <c r="C734" s="4">
        <v>45632</v>
      </c>
      <c r="D734" s="6">
        <v>8</v>
      </c>
      <c r="E734" t="s">
        <v>2788</v>
      </c>
      <c r="F734" t="s">
        <v>2788</v>
      </c>
      <c r="G734" t="s">
        <v>2788</v>
      </c>
      <c r="H734" t="s">
        <v>2276</v>
      </c>
      <c r="I734" t="s">
        <v>53</v>
      </c>
      <c r="J734" t="s">
        <v>37</v>
      </c>
      <c r="K734" t="s">
        <v>25</v>
      </c>
      <c r="L734" t="s">
        <v>122</v>
      </c>
      <c r="M734" t="s">
        <v>123</v>
      </c>
      <c r="N734" t="s">
        <v>74</v>
      </c>
      <c r="O734" t="s">
        <v>171</v>
      </c>
      <c r="P734" t="s">
        <v>2277</v>
      </c>
      <c r="Q734" t="s">
        <v>59</v>
      </c>
      <c r="R734">
        <v>6</v>
      </c>
      <c r="S734">
        <v>2464.63</v>
      </c>
      <c r="T734">
        <v>0</v>
      </c>
      <c r="U734">
        <v>14787.78</v>
      </c>
      <c r="V734">
        <v>8596.65</v>
      </c>
      <c r="W734">
        <v>6191.13</v>
      </c>
      <c r="X734" t="s">
        <v>32</v>
      </c>
      <c r="Y734" t="s">
        <v>33</v>
      </c>
      <c r="Z734" t="str">
        <f t="shared" si="154"/>
        <v>Unique</v>
      </c>
      <c r="AA734" t="str">
        <f t="shared" si="155"/>
        <v>Unique</v>
      </c>
      <c r="AB734" t="str">
        <f t="shared" si="159"/>
        <v>OK</v>
      </c>
      <c r="AC734">
        <f t="shared" si="160"/>
        <v>0</v>
      </c>
      <c r="AD734" t="str">
        <f t="shared" si="161"/>
        <v>OK</v>
      </c>
      <c r="AE734">
        <f t="shared" si="162"/>
        <v>14787.78</v>
      </c>
      <c r="AF734">
        <f t="shared" si="163"/>
        <v>6191.130000000001</v>
      </c>
      <c r="AG734">
        <f t="shared" si="164"/>
        <v>0.41866527632950995</v>
      </c>
      <c r="AH734" t="str">
        <f t="shared" si="156"/>
        <v>November</v>
      </c>
      <c r="AI734">
        <f t="shared" si="157"/>
        <v>2024</v>
      </c>
      <c r="AJ734" t="str">
        <f t="shared" si="165"/>
        <v>OK</v>
      </c>
      <c r="AK734" t="str">
        <f t="shared" si="166"/>
        <v>OK</v>
      </c>
      <c r="AL734" t="str">
        <f t="shared" si="167"/>
        <v>Include</v>
      </c>
      <c r="AM734" t="str">
        <f t="shared" si="158"/>
        <v>Clean</v>
      </c>
    </row>
    <row r="735" spans="1:39">
      <c r="A735" t="s">
        <v>2278</v>
      </c>
      <c r="B735" s="4">
        <v>45464</v>
      </c>
      <c r="C735" s="4">
        <v>45471</v>
      </c>
      <c r="D735" s="6">
        <v>7</v>
      </c>
      <c r="E735" t="s">
        <v>2788</v>
      </c>
      <c r="F735" t="s">
        <v>2788</v>
      </c>
      <c r="G735" t="s">
        <v>2788</v>
      </c>
      <c r="H735" t="s">
        <v>2279</v>
      </c>
      <c r="I735" t="s">
        <v>128</v>
      </c>
      <c r="J735" t="s">
        <v>95</v>
      </c>
      <c r="K735" t="s">
        <v>25</v>
      </c>
      <c r="L735" t="s">
        <v>26</v>
      </c>
      <c r="M735" t="s">
        <v>27</v>
      </c>
      <c r="N735" t="s">
        <v>41</v>
      </c>
      <c r="O735" t="s">
        <v>57</v>
      </c>
      <c r="P735" t="s">
        <v>2280</v>
      </c>
      <c r="Q735" t="s">
        <v>50</v>
      </c>
      <c r="R735">
        <v>9</v>
      </c>
      <c r="S735">
        <v>2797.96</v>
      </c>
      <c r="T735">
        <v>0</v>
      </c>
      <c r="U735">
        <v>25181.64</v>
      </c>
      <c r="V735">
        <v>15337.9</v>
      </c>
      <c r="W735">
        <v>9843.74</v>
      </c>
      <c r="X735" t="s">
        <v>32</v>
      </c>
      <c r="Y735" t="s">
        <v>33</v>
      </c>
      <c r="Z735" t="str">
        <f t="shared" si="154"/>
        <v>Unique</v>
      </c>
      <c r="AA735" t="str">
        <f t="shared" si="155"/>
        <v>Unique</v>
      </c>
      <c r="AB735" t="str">
        <f t="shared" si="159"/>
        <v>OK</v>
      </c>
      <c r="AC735">
        <f t="shared" si="160"/>
        <v>0</v>
      </c>
      <c r="AD735" t="str">
        <f t="shared" si="161"/>
        <v>OK</v>
      </c>
      <c r="AE735">
        <f t="shared" si="162"/>
        <v>25181.64</v>
      </c>
      <c r="AF735">
        <f t="shared" si="163"/>
        <v>9843.74</v>
      </c>
      <c r="AG735">
        <f t="shared" si="164"/>
        <v>0.39090940860086953</v>
      </c>
      <c r="AH735" t="str">
        <f t="shared" si="156"/>
        <v>June</v>
      </c>
      <c r="AI735">
        <f t="shared" si="157"/>
        <v>2024</v>
      </c>
      <c r="AJ735" t="str">
        <f t="shared" si="165"/>
        <v>OK</v>
      </c>
      <c r="AK735" t="str">
        <f t="shared" si="166"/>
        <v>OK</v>
      </c>
      <c r="AL735" t="str">
        <f t="shared" si="167"/>
        <v>Include</v>
      </c>
      <c r="AM735" t="str">
        <f t="shared" si="158"/>
        <v>Clean</v>
      </c>
    </row>
    <row r="736" spans="1:39">
      <c r="A736" t="s">
        <v>2281</v>
      </c>
      <c r="B736" s="4">
        <v>45528</v>
      </c>
      <c r="C736" s="4">
        <v>45528</v>
      </c>
      <c r="D736" s="6">
        <v>0</v>
      </c>
      <c r="E736" t="s">
        <v>2788</v>
      </c>
      <c r="F736" t="s">
        <v>2788</v>
      </c>
      <c r="G736" t="s">
        <v>2788</v>
      </c>
      <c r="H736" t="s">
        <v>2282</v>
      </c>
      <c r="I736" t="s">
        <v>62</v>
      </c>
      <c r="J736" t="s">
        <v>37</v>
      </c>
      <c r="K736" t="s">
        <v>25</v>
      </c>
      <c r="L736" t="s">
        <v>26</v>
      </c>
      <c r="M736" t="s">
        <v>27</v>
      </c>
      <c r="N736" t="s">
        <v>74</v>
      </c>
      <c r="O736" t="s">
        <v>75</v>
      </c>
      <c r="P736" t="s">
        <v>2283</v>
      </c>
      <c r="Q736" t="s">
        <v>50</v>
      </c>
      <c r="R736">
        <v>4</v>
      </c>
      <c r="S736">
        <v>2761.86</v>
      </c>
      <c r="T736">
        <v>0.2</v>
      </c>
      <c r="U736">
        <v>8837.9500000000007</v>
      </c>
      <c r="V736">
        <v>6157.27</v>
      </c>
      <c r="W736">
        <v>2680.68</v>
      </c>
      <c r="X736" t="s">
        <v>32</v>
      </c>
      <c r="Y736" t="s">
        <v>33</v>
      </c>
      <c r="Z736" t="str">
        <f t="shared" si="154"/>
        <v>Unique</v>
      </c>
      <c r="AA736" t="str">
        <f t="shared" si="155"/>
        <v>Unique</v>
      </c>
      <c r="AB736" t="str">
        <f t="shared" si="159"/>
        <v>OK</v>
      </c>
      <c r="AC736">
        <f t="shared" si="160"/>
        <v>0.2</v>
      </c>
      <c r="AD736" t="str">
        <f t="shared" si="161"/>
        <v>OK</v>
      </c>
      <c r="AE736">
        <f t="shared" si="162"/>
        <v>8837.9520000000011</v>
      </c>
      <c r="AF736">
        <f t="shared" si="163"/>
        <v>2680.6820000000007</v>
      </c>
      <c r="AG736">
        <f t="shared" si="164"/>
        <v>0.30331484036120587</v>
      </c>
      <c r="AH736" t="str">
        <f t="shared" si="156"/>
        <v>August</v>
      </c>
      <c r="AI736">
        <f t="shared" si="157"/>
        <v>2024</v>
      </c>
      <c r="AJ736" t="str">
        <f t="shared" si="165"/>
        <v>OK</v>
      </c>
      <c r="AK736" t="str">
        <f t="shared" si="166"/>
        <v>OK</v>
      </c>
      <c r="AL736" t="str">
        <f t="shared" si="167"/>
        <v>Include</v>
      </c>
      <c r="AM736" t="str">
        <f t="shared" si="158"/>
        <v>Clean</v>
      </c>
    </row>
    <row r="737" spans="1:39">
      <c r="A737" t="s">
        <v>2284</v>
      </c>
      <c r="B737" s="4">
        <v>45515</v>
      </c>
      <c r="C737" s="4">
        <v>45523</v>
      </c>
      <c r="D737" s="6">
        <v>8</v>
      </c>
      <c r="E737" t="s">
        <v>2788</v>
      </c>
      <c r="F737" t="s">
        <v>2788</v>
      </c>
      <c r="G737" t="s">
        <v>2788</v>
      </c>
      <c r="H737" t="s">
        <v>2285</v>
      </c>
      <c r="I737" t="s">
        <v>36</v>
      </c>
      <c r="J737" t="s">
        <v>24</v>
      </c>
      <c r="K737" t="s">
        <v>63</v>
      </c>
      <c r="L737" t="s">
        <v>64</v>
      </c>
      <c r="M737" t="s">
        <v>65</v>
      </c>
      <c r="N737" t="s">
        <v>41</v>
      </c>
      <c r="O737" t="s">
        <v>42</v>
      </c>
      <c r="P737" t="s">
        <v>2286</v>
      </c>
      <c r="Q737" t="s">
        <v>59</v>
      </c>
      <c r="R737">
        <v>6</v>
      </c>
      <c r="S737">
        <v>1515.79</v>
      </c>
      <c r="T737">
        <v>0.2</v>
      </c>
      <c r="U737">
        <v>7275.79</v>
      </c>
      <c r="V737">
        <v>6152.87</v>
      </c>
      <c r="W737">
        <v>1122.92</v>
      </c>
      <c r="X737" t="s">
        <v>32</v>
      </c>
      <c r="Y737" t="s">
        <v>33</v>
      </c>
      <c r="Z737" t="str">
        <f t="shared" si="154"/>
        <v>Unique</v>
      </c>
      <c r="AA737" t="str">
        <f t="shared" si="155"/>
        <v>Unique</v>
      </c>
      <c r="AB737" t="str">
        <f t="shared" si="159"/>
        <v>OK</v>
      </c>
      <c r="AC737">
        <f t="shared" si="160"/>
        <v>0.2</v>
      </c>
      <c r="AD737" t="str">
        <f t="shared" si="161"/>
        <v>OK</v>
      </c>
      <c r="AE737">
        <f t="shared" si="162"/>
        <v>7275.7920000000004</v>
      </c>
      <c r="AF737">
        <f t="shared" si="163"/>
        <v>1122.9220000000005</v>
      </c>
      <c r="AG737">
        <f t="shared" si="164"/>
        <v>0.15433673749881804</v>
      </c>
      <c r="AH737" t="str">
        <f t="shared" si="156"/>
        <v>August</v>
      </c>
      <c r="AI737">
        <f t="shared" si="157"/>
        <v>2024</v>
      </c>
      <c r="AJ737" t="str">
        <f t="shared" si="165"/>
        <v>OK</v>
      </c>
      <c r="AK737" t="str">
        <f t="shared" si="166"/>
        <v>OK</v>
      </c>
      <c r="AL737" t="str">
        <f t="shared" si="167"/>
        <v>Include</v>
      </c>
      <c r="AM737" t="str">
        <f t="shared" si="158"/>
        <v>Clean</v>
      </c>
    </row>
    <row r="738" spans="1:39">
      <c r="A738" t="s">
        <v>2287</v>
      </c>
      <c r="B738" s="4">
        <v>45632</v>
      </c>
      <c r="C738" s="4">
        <v>45635</v>
      </c>
      <c r="D738" s="6">
        <v>3</v>
      </c>
      <c r="E738" t="s">
        <v>2788</v>
      </c>
      <c r="F738" t="s">
        <v>2788</v>
      </c>
      <c r="G738" t="s">
        <v>2788</v>
      </c>
      <c r="H738" t="s">
        <v>2288</v>
      </c>
      <c r="I738" t="s">
        <v>89</v>
      </c>
      <c r="J738" t="s">
        <v>24</v>
      </c>
      <c r="K738" t="s">
        <v>63</v>
      </c>
      <c r="L738" t="s">
        <v>64</v>
      </c>
      <c r="M738" t="s">
        <v>65</v>
      </c>
      <c r="N738" t="s">
        <v>41</v>
      </c>
      <c r="O738" t="s">
        <v>66</v>
      </c>
      <c r="P738" t="s">
        <v>2289</v>
      </c>
      <c r="Q738" t="s">
        <v>31</v>
      </c>
      <c r="R738">
        <v>9</v>
      </c>
      <c r="S738">
        <v>290.75</v>
      </c>
      <c r="T738">
        <v>0.1</v>
      </c>
      <c r="U738">
        <v>2355.08</v>
      </c>
      <c r="V738">
        <v>1350.03</v>
      </c>
      <c r="W738">
        <v>1005.05</v>
      </c>
      <c r="X738" t="s">
        <v>32</v>
      </c>
      <c r="Y738" t="s">
        <v>33</v>
      </c>
      <c r="Z738" t="str">
        <f t="shared" si="154"/>
        <v>Unique</v>
      </c>
      <c r="AA738" t="str">
        <f t="shared" si="155"/>
        <v>Unique</v>
      </c>
      <c r="AB738" t="str">
        <f t="shared" si="159"/>
        <v>OK</v>
      </c>
      <c r="AC738">
        <f t="shared" si="160"/>
        <v>0.1</v>
      </c>
      <c r="AD738" t="str">
        <f t="shared" si="161"/>
        <v>OK</v>
      </c>
      <c r="AE738">
        <f t="shared" si="162"/>
        <v>2355.0750000000003</v>
      </c>
      <c r="AF738">
        <f t="shared" si="163"/>
        <v>1005.0450000000003</v>
      </c>
      <c r="AG738">
        <f t="shared" si="164"/>
        <v>0.42675710964618968</v>
      </c>
      <c r="AH738" t="str">
        <f t="shared" si="156"/>
        <v>December</v>
      </c>
      <c r="AI738">
        <f t="shared" si="157"/>
        <v>2024</v>
      </c>
      <c r="AJ738" t="str">
        <f t="shared" si="165"/>
        <v>OK</v>
      </c>
      <c r="AK738" t="str">
        <f t="shared" si="166"/>
        <v>OK</v>
      </c>
      <c r="AL738" t="str">
        <f t="shared" si="167"/>
        <v>Include</v>
      </c>
      <c r="AM738" t="str">
        <f t="shared" si="158"/>
        <v>Clean</v>
      </c>
    </row>
    <row r="739" spans="1:39">
      <c r="A739" t="s">
        <v>2290</v>
      </c>
      <c r="B739" s="4">
        <v>45332</v>
      </c>
      <c r="C739" s="4">
        <v>45332</v>
      </c>
      <c r="D739" s="6">
        <v>0</v>
      </c>
      <c r="E739" t="s">
        <v>2788</v>
      </c>
      <c r="F739" t="s">
        <v>2788</v>
      </c>
      <c r="G739" t="s">
        <v>2788</v>
      </c>
      <c r="H739" t="s">
        <v>2291</v>
      </c>
      <c r="I739" t="s">
        <v>47</v>
      </c>
      <c r="J739" t="s">
        <v>95</v>
      </c>
      <c r="K739" t="s">
        <v>63</v>
      </c>
      <c r="L739" t="s">
        <v>64</v>
      </c>
      <c r="M739" t="s">
        <v>65</v>
      </c>
      <c r="N739" t="s">
        <v>41</v>
      </c>
      <c r="O739" t="s">
        <v>66</v>
      </c>
      <c r="P739" t="s">
        <v>2292</v>
      </c>
      <c r="Q739" t="s">
        <v>44</v>
      </c>
      <c r="R739">
        <v>6</v>
      </c>
      <c r="S739">
        <v>601.52</v>
      </c>
      <c r="T739">
        <v>0</v>
      </c>
      <c r="U739">
        <v>3609.12</v>
      </c>
      <c r="V739">
        <v>2645.5</v>
      </c>
      <c r="W739">
        <v>963.62</v>
      </c>
      <c r="X739" t="s">
        <v>32</v>
      </c>
      <c r="Y739" t="s">
        <v>33</v>
      </c>
      <c r="Z739" t="str">
        <f t="shared" si="154"/>
        <v>Unique</v>
      </c>
      <c r="AA739" t="str">
        <f t="shared" si="155"/>
        <v>Unique</v>
      </c>
      <c r="AB739" t="str">
        <f t="shared" si="159"/>
        <v>OK</v>
      </c>
      <c r="AC739">
        <f t="shared" si="160"/>
        <v>0</v>
      </c>
      <c r="AD739" t="str">
        <f t="shared" si="161"/>
        <v>OK</v>
      </c>
      <c r="AE739">
        <f t="shared" si="162"/>
        <v>3609.12</v>
      </c>
      <c r="AF739">
        <f t="shared" si="163"/>
        <v>963.61999999999989</v>
      </c>
      <c r="AG739">
        <f t="shared" si="164"/>
        <v>0.2669958327791816</v>
      </c>
      <c r="AH739" t="str">
        <f t="shared" si="156"/>
        <v>February</v>
      </c>
      <c r="AI739">
        <f t="shared" si="157"/>
        <v>2024</v>
      </c>
      <c r="AJ739" t="str">
        <f t="shared" si="165"/>
        <v>OK</v>
      </c>
      <c r="AK739" t="str">
        <f t="shared" si="166"/>
        <v>OK</v>
      </c>
      <c r="AL739" t="str">
        <f t="shared" si="167"/>
        <v>Include</v>
      </c>
      <c r="AM739" t="str">
        <f t="shared" si="158"/>
        <v>Clean</v>
      </c>
    </row>
    <row r="740" spans="1:39">
      <c r="A740" t="s">
        <v>2293</v>
      </c>
      <c r="B740" s="4">
        <v>45708</v>
      </c>
      <c r="C740" s="4">
        <v>45710</v>
      </c>
      <c r="D740" s="6">
        <v>2</v>
      </c>
      <c r="E740" t="s">
        <v>2788</v>
      </c>
      <c r="F740" t="s">
        <v>2788</v>
      </c>
      <c r="G740" t="s">
        <v>2788</v>
      </c>
      <c r="H740" t="s">
        <v>2294</v>
      </c>
      <c r="I740" t="s">
        <v>114</v>
      </c>
      <c r="J740" t="s">
        <v>90</v>
      </c>
      <c r="K740" t="s">
        <v>54</v>
      </c>
      <c r="L740" t="s">
        <v>185</v>
      </c>
      <c r="M740" t="s">
        <v>186</v>
      </c>
      <c r="N740" t="s">
        <v>28</v>
      </c>
      <c r="O740" t="s">
        <v>29</v>
      </c>
      <c r="P740" t="s">
        <v>2295</v>
      </c>
      <c r="Q740" t="s">
        <v>50</v>
      </c>
      <c r="R740">
        <v>1</v>
      </c>
      <c r="S740">
        <v>2188.19</v>
      </c>
      <c r="T740">
        <v>0</v>
      </c>
      <c r="U740">
        <v>2188.19</v>
      </c>
      <c r="V740">
        <v>1298.8399999999999</v>
      </c>
      <c r="W740">
        <v>889.35</v>
      </c>
      <c r="X740" t="s">
        <v>32</v>
      </c>
      <c r="Y740" t="s">
        <v>33</v>
      </c>
      <c r="Z740" t="str">
        <f t="shared" si="154"/>
        <v>Unique</v>
      </c>
      <c r="AA740" t="str">
        <f t="shared" si="155"/>
        <v>Unique</v>
      </c>
      <c r="AB740" t="str">
        <f t="shared" si="159"/>
        <v>OK</v>
      </c>
      <c r="AC740">
        <f t="shared" si="160"/>
        <v>0</v>
      </c>
      <c r="AD740" t="str">
        <f t="shared" si="161"/>
        <v>OK</v>
      </c>
      <c r="AE740">
        <f t="shared" si="162"/>
        <v>2188.19</v>
      </c>
      <c r="AF740">
        <f t="shared" si="163"/>
        <v>889.35000000000014</v>
      </c>
      <c r="AG740">
        <f t="shared" si="164"/>
        <v>0.40643179979800664</v>
      </c>
      <c r="AH740" t="str">
        <f t="shared" si="156"/>
        <v>February</v>
      </c>
      <c r="AI740">
        <f t="shared" si="157"/>
        <v>2025</v>
      </c>
      <c r="AJ740" t="str">
        <f t="shared" si="165"/>
        <v>OK</v>
      </c>
      <c r="AK740" t="str">
        <f t="shared" si="166"/>
        <v>OK</v>
      </c>
      <c r="AL740" t="str">
        <f t="shared" si="167"/>
        <v>Include</v>
      </c>
      <c r="AM740" t="str">
        <f t="shared" si="158"/>
        <v>Clean</v>
      </c>
    </row>
    <row r="741" spans="1:39">
      <c r="A741" t="s">
        <v>2296</v>
      </c>
      <c r="B741" s="4">
        <v>45629</v>
      </c>
      <c r="C741" s="4">
        <v>45636</v>
      </c>
      <c r="D741" s="6">
        <v>7</v>
      </c>
      <c r="E741" t="s">
        <v>2788</v>
      </c>
      <c r="F741" t="s">
        <v>2788</v>
      </c>
      <c r="G741" t="s">
        <v>2788</v>
      </c>
      <c r="H741" t="s">
        <v>2297</v>
      </c>
      <c r="I741" t="s">
        <v>79</v>
      </c>
      <c r="J741" t="s">
        <v>90</v>
      </c>
      <c r="K741" t="s">
        <v>25</v>
      </c>
      <c r="L741" t="s">
        <v>26</v>
      </c>
      <c r="M741" t="s">
        <v>27</v>
      </c>
      <c r="N741" t="s">
        <v>74</v>
      </c>
      <c r="O741" t="s">
        <v>171</v>
      </c>
      <c r="P741" t="s">
        <v>2298</v>
      </c>
      <c r="Q741" t="s">
        <v>59</v>
      </c>
      <c r="R741">
        <v>5</v>
      </c>
      <c r="S741">
        <v>2393.86</v>
      </c>
      <c r="T741">
        <v>0.05</v>
      </c>
      <c r="U741">
        <v>11370.84</v>
      </c>
      <c r="V741">
        <v>7469.58</v>
      </c>
      <c r="W741">
        <v>3901.26</v>
      </c>
      <c r="X741" t="s">
        <v>32</v>
      </c>
      <c r="Y741" t="s">
        <v>33</v>
      </c>
      <c r="Z741" t="str">
        <f t="shared" si="154"/>
        <v>Unique</v>
      </c>
      <c r="AA741" t="str">
        <f t="shared" si="155"/>
        <v>Unique</v>
      </c>
      <c r="AB741" t="str">
        <f t="shared" si="159"/>
        <v>OK</v>
      </c>
      <c r="AC741">
        <f t="shared" si="160"/>
        <v>0.05</v>
      </c>
      <c r="AD741" t="str">
        <f t="shared" si="161"/>
        <v>OK</v>
      </c>
      <c r="AE741">
        <f t="shared" si="162"/>
        <v>11370.835000000001</v>
      </c>
      <c r="AF741">
        <f t="shared" si="163"/>
        <v>3901.255000000001</v>
      </c>
      <c r="AG741">
        <f t="shared" si="164"/>
        <v>0.34309309738466881</v>
      </c>
      <c r="AH741" t="str">
        <f t="shared" si="156"/>
        <v>December</v>
      </c>
      <c r="AI741">
        <f t="shared" si="157"/>
        <v>2024</v>
      </c>
      <c r="AJ741" t="str">
        <f t="shared" si="165"/>
        <v>OK</v>
      </c>
      <c r="AK741" t="str">
        <f t="shared" si="166"/>
        <v>OK</v>
      </c>
      <c r="AL741" t="str">
        <f t="shared" si="167"/>
        <v>Include</v>
      </c>
      <c r="AM741" t="str">
        <f t="shared" si="158"/>
        <v>Clean</v>
      </c>
    </row>
    <row r="742" spans="1:39">
      <c r="A742" t="s">
        <v>2299</v>
      </c>
      <c r="B742" s="4">
        <v>45384</v>
      </c>
      <c r="C742" s="4">
        <v>45384</v>
      </c>
      <c r="D742" s="6">
        <v>0</v>
      </c>
      <c r="E742" t="s">
        <v>2788</v>
      </c>
      <c r="F742" t="s">
        <v>2788</v>
      </c>
      <c r="G742" t="s">
        <v>2788</v>
      </c>
      <c r="H742" t="s">
        <v>522</v>
      </c>
      <c r="I742" t="s">
        <v>132</v>
      </c>
      <c r="J742" t="s">
        <v>37</v>
      </c>
      <c r="K742" t="s">
        <v>63</v>
      </c>
      <c r="L742" t="s">
        <v>64</v>
      </c>
      <c r="M742" t="s">
        <v>65</v>
      </c>
      <c r="N742" t="s">
        <v>41</v>
      </c>
      <c r="O742" t="s">
        <v>66</v>
      </c>
      <c r="P742" t="s">
        <v>2300</v>
      </c>
      <c r="Q742" t="s">
        <v>50</v>
      </c>
      <c r="R742">
        <v>4</v>
      </c>
      <c r="S742">
        <v>2583</v>
      </c>
      <c r="T742">
        <v>0.1</v>
      </c>
      <c r="U742">
        <v>9298.7999999999993</v>
      </c>
      <c r="V742">
        <v>6548.5</v>
      </c>
      <c r="W742">
        <v>2750.3</v>
      </c>
      <c r="X742" t="s">
        <v>32</v>
      </c>
      <c r="Y742" t="s">
        <v>33</v>
      </c>
      <c r="Z742" t="str">
        <f t="shared" si="154"/>
        <v>Unique</v>
      </c>
      <c r="AA742" t="str">
        <f t="shared" si="155"/>
        <v>Unique</v>
      </c>
      <c r="AB742" t="str">
        <f t="shared" si="159"/>
        <v>OK</v>
      </c>
      <c r="AC742">
        <f t="shared" si="160"/>
        <v>0.1</v>
      </c>
      <c r="AD742" t="str">
        <f t="shared" si="161"/>
        <v>OK</v>
      </c>
      <c r="AE742">
        <f t="shared" si="162"/>
        <v>9298.8000000000011</v>
      </c>
      <c r="AF742">
        <f t="shared" si="163"/>
        <v>2750.3000000000011</v>
      </c>
      <c r="AG742">
        <f t="shared" si="164"/>
        <v>0.29576934658235482</v>
      </c>
      <c r="AH742" t="str">
        <f t="shared" si="156"/>
        <v>April</v>
      </c>
      <c r="AI742">
        <f t="shared" si="157"/>
        <v>2024</v>
      </c>
      <c r="AJ742" t="str">
        <f t="shared" si="165"/>
        <v>OK</v>
      </c>
      <c r="AK742" t="str">
        <f t="shared" si="166"/>
        <v>OK</v>
      </c>
      <c r="AL742" t="str">
        <f t="shared" si="167"/>
        <v>Include</v>
      </c>
      <c r="AM742" t="str">
        <f t="shared" si="158"/>
        <v>Clean</v>
      </c>
    </row>
    <row r="743" spans="1:39">
      <c r="A743" t="s">
        <v>2301</v>
      </c>
      <c r="B743" s="4">
        <v>45770</v>
      </c>
      <c r="C743" s="4">
        <v>45772</v>
      </c>
      <c r="D743" s="6">
        <v>2</v>
      </c>
      <c r="E743" t="s">
        <v>2788</v>
      </c>
      <c r="F743" t="s">
        <v>2788</v>
      </c>
      <c r="G743" t="s">
        <v>2788</v>
      </c>
      <c r="H743" t="s">
        <v>2302</v>
      </c>
      <c r="I743" t="s">
        <v>47</v>
      </c>
      <c r="J743" t="s">
        <v>95</v>
      </c>
      <c r="K743" t="s">
        <v>54</v>
      </c>
      <c r="L743" t="s">
        <v>247</v>
      </c>
      <c r="M743" t="s">
        <v>248</v>
      </c>
      <c r="N743" t="s">
        <v>41</v>
      </c>
      <c r="O743" t="s">
        <v>66</v>
      </c>
      <c r="P743" t="s">
        <v>2303</v>
      </c>
      <c r="Q743" t="s">
        <v>31</v>
      </c>
      <c r="R743">
        <v>3</v>
      </c>
      <c r="S743">
        <v>2951.12</v>
      </c>
      <c r="U743">
        <v>7082.69</v>
      </c>
      <c r="V743">
        <v>5596.34</v>
      </c>
      <c r="W743">
        <v>1486.35</v>
      </c>
      <c r="X743" t="s">
        <v>32</v>
      </c>
      <c r="Y743" t="s">
        <v>68</v>
      </c>
      <c r="Z743" t="str">
        <f t="shared" si="154"/>
        <v>Unique</v>
      </c>
      <c r="AA743" t="str">
        <f t="shared" si="155"/>
        <v>Unique</v>
      </c>
      <c r="AB743" t="str">
        <f t="shared" si="159"/>
        <v>OK</v>
      </c>
      <c r="AC743">
        <f t="shared" si="160"/>
        <v>0</v>
      </c>
      <c r="AD743" t="str">
        <f t="shared" si="161"/>
        <v>OK</v>
      </c>
      <c r="AE743">
        <f t="shared" si="162"/>
        <v>8853.36</v>
      </c>
      <c r="AF743">
        <f t="shared" si="163"/>
        <v>3257.0200000000004</v>
      </c>
      <c r="AG743">
        <f t="shared" si="164"/>
        <v>0.36788518709280998</v>
      </c>
      <c r="AH743" t="str">
        <f t="shared" si="156"/>
        <v>April</v>
      </c>
      <c r="AI743">
        <f t="shared" si="157"/>
        <v>2025</v>
      </c>
      <c r="AJ743" t="str">
        <f t="shared" si="165"/>
        <v>Sales Mismatch</v>
      </c>
      <c r="AK743" t="str">
        <f t="shared" si="166"/>
        <v>Profit Mismatch</v>
      </c>
      <c r="AL743" t="str">
        <f t="shared" si="167"/>
        <v>Exclude</v>
      </c>
      <c r="AM743" t="str">
        <f t="shared" si="158"/>
        <v>Warning</v>
      </c>
    </row>
    <row r="744" spans="1:39">
      <c r="A744" t="s">
        <v>2304</v>
      </c>
      <c r="B744" s="4">
        <v>45580</v>
      </c>
      <c r="C744" s="4">
        <v>45587</v>
      </c>
      <c r="D744" s="6">
        <v>7</v>
      </c>
      <c r="E744" t="s">
        <v>2788</v>
      </c>
      <c r="F744" t="s">
        <v>2788</v>
      </c>
      <c r="G744" t="s">
        <v>2788</v>
      </c>
      <c r="H744" t="s">
        <v>2305</v>
      </c>
      <c r="I744" t="s">
        <v>23</v>
      </c>
      <c r="J744" t="s">
        <v>90</v>
      </c>
      <c r="K744" t="s">
        <v>38</v>
      </c>
      <c r="L744" t="s">
        <v>39</v>
      </c>
      <c r="M744" t="s">
        <v>40</v>
      </c>
      <c r="N744" t="s">
        <v>28</v>
      </c>
      <c r="O744" t="s">
        <v>29</v>
      </c>
      <c r="P744" t="s">
        <v>2306</v>
      </c>
      <c r="Q744" t="s">
        <v>59</v>
      </c>
      <c r="R744">
        <v>4</v>
      </c>
      <c r="S744">
        <v>2260.9499999999998</v>
      </c>
      <c r="T744">
        <v>0</v>
      </c>
      <c r="U744">
        <v>9043.7999999999993</v>
      </c>
      <c r="V744">
        <v>5913.38</v>
      </c>
      <c r="W744">
        <v>3130.42</v>
      </c>
      <c r="X744" t="s">
        <v>32</v>
      </c>
      <c r="Y744" t="s">
        <v>33</v>
      </c>
      <c r="Z744" t="str">
        <f t="shared" si="154"/>
        <v>Unique</v>
      </c>
      <c r="AA744" t="str">
        <f t="shared" si="155"/>
        <v>Unique</v>
      </c>
      <c r="AB744" t="str">
        <f t="shared" si="159"/>
        <v>OK</v>
      </c>
      <c r="AC744">
        <f t="shared" si="160"/>
        <v>0</v>
      </c>
      <c r="AD744" t="str">
        <f t="shared" si="161"/>
        <v>OK</v>
      </c>
      <c r="AE744">
        <f t="shared" si="162"/>
        <v>9043.7999999999993</v>
      </c>
      <c r="AF744">
        <f t="shared" si="163"/>
        <v>3130.4199999999992</v>
      </c>
      <c r="AG744">
        <f t="shared" si="164"/>
        <v>0.34613989694597397</v>
      </c>
      <c r="AH744" t="str">
        <f t="shared" si="156"/>
        <v>October</v>
      </c>
      <c r="AI744">
        <f t="shared" si="157"/>
        <v>2024</v>
      </c>
      <c r="AJ744" t="str">
        <f t="shared" si="165"/>
        <v>OK</v>
      </c>
      <c r="AK744" t="str">
        <f t="shared" si="166"/>
        <v>OK</v>
      </c>
      <c r="AL744" t="str">
        <f t="shared" si="167"/>
        <v>Include</v>
      </c>
      <c r="AM744" t="str">
        <f t="shared" si="158"/>
        <v>Clean</v>
      </c>
    </row>
    <row r="745" spans="1:39">
      <c r="A745" t="s">
        <v>2307</v>
      </c>
      <c r="B745" s="4">
        <v>45700</v>
      </c>
      <c r="C745" s="4">
        <v>45702</v>
      </c>
      <c r="D745" s="6">
        <v>2</v>
      </c>
      <c r="E745" t="s">
        <v>2788</v>
      </c>
      <c r="F745" t="s">
        <v>2788</v>
      </c>
      <c r="G745" t="s">
        <v>2788</v>
      </c>
      <c r="H745" t="s">
        <v>2308</v>
      </c>
      <c r="I745" t="s">
        <v>132</v>
      </c>
      <c r="J745" t="s">
        <v>24</v>
      </c>
      <c r="K745" t="s">
        <v>25</v>
      </c>
      <c r="L745" t="s">
        <v>136</v>
      </c>
      <c r="M745" t="s">
        <v>137</v>
      </c>
      <c r="N745" t="s">
        <v>28</v>
      </c>
      <c r="O745" t="s">
        <v>48</v>
      </c>
      <c r="P745" t="s">
        <v>2309</v>
      </c>
      <c r="Q745" t="s">
        <v>59</v>
      </c>
      <c r="R745">
        <v>6</v>
      </c>
      <c r="S745">
        <v>491.4</v>
      </c>
      <c r="T745">
        <v>0.25</v>
      </c>
      <c r="U745">
        <v>2211.3000000000002</v>
      </c>
      <c r="V745">
        <v>1735.64</v>
      </c>
      <c r="W745">
        <v>475.66</v>
      </c>
      <c r="X745" t="s">
        <v>32</v>
      </c>
      <c r="Y745" t="s">
        <v>33</v>
      </c>
      <c r="Z745" t="str">
        <f t="shared" si="154"/>
        <v>Unique</v>
      </c>
      <c r="AA745" t="str">
        <f t="shared" si="155"/>
        <v>Unique</v>
      </c>
      <c r="AB745" t="str">
        <f t="shared" si="159"/>
        <v>OK</v>
      </c>
      <c r="AC745">
        <f t="shared" si="160"/>
        <v>0.25</v>
      </c>
      <c r="AD745" t="str">
        <f t="shared" si="161"/>
        <v>OK</v>
      </c>
      <c r="AE745">
        <f t="shared" si="162"/>
        <v>2211.2999999999997</v>
      </c>
      <c r="AF745">
        <f t="shared" si="163"/>
        <v>475.65999999999963</v>
      </c>
      <c r="AG745">
        <f t="shared" si="164"/>
        <v>0.21510423732645942</v>
      </c>
      <c r="AH745" t="str">
        <f t="shared" si="156"/>
        <v>February</v>
      </c>
      <c r="AI745">
        <f t="shared" si="157"/>
        <v>2025</v>
      </c>
      <c r="AJ745" t="str">
        <f t="shared" si="165"/>
        <v>OK</v>
      </c>
      <c r="AK745" t="str">
        <f t="shared" si="166"/>
        <v>OK</v>
      </c>
      <c r="AL745" t="str">
        <f t="shared" si="167"/>
        <v>Include</v>
      </c>
      <c r="AM745" t="str">
        <f t="shared" si="158"/>
        <v>Clean</v>
      </c>
    </row>
    <row r="746" spans="1:39">
      <c r="A746" t="s">
        <v>2310</v>
      </c>
      <c r="B746" s="4">
        <v>45886</v>
      </c>
      <c r="C746" s="4">
        <v>45889</v>
      </c>
      <c r="D746" s="6">
        <v>3</v>
      </c>
      <c r="E746" t="s">
        <v>2788</v>
      </c>
      <c r="F746" t="s">
        <v>2788</v>
      </c>
      <c r="G746" t="s">
        <v>2788</v>
      </c>
      <c r="H746" t="s">
        <v>2311</v>
      </c>
      <c r="I746" t="s">
        <v>36</v>
      </c>
      <c r="J746" t="s">
        <v>95</v>
      </c>
      <c r="K746" t="s">
        <v>25</v>
      </c>
      <c r="L746" t="s">
        <v>122</v>
      </c>
      <c r="M746" t="s">
        <v>123</v>
      </c>
      <c r="N746" t="s">
        <v>28</v>
      </c>
      <c r="O746" t="s">
        <v>153</v>
      </c>
      <c r="P746" t="s">
        <v>2312</v>
      </c>
      <c r="Q746" t="s">
        <v>50</v>
      </c>
      <c r="R746">
        <v>5</v>
      </c>
      <c r="S746">
        <v>2701.89</v>
      </c>
      <c r="T746">
        <v>0.1</v>
      </c>
      <c r="U746">
        <v>12158.5</v>
      </c>
      <c r="V746">
        <v>10260.07</v>
      </c>
      <c r="W746">
        <v>1898.43</v>
      </c>
      <c r="X746" t="s">
        <v>32</v>
      </c>
      <c r="Y746" t="s">
        <v>68</v>
      </c>
      <c r="Z746" t="str">
        <f t="shared" si="154"/>
        <v>Unique</v>
      </c>
      <c r="AA746" t="str">
        <f t="shared" si="155"/>
        <v>Unique</v>
      </c>
      <c r="AB746" t="str">
        <f t="shared" si="159"/>
        <v>OK</v>
      </c>
      <c r="AC746">
        <f t="shared" si="160"/>
        <v>0.1</v>
      </c>
      <c r="AD746" t="str">
        <f t="shared" si="161"/>
        <v>OK</v>
      </c>
      <c r="AE746">
        <f t="shared" si="162"/>
        <v>12158.504999999999</v>
      </c>
      <c r="AF746">
        <f t="shared" si="163"/>
        <v>1898.4349999999995</v>
      </c>
      <c r="AG746">
        <f t="shared" si="164"/>
        <v>0.15614049589155901</v>
      </c>
      <c r="AH746" t="str">
        <f t="shared" si="156"/>
        <v>August</v>
      </c>
      <c r="AI746">
        <f t="shared" si="157"/>
        <v>2025</v>
      </c>
      <c r="AJ746" t="str">
        <f t="shared" si="165"/>
        <v>OK</v>
      </c>
      <c r="AK746" t="str">
        <f t="shared" si="166"/>
        <v>OK</v>
      </c>
      <c r="AL746" t="str">
        <f t="shared" si="167"/>
        <v>Exclude</v>
      </c>
      <c r="AM746" t="str">
        <f t="shared" si="158"/>
        <v>Clean</v>
      </c>
    </row>
    <row r="747" spans="1:39">
      <c r="A747" t="s">
        <v>2313</v>
      </c>
      <c r="B747" s="4">
        <v>45589</v>
      </c>
      <c r="C747" s="4">
        <v>45593</v>
      </c>
      <c r="D747" s="6">
        <v>4</v>
      </c>
      <c r="E747" t="s">
        <v>2788</v>
      </c>
      <c r="F747" t="s">
        <v>2788</v>
      </c>
      <c r="G747" t="s">
        <v>2788</v>
      </c>
      <c r="H747" t="s">
        <v>2314</v>
      </c>
      <c r="I747" t="s">
        <v>36</v>
      </c>
      <c r="J747" t="s">
        <v>37</v>
      </c>
      <c r="K747" t="s">
        <v>38</v>
      </c>
      <c r="L747" t="s">
        <v>166</v>
      </c>
      <c r="M747" t="s">
        <v>167</v>
      </c>
      <c r="N747" t="s">
        <v>74</v>
      </c>
      <c r="O747" t="s">
        <v>80</v>
      </c>
      <c r="P747" t="s">
        <v>2315</v>
      </c>
      <c r="Q747" t="s">
        <v>59</v>
      </c>
      <c r="R747">
        <v>3</v>
      </c>
      <c r="S747">
        <v>723.59</v>
      </c>
      <c r="T747">
        <v>0.2</v>
      </c>
      <c r="U747">
        <v>1736.62</v>
      </c>
      <c r="V747">
        <v>1059.52</v>
      </c>
      <c r="W747">
        <v>677.1</v>
      </c>
      <c r="X747" t="s">
        <v>32</v>
      </c>
      <c r="Y747" t="s">
        <v>33</v>
      </c>
      <c r="Z747" t="str">
        <f t="shared" si="154"/>
        <v>Unique</v>
      </c>
      <c r="AA747" t="str">
        <f t="shared" si="155"/>
        <v>Unique</v>
      </c>
      <c r="AB747" t="str">
        <f t="shared" si="159"/>
        <v>OK</v>
      </c>
      <c r="AC747">
        <f t="shared" si="160"/>
        <v>0.2</v>
      </c>
      <c r="AD747" t="str">
        <f t="shared" si="161"/>
        <v>OK</v>
      </c>
      <c r="AE747">
        <f t="shared" si="162"/>
        <v>1736.616</v>
      </c>
      <c r="AF747">
        <f t="shared" si="163"/>
        <v>677.096</v>
      </c>
      <c r="AG747">
        <f t="shared" si="164"/>
        <v>0.38989390861307277</v>
      </c>
      <c r="AH747" t="str">
        <f t="shared" si="156"/>
        <v>October</v>
      </c>
      <c r="AI747">
        <f t="shared" si="157"/>
        <v>2024</v>
      </c>
      <c r="AJ747" t="str">
        <f t="shared" si="165"/>
        <v>OK</v>
      </c>
      <c r="AK747" t="str">
        <f t="shared" si="166"/>
        <v>OK</v>
      </c>
      <c r="AL747" t="str">
        <f t="shared" si="167"/>
        <v>Include</v>
      </c>
      <c r="AM747" t="str">
        <f t="shared" si="158"/>
        <v>Clean</v>
      </c>
    </row>
    <row r="748" spans="1:39">
      <c r="A748" t="s">
        <v>2316</v>
      </c>
      <c r="B748" s="4">
        <v>45661</v>
      </c>
      <c r="C748" s="4">
        <v>45667</v>
      </c>
      <c r="D748" s="6">
        <v>6</v>
      </c>
      <c r="E748" t="s">
        <v>2788</v>
      </c>
      <c r="F748" t="s">
        <v>2788</v>
      </c>
      <c r="G748" t="s">
        <v>2788</v>
      </c>
      <c r="H748" t="s">
        <v>2025</v>
      </c>
      <c r="I748" t="s">
        <v>128</v>
      </c>
      <c r="J748" t="s">
        <v>95</v>
      </c>
      <c r="K748" t="s">
        <v>38</v>
      </c>
      <c r="L748" t="s">
        <v>99</v>
      </c>
      <c r="M748" t="s">
        <v>100</v>
      </c>
      <c r="N748" t="s">
        <v>28</v>
      </c>
      <c r="O748" t="s">
        <v>29</v>
      </c>
      <c r="P748" t="s">
        <v>2317</v>
      </c>
      <c r="Q748" t="s">
        <v>59</v>
      </c>
      <c r="R748">
        <v>4</v>
      </c>
      <c r="S748">
        <v>2583.19</v>
      </c>
      <c r="T748">
        <v>0.2</v>
      </c>
      <c r="U748">
        <v>8266.2099999999991</v>
      </c>
      <c r="V748">
        <v>6236.32</v>
      </c>
      <c r="W748">
        <v>2029.89</v>
      </c>
      <c r="X748" t="s">
        <v>32</v>
      </c>
      <c r="Y748" t="s">
        <v>33</v>
      </c>
      <c r="Z748" t="str">
        <f t="shared" si="154"/>
        <v>Unique</v>
      </c>
      <c r="AA748" t="str">
        <f t="shared" si="155"/>
        <v>Unique</v>
      </c>
      <c r="AB748" t="str">
        <f t="shared" si="159"/>
        <v>OK</v>
      </c>
      <c r="AC748">
        <f t="shared" si="160"/>
        <v>0.2</v>
      </c>
      <c r="AD748" t="str">
        <f t="shared" si="161"/>
        <v>OK</v>
      </c>
      <c r="AE748">
        <f t="shared" si="162"/>
        <v>8266.2080000000005</v>
      </c>
      <c r="AF748">
        <f t="shared" si="163"/>
        <v>2029.8880000000008</v>
      </c>
      <c r="AG748">
        <f t="shared" si="164"/>
        <v>0.24556459261610653</v>
      </c>
      <c r="AH748" t="str">
        <f t="shared" si="156"/>
        <v>January</v>
      </c>
      <c r="AI748">
        <f t="shared" si="157"/>
        <v>2025</v>
      </c>
      <c r="AJ748" t="str">
        <f t="shared" si="165"/>
        <v>OK</v>
      </c>
      <c r="AK748" t="str">
        <f t="shared" si="166"/>
        <v>OK</v>
      </c>
      <c r="AL748" t="str">
        <f t="shared" si="167"/>
        <v>Include</v>
      </c>
      <c r="AM748" t="str">
        <f t="shared" si="158"/>
        <v>Clean</v>
      </c>
    </row>
    <row r="749" spans="1:39">
      <c r="A749" t="s">
        <v>2318</v>
      </c>
      <c r="B749" s="4">
        <v>45413</v>
      </c>
      <c r="C749" s="4">
        <v>45419</v>
      </c>
      <c r="D749" s="6">
        <v>6</v>
      </c>
      <c r="E749" t="s">
        <v>2788</v>
      </c>
      <c r="F749" t="s">
        <v>2788</v>
      </c>
      <c r="G749" t="s">
        <v>2788</v>
      </c>
      <c r="H749" t="s">
        <v>2319</v>
      </c>
      <c r="I749" t="s">
        <v>47</v>
      </c>
      <c r="J749" t="s">
        <v>95</v>
      </c>
      <c r="K749" t="s">
        <v>38</v>
      </c>
      <c r="L749" t="s">
        <v>39</v>
      </c>
      <c r="M749" t="s">
        <v>40</v>
      </c>
      <c r="N749" t="s">
        <v>28</v>
      </c>
      <c r="O749" t="s">
        <v>29</v>
      </c>
      <c r="P749" t="s">
        <v>2320</v>
      </c>
      <c r="Q749" t="s">
        <v>44</v>
      </c>
      <c r="R749">
        <v>8</v>
      </c>
      <c r="S749">
        <v>1473.83</v>
      </c>
      <c r="T749">
        <v>0.15</v>
      </c>
      <c r="U749">
        <v>10022.040000000001</v>
      </c>
      <c r="V749">
        <v>5576.98</v>
      </c>
      <c r="W749">
        <v>4445.0600000000004</v>
      </c>
      <c r="X749" t="s">
        <v>32</v>
      </c>
      <c r="Y749" t="s">
        <v>33</v>
      </c>
      <c r="Z749" t="str">
        <f t="shared" si="154"/>
        <v>Unique</v>
      </c>
      <c r="AA749" t="str">
        <f t="shared" si="155"/>
        <v>Unique</v>
      </c>
      <c r="AB749" t="str">
        <f t="shared" si="159"/>
        <v>OK</v>
      </c>
      <c r="AC749">
        <f t="shared" si="160"/>
        <v>0.15</v>
      </c>
      <c r="AD749" t="str">
        <f t="shared" si="161"/>
        <v>OK</v>
      </c>
      <c r="AE749">
        <f t="shared" si="162"/>
        <v>10022.044</v>
      </c>
      <c r="AF749">
        <f t="shared" si="163"/>
        <v>4445.0640000000003</v>
      </c>
      <c r="AG749">
        <f t="shared" si="164"/>
        <v>0.44352868536597928</v>
      </c>
      <c r="AH749" t="str">
        <f t="shared" si="156"/>
        <v>May</v>
      </c>
      <c r="AI749">
        <f t="shared" si="157"/>
        <v>2024</v>
      </c>
      <c r="AJ749" t="str">
        <f t="shared" si="165"/>
        <v>OK</v>
      </c>
      <c r="AK749" t="str">
        <f t="shared" si="166"/>
        <v>OK</v>
      </c>
      <c r="AL749" t="str">
        <f t="shared" si="167"/>
        <v>Include</v>
      </c>
      <c r="AM749" t="str">
        <f t="shared" si="158"/>
        <v>Clean</v>
      </c>
    </row>
    <row r="750" spans="1:39">
      <c r="A750" t="s">
        <v>2321</v>
      </c>
      <c r="B750" s="4">
        <v>45442</v>
      </c>
      <c r="C750" s="4">
        <v>45442</v>
      </c>
      <c r="D750" s="6">
        <v>0</v>
      </c>
      <c r="E750" t="s">
        <v>2788</v>
      </c>
      <c r="F750" t="s">
        <v>2788</v>
      </c>
      <c r="G750" t="s">
        <v>2788</v>
      </c>
      <c r="H750" t="s">
        <v>2322</v>
      </c>
      <c r="I750" t="s">
        <v>162</v>
      </c>
      <c r="J750" t="s">
        <v>95</v>
      </c>
      <c r="K750" t="s">
        <v>25</v>
      </c>
      <c r="L750" t="s">
        <v>236</v>
      </c>
      <c r="M750" t="s">
        <v>237</v>
      </c>
      <c r="N750" t="s">
        <v>74</v>
      </c>
      <c r="O750" t="s">
        <v>171</v>
      </c>
      <c r="P750" t="s">
        <v>2323</v>
      </c>
      <c r="Q750" t="s">
        <v>31</v>
      </c>
      <c r="R750">
        <v>1</v>
      </c>
      <c r="S750">
        <v>3848.04</v>
      </c>
      <c r="T750">
        <v>0.25</v>
      </c>
      <c r="U750">
        <v>2886.03</v>
      </c>
      <c r="V750">
        <v>2064.83</v>
      </c>
      <c r="W750">
        <v>821.2</v>
      </c>
      <c r="X750" t="s">
        <v>32</v>
      </c>
      <c r="Y750" t="s">
        <v>33</v>
      </c>
      <c r="Z750" t="str">
        <f t="shared" si="154"/>
        <v>Unique</v>
      </c>
      <c r="AA750" t="str">
        <f t="shared" si="155"/>
        <v>Unique</v>
      </c>
      <c r="AB750" t="str">
        <f t="shared" si="159"/>
        <v>OK</v>
      </c>
      <c r="AC750">
        <f t="shared" si="160"/>
        <v>0.25</v>
      </c>
      <c r="AD750" t="str">
        <f t="shared" si="161"/>
        <v>OK</v>
      </c>
      <c r="AE750">
        <f t="shared" si="162"/>
        <v>2886.0299999999997</v>
      </c>
      <c r="AF750">
        <f t="shared" si="163"/>
        <v>821.19999999999982</v>
      </c>
      <c r="AG750">
        <f t="shared" si="164"/>
        <v>0.28454312671732446</v>
      </c>
      <c r="AH750" t="str">
        <f t="shared" si="156"/>
        <v>May</v>
      </c>
      <c r="AI750">
        <f t="shared" si="157"/>
        <v>2024</v>
      </c>
      <c r="AJ750" t="str">
        <f t="shared" si="165"/>
        <v>OK</v>
      </c>
      <c r="AK750" t="str">
        <f t="shared" si="166"/>
        <v>OK</v>
      </c>
      <c r="AL750" t="str">
        <f t="shared" si="167"/>
        <v>Include</v>
      </c>
      <c r="AM750" t="str">
        <f t="shared" si="158"/>
        <v>Clean</v>
      </c>
    </row>
    <row r="751" spans="1:39">
      <c r="A751" t="s">
        <v>2324</v>
      </c>
      <c r="B751" s="4">
        <v>45372</v>
      </c>
      <c r="C751" s="4">
        <v>45376</v>
      </c>
      <c r="D751" s="6">
        <v>4</v>
      </c>
      <c r="E751" t="s">
        <v>2788</v>
      </c>
      <c r="F751" t="s">
        <v>2788</v>
      </c>
      <c r="G751" t="s">
        <v>2788</v>
      </c>
      <c r="H751" t="s">
        <v>2325</v>
      </c>
      <c r="I751" t="s">
        <v>89</v>
      </c>
      <c r="J751" t="s">
        <v>95</v>
      </c>
      <c r="K751" t="s">
        <v>38</v>
      </c>
      <c r="L751" t="s">
        <v>166</v>
      </c>
      <c r="M751" t="s">
        <v>167</v>
      </c>
      <c r="N751" t="s">
        <v>74</v>
      </c>
      <c r="O751" t="s">
        <v>274</v>
      </c>
      <c r="P751" t="s">
        <v>2326</v>
      </c>
      <c r="Q751" t="s">
        <v>59</v>
      </c>
      <c r="R751">
        <v>1</v>
      </c>
      <c r="S751">
        <v>1716.7</v>
      </c>
      <c r="T751">
        <v>0.15</v>
      </c>
      <c r="U751">
        <v>1459.19</v>
      </c>
      <c r="V751">
        <v>1055.79</v>
      </c>
      <c r="W751">
        <v>403.4</v>
      </c>
      <c r="X751" t="s">
        <v>32</v>
      </c>
      <c r="Y751" t="s">
        <v>33</v>
      </c>
      <c r="Z751" t="str">
        <f t="shared" si="154"/>
        <v>Unique</v>
      </c>
      <c r="AA751" t="str">
        <f t="shared" si="155"/>
        <v>Unique</v>
      </c>
      <c r="AB751" t="str">
        <f t="shared" si="159"/>
        <v>OK</v>
      </c>
      <c r="AC751">
        <f t="shared" si="160"/>
        <v>0.15</v>
      </c>
      <c r="AD751" t="str">
        <f t="shared" si="161"/>
        <v>OK</v>
      </c>
      <c r="AE751">
        <f t="shared" si="162"/>
        <v>1459.1949999999999</v>
      </c>
      <c r="AF751">
        <f t="shared" si="163"/>
        <v>403.40499999999997</v>
      </c>
      <c r="AG751">
        <f t="shared" si="164"/>
        <v>0.27645722470266137</v>
      </c>
      <c r="AH751" t="str">
        <f t="shared" si="156"/>
        <v>March</v>
      </c>
      <c r="AI751">
        <f t="shared" si="157"/>
        <v>2024</v>
      </c>
      <c r="AJ751" t="str">
        <f t="shared" si="165"/>
        <v>OK</v>
      </c>
      <c r="AK751" t="str">
        <f t="shared" si="166"/>
        <v>OK</v>
      </c>
      <c r="AL751" t="str">
        <f t="shared" si="167"/>
        <v>Include</v>
      </c>
      <c r="AM751" t="str">
        <f t="shared" si="158"/>
        <v>Clean</v>
      </c>
    </row>
    <row r="752" spans="1:39">
      <c r="A752" t="s">
        <v>2327</v>
      </c>
      <c r="B752" s="4">
        <v>45810</v>
      </c>
      <c r="C752" s="4">
        <v>45810</v>
      </c>
      <c r="D752" s="6">
        <v>0</v>
      </c>
      <c r="E752" t="s">
        <v>2788</v>
      </c>
      <c r="F752" t="s">
        <v>2788</v>
      </c>
      <c r="G752" t="s">
        <v>2788</v>
      </c>
      <c r="H752" t="s">
        <v>2328</v>
      </c>
      <c r="I752" t="s">
        <v>128</v>
      </c>
      <c r="J752" t="s">
        <v>95</v>
      </c>
      <c r="K752" t="s">
        <v>54</v>
      </c>
      <c r="L752" t="s">
        <v>55</v>
      </c>
      <c r="M752" t="s">
        <v>56</v>
      </c>
      <c r="N752" t="s">
        <v>74</v>
      </c>
      <c r="O752" t="s">
        <v>75</v>
      </c>
      <c r="P752" t="s">
        <v>2329</v>
      </c>
      <c r="Q752" t="s">
        <v>50</v>
      </c>
      <c r="R752">
        <v>8</v>
      </c>
      <c r="S752">
        <v>3925.93</v>
      </c>
      <c r="T752">
        <v>0.15</v>
      </c>
      <c r="U752">
        <v>26696.32</v>
      </c>
      <c r="V752">
        <v>22724.52</v>
      </c>
      <c r="W752">
        <v>3971.8</v>
      </c>
      <c r="X752" t="s">
        <v>32</v>
      </c>
      <c r="Y752" t="s">
        <v>33</v>
      </c>
      <c r="Z752" t="str">
        <f t="shared" si="154"/>
        <v>Unique</v>
      </c>
      <c r="AA752" t="str">
        <f t="shared" si="155"/>
        <v>Unique</v>
      </c>
      <c r="AB752" t="str">
        <f t="shared" si="159"/>
        <v>OK</v>
      </c>
      <c r="AC752">
        <f t="shared" si="160"/>
        <v>0.15</v>
      </c>
      <c r="AD752" t="str">
        <f t="shared" si="161"/>
        <v>OK</v>
      </c>
      <c r="AE752">
        <f t="shared" si="162"/>
        <v>26696.323999999997</v>
      </c>
      <c r="AF752">
        <f t="shared" si="163"/>
        <v>3971.8039999999964</v>
      </c>
      <c r="AG752">
        <f t="shared" si="164"/>
        <v>0.14877718745097629</v>
      </c>
      <c r="AH752" t="str">
        <f t="shared" si="156"/>
        <v>June</v>
      </c>
      <c r="AI752">
        <f t="shared" si="157"/>
        <v>2025</v>
      </c>
      <c r="AJ752" t="str">
        <f t="shared" si="165"/>
        <v>OK</v>
      </c>
      <c r="AK752" t="str">
        <f t="shared" si="166"/>
        <v>OK</v>
      </c>
      <c r="AL752" t="str">
        <f t="shared" si="167"/>
        <v>Include</v>
      </c>
      <c r="AM752" t="str">
        <f t="shared" si="158"/>
        <v>Clean</v>
      </c>
    </row>
    <row r="753" spans="1:39">
      <c r="A753" t="s">
        <v>2330</v>
      </c>
      <c r="B753" s="4">
        <v>45856</v>
      </c>
      <c r="C753" s="4">
        <v>45857</v>
      </c>
      <c r="D753" s="6">
        <v>1</v>
      </c>
      <c r="E753" t="s">
        <v>2788</v>
      </c>
      <c r="F753" t="s">
        <v>2788</v>
      </c>
      <c r="G753" t="s">
        <v>2788</v>
      </c>
      <c r="H753" t="s">
        <v>2331</v>
      </c>
      <c r="I753" t="s">
        <v>114</v>
      </c>
      <c r="J753" t="s">
        <v>95</v>
      </c>
      <c r="K753" t="s">
        <v>2783</v>
      </c>
      <c r="L753" t="s">
        <v>136</v>
      </c>
      <c r="M753" t="s">
        <v>137</v>
      </c>
      <c r="N753" t="s">
        <v>74</v>
      </c>
      <c r="O753" t="s">
        <v>274</v>
      </c>
      <c r="P753" t="s">
        <v>2332</v>
      </c>
      <c r="Q753" t="s">
        <v>2783</v>
      </c>
      <c r="R753">
        <v>3</v>
      </c>
      <c r="S753">
        <v>2963.25</v>
      </c>
      <c r="T753">
        <v>0.05</v>
      </c>
      <c r="U753">
        <v>8445.26</v>
      </c>
      <c r="V753">
        <v>6937.6</v>
      </c>
      <c r="W753">
        <v>1507.66</v>
      </c>
      <c r="X753" t="s">
        <v>32</v>
      </c>
      <c r="Y753" t="s">
        <v>33</v>
      </c>
      <c r="Z753" t="str">
        <f t="shared" si="154"/>
        <v>Unique</v>
      </c>
      <c r="AA753" t="str">
        <f t="shared" si="155"/>
        <v>Unique</v>
      </c>
      <c r="AB753" t="str">
        <f t="shared" si="159"/>
        <v>OK</v>
      </c>
      <c r="AC753">
        <f t="shared" si="160"/>
        <v>0.05</v>
      </c>
      <c r="AD753" t="str">
        <f t="shared" si="161"/>
        <v>OK</v>
      </c>
      <c r="AE753">
        <f t="shared" si="162"/>
        <v>8445.2624999999989</v>
      </c>
      <c r="AF753">
        <f t="shared" si="163"/>
        <v>1507.6624999999985</v>
      </c>
      <c r="AG753">
        <f t="shared" si="164"/>
        <v>0.17852168597482893</v>
      </c>
      <c r="AH753" t="str">
        <f t="shared" si="156"/>
        <v>July</v>
      </c>
      <c r="AI753">
        <f t="shared" si="157"/>
        <v>2025</v>
      </c>
      <c r="AJ753" t="str">
        <f t="shared" si="165"/>
        <v>OK</v>
      </c>
      <c r="AK753" t="str">
        <f t="shared" si="166"/>
        <v>OK</v>
      </c>
      <c r="AL753" t="str">
        <f t="shared" si="167"/>
        <v>Include</v>
      </c>
      <c r="AM753" t="str">
        <f t="shared" si="158"/>
        <v>Clean</v>
      </c>
    </row>
    <row r="754" spans="1:39">
      <c r="A754" t="s">
        <v>2333</v>
      </c>
      <c r="B754" s="4">
        <v>45375</v>
      </c>
      <c r="C754" s="4">
        <v>45378</v>
      </c>
      <c r="D754" s="6">
        <v>3</v>
      </c>
      <c r="E754" t="s">
        <v>2788</v>
      </c>
      <c r="F754" t="s">
        <v>2788</v>
      </c>
      <c r="G754" t="s">
        <v>2788</v>
      </c>
      <c r="H754" t="s">
        <v>2334</v>
      </c>
      <c r="I754" t="s">
        <v>89</v>
      </c>
      <c r="J754" t="s">
        <v>90</v>
      </c>
      <c r="K754" t="s">
        <v>63</v>
      </c>
      <c r="L754" t="s">
        <v>180</v>
      </c>
      <c r="M754" t="s">
        <v>181</v>
      </c>
      <c r="N754" t="s">
        <v>28</v>
      </c>
      <c r="O754" t="s">
        <v>124</v>
      </c>
      <c r="P754" t="s">
        <v>2335</v>
      </c>
      <c r="Q754" t="s">
        <v>50</v>
      </c>
      <c r="R754">
        <v>5</v>
      </c>
      <c r="S754">
        <v>2465.2199999999998</v>
      </c>
      <c r="T754">
        <v>0.05</v>
      </c>
      <c r="U754">
        <v>11709.79</v>
      </c>
      <c r="V754">
        <v>8372.2900000000009</v>
      </c>
      <c r="W754">
        <v>3337.5</v>
      </c>
      <c r="X754" t="s">
        <v>32</v>
      </c>
      <c r="Y754" t="s">
        <v>33</v>
      </c>
      <c r="Z754" t="str">
        <f t="shared" si="154"/>
        <v>Unique</v>
      </c>
      <c r="AA754" t="str">
        <f t="shared" si="155"/>
        <v>Unique</v>
      </c>
      <c r="AB754" t="str">
        <f t="shared" si="159"/>
        <v>OK</v>
      </c>
      <c r="AC754">
        <f t="shared" si="160"/>
        <v>0.05</v>
      </c>
      <c r="AD754" t="str">
        <f t="shared" si="161"/>
        <v>OK</v>
      </c>
      <c r="AE754">
        <f t="shared" si="162"/>
        <v>11709.794999999998</v>
      </c>
      <c r="AF754">
        <f t="shared" si="163"/>
        <v>3337.5049999999974</v>
      </c>
      <c r="AG754">
        <f t="shared" si="164"/>
        <v>0.28501822619439521</v>
      </c>
      <c r="AH754" t="str">
        <f t="shared" si="156"/>
        <v>March</v>
      </c>
      <c r="AI754">
        <f t="shared" si="157"/>
        <v>2024</v>
      </c>
      <c r="AJ754" t="str">
        <f t="shared" si="165"/>
        <v>OK</v>
      </c>
      <c r="AK754" t="str">
        <f t="shared" si="166"/>
        <v>OK</v>
      </c>
      <c r="AL754" t="str">
        <f t="shared" si="167"/>
        <v>Include</v>
      </c>
      <c r="AM754" t="str">
        <f t="shared" si="158"/>
        <v>Clean</v>
      </c>
    </row>
    <row r="755" spans="1:39">
      <c r="A755" t="s">
        <v>2336</v>
      </c>
      <c r="B755" s="4">
        <v>45515</v>
      </c>
      <c r="C755" s="4">
        <v>45514</v>
      </c>
      <c r="D755" s="6">
        <v>-1</v>
      </c>
      <c r="E755" t="s">
        <v>2788</v>
      </c>
      <c r="F755" t="s">
        <v>2788</v>
      </c>
      <c r="G755" t="s">
        <v>2790</v>
      </c>
      <c r="H755" t="s">
        <v>2337</v>
      </c>
      <c r="I755" t="s">
        <v>89</v>
      </c>
      <c r="J755" t="s">
        <v>90</v>
      </c>
      <c r="K755" t="s">
        <v>25</v>
      </c>
      <c r="L755" t="s">
        <v>350</v>
      </c>
      <c r="M755" t="s">
        <v>351</v>
      </c>
      <c r="N755" t="s">
        <v>41</v>
      </c>
      <c r="O755" t="s">
        <v>57</v>
      </c>
      <c r="P755" t="s">
        <v>2338</v>
      </c>
      <c r="Q755" t="s">
        <v>31</v>
      </c>
      <c r="R755">
        <v>3</v>
      </c>
      <c r="S755">
        <v>1017.22</v>
      </c>
      <c r="T755">
        <v>0.15</v>
      </c>
      <c r="U755">
        <v>2593.91</v>
      </c>
      <c r="V755">
        <v>1848.48</v>
      </c>
      <c r="W755">
        <v>745.43</v>
      </c>
      <c r="X755" t="s">
        <v>155</v>
      </c>
      <c r="Y755" t="s">
        <v>103</v>
      </c>
      <c r="Z755" t="str">
        <f t="shared" si="154"/>
        <v>Unique</v>
      </c>
      <c r="AA755" t="str">
        <f t="shared" si="155"/>
        <v>Unique</v>
      </c>
      <c r="AB755" t="str">
        <f t="shared" si="159"/>
        <v>OK</v>
      </c>
      <c r="AC755">
        <f t="shared" si="160"/>
        <v>0.15</v>
      </c>
      <c r="AD755" t="str">
        <f t="shared" si="161"/>
        <v>OK</v>
      </c>
      <c r="AE755">
        <f t="shared" si="162"/>
        <v>2593.9109999999996</v>
      </c>
      <c r="AF755">
        <f t="shared" si="163"/>
        <v>745.43099999999959</v>
      </c>
      <c r="AG755">
        <f t="shared" si="164"/>
        <v>0.28737724617382776</v>
      </c>
      <c r="AH755" t="str">
        <f t="shared" si="156"/>
        <v>August</v>
      </c>
      <c r="AI755">
        <f t="shared" si="157"/>
        <v>2024</v>
      </c>
      <c r="AJ755" t="str">
        <f t="shared" si="165"/>
        <v>OK</v>
      </c>
      <c r="AK755" t="str">
        <f t="shared" si="166"/>
        <v>OK</v>
      </c>
      <c r="AL755" t="str">
        <f t="shared" si="167"/>
        <v>Exclude</v>
      </c>
      <c r="AM755" t="str">
        <f t="shared" si="158"/>
        <v>Warning</v>
      </c>
    </row>
    <row r="756" spans="1:39">
      <c r="A756" t="s">
        <v>2339</v>
      </c>
      <c r="B756" s="4">
        <v>45812</v>
      </c>
      <c r="C756" s="4">
        <v>45812</v>
      </c>
      <c r="D756" s="6">
        <v>0</v>
      </c>
      <c r="E756" t="s">
        <v>2788</v>
      </c>
      <c r="F756" t="s">
        <v>2788</v>
      </c>
      <c r="G756" t="s">
        <v>2788</v>
      </c>
      <c r="H756" t="s">
        <v>2340</v>
      </c>
      <c r="I756" t="s">
        <v>79</v>
      </c>
      <c r="J756" t="s">
        <v>90</v>
      </c>
      <c r="K756" t="s">
        <v>54</v>
      </c>
      <c r="L756" t="s">
        <v>185</v>
      </c>
      <c r="M756" t="s">
        <v>186</v>
      </c>
      <c r="N756" t="s">
        <v>28</v>
      </c>
      <c r="O756" t="s">
        <v>124</v>
      </c>
      <c r="P756" t="s">
        <v>2341</v>
      </c>
      <c r="Q756" t="s">
        <v>59</v>
      </c>
      <c r="R756">
        <v>4</v>
      </c>
      <c r="S756">
        <v>891.34</v>
      </c>
      <c r="T756">
        <v>0.25</v>
      </c>
      <c r="U756">
        <v>2674.02</v>
      </c>
      <c r="V756">
        <v>2207.5700000000002</v>
      </c>
      <c r="W756">
        <v>466.45</v>
      </c>
      <c r="X756" t="s">
        <v>32</v>
      </c>
      <c r="Y756" t="s">
        <v>33</v>
      </c>
      <c r="Z756" t="str">
        <f t="shared" si="154"/>
        <v>Unique</v>
      </c>
      <c r="AA756" t="str">
        <f t="shared" si="155"/>
        <v>Unique</v>
      </c>
      <c r="AB756" t="str">
        <f t="shared" si="159"/>
        <v>OK</v>
      </c>
      <c r="AC756">
        <f t="shared" si="160"/>
        <v>0.25</v>
      </c>
      <c r="AD756" t="str">
        <f t="shared" si="161"/>
        <v>OK</v>
      </c>
      <c r="AE756">
        <f t="shared" si="162"/>
        <v>2674.02</v>
      </c>
      <c r="AF756">
        <f t="shared" si="163"/>
        <v>466.44999999999982</v>
      </c>
      <c r="AG756">
        <f t="shared" si="164"/>
        <v>0.17443773793763689</v>
      </c>
      <c r="AH756" t="str">
        <f t="shared" si="156"/>
        <v>June</v>
      </c>
      <c r="AI756">
        <f t="shared" si="157"/>
        <v>2025</v>
      </c>
      <c r="AJ756" t="str">
        <f t="shared" si="165"/>
        <v>OK</v>
      </c>
      <c r="AK756" t="str">
        <f t="shared" si="166"/>
        <v>OK</v>
      </c>
      <c r="AL756" t="str">
        <f t="shared" si="167"/>
        <v>Include</v>
      </c>
      <c r="AM756" t="str">
        <f t="shared" si="158"/>
        <v>Clean</v>
      </c>
    </row>
    <row r="757" spans="1:39">
      <c r="A757" t="s">
        <v>2342</v>
      </c>
      <c r="B757" s="4">
        <v>45858</v>
      </c>
      <c r="C757" s="4">
        <v>45862</v>
      </c>
      <c r="D757" s="6">
        <v>4</v>
      </c>
      <c r="E757" t="s">
        <v>2788</v>
      </c>
      <c r="F757" t="s">
        <v>2788</v>
      </c>
      <c r="G757" t="s">
        <v>2788</v>
      </c>
      <c r="H757" t="s">
        <v>2343</v>
      </c>
      <c r="I757" t="s">
        <v>114</v>
      </c>
      <c r="J757" t="s">
        <v>95</v>
      </c>
      <c r="K757" t="s">
        <v>63</v>
      </c>
      <c r="L757" t="s">
        <v>72</v>
      </c>
      <c r="M757" t="s">
        <v>73</v>
      </c>
      <c r="N757" t="s">
        <v>28</v>
      </c>
      <c r="O757" t="s">
        <v>124</v>
      </c>
      <c r="P757" t="s">
        <v>2344</v>
      </c>
      <c r="Q757" t="s">
        <v>31</v>
      </c>
      <c r="R757">
        <v>5</v>
      </c>
      <c r="S757">
        <v>2481.7399999999998</v>
      </c>
      <c r="T757">
        <v>0.2</v>
      </c>
      <c r="U757">
        <v>9926.9599999999991</v>
      </c>
      <c r="V757">
        <v>7994.98</v>
      </c>
      <c r="W757">
        <v>1931.98</v>
      </c>
      <c r="X757" t="s">
        <v>32</v>
      </c>
      <c r="Y757" t="s">
        <v>33</v>
      </c>
      <c r="Z757" t="str">
        <f t="shared" si="154"/>
        <v>Unique</v>
      </c>
      <c r="AA757" t="str">
        <f t="shared" si="155"/>
        <v>Unique</v>
      </c>
      <c r="AB757" t="str">
        <f t="shared" si="159"/>
        <v>OK</v>
      </c>
      <c r="AC757">
        <f t="shared" si="160"/>
        <v>0.2</v>
      </c>
      <c r="AD757" t="str">
        <f t="shared" si="161"/>
        <v>OK</v>
      </c>
      <c r="AE757">
        <f t="shared" si="162"/>
        <v>9926.9599999999991</v>
      </c>
      <c r="AF757">
        <f t="shared" si="163"/>
        <v>1931.9799999999996</v>
      </c>
      <c r="AG757">
        <f t="shared" si="164"/>
        <v>0.19461950083409219</v>
      </c>
      <c r="AH757" t="str">
        <f t="shared" si="156"/>
        <v>July</v>
      </c>
      <c r="AI757">
        <f t="shared" si="157"/>
        <v>2025</v>
      </c>
      <c r="AJ757" t="str">
        <f t="shared" si="165"/>
        <v>OK</v>
      </c>
      <c r="AK757" t="str">
        <f t="shared" si="166"/>
        <v>OK</v>
      </c>
      <c r="AL757" t="str">
        <f t="shared" si="167"/>
        <v>Include</v>
      </c>
      <c r="AM757" t="str">
        <f t="shared" si="158"/>
        <v>Clean</v>
      </c>
    </row>
    <row r="758" spans="1:39">
      <c r="A758" t="s">
        <v>2345</v>
      </c>
      <c r="B758" s="4">
        <v>45592</v>
      </c>
      <c r="C758" s="4">
        <v>45597</v>
      </c>
      <c r="D758" s="6">
        <v>5</v>
      </c>
      <c r="E758" t="s">
        <v>2788</v>
      </c>
      <c r="F758" t="s">
        <v>2788</v>
      </c>
      <c r="G758" t="s">
        <v>2788</v>
      </c>
      <c r="H758" t="s">
        <v>2346</v>
      </c>
      <c r="I758" t="s">
        <v>141</v>
      </c>
      <c r="J758" t="s">
        <v>24</v>
      </c>
      <c r="K758" t="s">
        <v>25</v>
      </c>
      <c r="L758" t="s">
        <v>26</v>
      </c>
      <c r="M758" t="s">
        <v>27</v>
      </c>
      <c r="N758" t="s">
        <v>74</v>
      </c>
      <c r="O758" t="s">
        <v>75</v>
      </c>
      <c r="P758" t="s">
        <v>2347</v>
      </c>
      <c r="Q758" t="s">
        <v>44</v>
      </c>
      <c r="R758">
        <v>7</v>
      </c>
      <c r="S758">
        <v>2177.1</v>
      </c>
      <c r="T758">
        <v>0.2</v>
      </c>
      <c r="U758">
        <v>12191.76</v>
      </c>
      <c r="V758">
        <v>10457.49</v>
      </c>
      <c r="W758">
        <v>1734.27</v>
      </c>
      <c r="X758" t="s">
        <v>32</v>
      </c>
      <c r="Y758" t="s">
        <v>103</v>
      </c>
      <c r="Z758" t="str">
        <f t="shared" si="154"/>
        <v>Unique</v>
      </c>
      <c r="AA758" t="str">
        <f t="shared" si="155"/>
        <v>Unique</v>
      </c>
      <c r="AB758" t="str">
        <f t="shared" si="159"/>
        <v>OK</v>
      </c>
      <c r="AC758">
        <f t="shared" si="160"/>
        <v>0.2</v>
      </c>
      <c r="AD758" t="str">
        <f t="shared" si="161"/>
        <v>OK</v>
      </c>
      <c r="AE758">
        <f t="shared" si="162"/>
        <v>12191.76</v>
      </c>
      <c r="AF758">
        <f t="shared" si="163"/>
        <v>1734.2700000000004</v>
      </c>
      <c r="AG758">
        <f t="shared" si="164"/>
        <v>0.14224935530226976</v>
      </c>
      <c r="AH758" t="str">
        <f t="shared" si="156"/>
        <v>October</v>
      </c>
      <c r="AI758">
        <f t="shared" si="157"/>
        <v>2024</v>
      </c>
      <c r="AJ758" t="str">
        <f t="shared" si="165"/>
        <v>OK</v>
      </c>
      <c r="AK758" t="str">
        <f t="shared" si="166"/>
        <v>OK</v>
      </c>
      <c r="AL758" t="str">
        <f t="shared" si="167"/>
        <v>Exclude</v>
      </c>
      <c r="AM758" t="str">
        <f t="shared" si="158"/>
        <v>Clean</v>
      </c>
    </row>
    <row r="759" spans="1:39">
      <c r="A759" t="s">
        <v>2348</v>
      </c>
      <c r="B759" s="4">
        <v>45870</v>
      </c>
      <c r="C759" s="4">
        <v>45872</v>
      </c>
      <c r="D759" s="6">
        <v>2</v>
      </c>
      <c r="E759" t="s">
        <v>2788</v>
      </c>
      <c r="F759" t="s">
        <v>2788</v>
      </c>
      <c r="G759" t="s">
        <v>2788</v>
      </c>
      <c r="H759" t="s">
        <v>2349</v>
      </c>
      <c r="I759" t="s">
        <v>89</v>
      </c>
      <c r="J759" t="s">
        <v>37</v>
      </c>
      <c r="K759" t="s">
        <v>54</v>
      </c>
      <c r="L759" t="s">
        <v>185</v>
      </c>
      <c r="M759" t="s">
        <v>186</v>
      </c>
      <c r="N759" t="s">
        <v>41</v>
      </c>
      <c r="O759" t="s">
        <v>158</v>
      </c>
      <c r="P759" t="s">
        <v>2350</v>
      </c>
      <c r="Q759" t="s">
        <v>59</v>
      </c>
      <c r="R759">
        <v>3</v>
      </c>
      <c r="S759">
        <v>1904.78</v>
      </c>
      <c r="T759">
        <v>0.25</v>
      </c>
      <c r="U759">
        <v>4285.76</v>
      </c>
      <c r="V759">
        <v>2386.33</v>
      </c>
      <c r="W759">
        <v>1899.43</v>
      </c>
      <c r="X759" t="s">
        <v>155</v>
      </c>
      <c r="Y759" t="s">
        <v>68</v>
      </c>
      <c r="Z759" t="str">
        <f t="shared" si="154"/>
        <v>Unique</v>
      </c>
      <c r="AA759" t="str">
        <f t="shared" si="155"/>
        <v>Unique</v>
      </c>
      <c r="AB759" t="str">
        <f t="shared" si="159"/>
        <v>OK</v>
      </c>
      <c r="AC759">
        <f t="shared" si="160"/>
        <v>0.25</v>
      </c>
      <c r="AD759" t="str">
        <f t="shared" si="161"/>
        <v>OK</v>
      </c>
      <c r="AE759">
        <f t="shared" si="162"/>
        <v>4285.7550000000001</v>
      </c>
      <c r="AF759">
        <f t="shared" si="163"/>
        <v>1899.4250000000002</v>
      </c>
      <c r="AG759">
        <f t="shared" si="164"/>
        <v>0.44319495631458172</v>
      </c>
      <c r="AH759" t="str">
        <f t="shared" si="156"/>
        <v>August</v>
      </c>
      <c r="AI759">
        <f t="shared" si="157"/>
        <v>2025</v>
      </c>
      <c r="AJ759" t="str">
        <f t="shared" si="165"/>
        <v>OK</v>
      </c>
      <c r="AK759" t="str">
        <f t="shared" si="166"/>
        <v>OK</v>
      </c>
      <c r="AL759" t="str">
        <f t="shared" si="167"/>
        <v>Exclude</v>
      </c>
      <c r="AM759" t="str">
        <f t="shared" si="158"/>
        <v>Clean</v>
      </c>
    </row>
    <row r="760" spans="1:39">
      <c r="A760" t="s">
        <v>2351</v>
      </c>
      <c r="B760" s="4">
        <v>45414</v>
      </c>
      <c r="C760" s="4">
        <v>45422</v>
      </c>
      <c r="D760" s="6">
        <v>8</v>
      </c>
      <c r="E760" t="s">
        <v>2788</v>
      </c>
      <c r="F760" t="s">
        <v>2788</v>
      </c>
      <c r="G760" t="s">
        <v>2788</v>
      </c>
      <c r="H760" t="s">
        <v>2352</v>
      </c>
      <c r="I760" t="s">
        <v>128</v>
      </c>
      <c r="J760" t="s">
        <v>37</v>
      </c>
      <c r="K760" t="s">
        <v>54</v>
      </c>
      <c r="L760" t="s">
        <v>175</v>
      </c>
      <c r="M760" t="s">
        <v>176</v>
      </c>
      <c r="N760" t="s">
        <v>41</v>
      </c>
      <c r="O760" t="s">
        <v>66</v>
      </c>
      <c r="P760" t="s">
        <v>2353</v>
      </c>
      <c r="Q760" t="s">
        <v>59</v>
      </c>
      <c r="R760">
        <v>1</v>
      </c>
      <c r="S760">
        <v>4166.91</v>
      </c>
      <c r="T760">
        <v>0</v>
      </c>
      <c r="U760">
        <v>4166.91</v>
      </c>
      <c r="V760">
        <v>3412.63</v>
      </c>
      <c r="W760">
        <v>754.28</v>
      </c>
      <c r="X760" t="s">
        <v>32</v>
      </c>
      <c r="Y760" t="s">
        <v>33</v>
      </c>
      <c r="Z760" t="str">
        <f t="shared" si="154"/>
        <v>Unique</v>
      </c>
      <c r="AA760" t="str">
        <f t="shared" si="155"/>
        <v>Unique</v>
      </c>
      <c r="AB760" t="str">
        <f t="shared" si="159"/>
        <v>OK</v>
      </c>
      <c r="AC760">
        <f t="shared" si="160"/>
        <v>0</v>
      </c>
      <c r="AD760" t="str">
        <f t="shared" si="161"/>
        <v>OK</v>
      </c>
      <c r="AE760">
        <f t="shared" si="162"/>
        <v>4166.91</v>
      </c>
      <c r="AF760">
        <f t="shared" si="163"/>
        <v>754.27999999999975</v>
      </c>
      <c r="AG760">
        <f t="shared" si="164"/>
        <v>0.18101662862888801</v>
      </c>
      <c r="AH760" t="str">
        <f t="shared" si="156"/>
        <v>May</v>
      </c>
      <c r="AI760">
        <f t="shared" si="157"/>
        <v>2024</v>
      </c>
      <c r="AJ760" t="str">
        <f t="shared" si="165"/>
        <v>OK</v>
      </c>
      <c r="AK760" t="str">
        <f t="shared" si="166"/>
        <v>OK</v>
      </c>
      <c r="AL760" t="str">
        <f t="shared" si="167"/>
        <v>Include</v>
      </c>
      <c r="AM760" t="str">
        <f t="shared" si="158"/>
        <v>Clean</v>
      </c>
    </row>
    <row r="761" spans="1:39">
      <c r="A761" t="s">
        <v>2354</v>
      </c>
      <c r="B761" s="4">
        <v>45492</v>
      </c>
      <c r="C761" s="4">
        <v>45499</v>
      </c>
      <c r="D761" s="6">
        <v>7</v>
      </c>
      <c r="E761" t="s">
        <v>2788</v>
      </c>
      <c r="F761" t="s">
        <v>2788</v>
      </c>
      <c r="G761" t="s">
        <v>2788</v>
      </c>
      <c r="H761" t="s">
        <v>2355</v>
      </c>
      <c r="I761" t="s">
        <v>53</v>
      </c>
      <c r="J761" t="s">
        <v>95</v>
      </c>
      <c r="K761" t="s">
        <v>54</v>
      </c>
      <c r="L761" t="s">
        <v>175</v>
      </c>
      <c r="M761" t="s">
        <v>176</v>
      </c>
      <c r="N761" t="s">
        <v>41</v>
      </c>
      <c r="O761" t="s">
        <v>42</v>
      </c>
      <c r="P761" t="s">
        <v>2356</v>
      </c>
      <c r="Q761" t="s">
        <v>31</v>
      </c>
      <c r="R761">
        <v>5</v>
      </c>
      <c r="S761">
        <v>3986.01</v>
      </c>
      <c r="T761">
        <v>0.25</v>
      </c>
      <c r="U761">
        <v>14947.54</v>
      </c>
      <c r="V761">
        <v>9438.4599999999991</v>
      </c>
      <c r="W761">
        <v>5509.08</v>
      </c>
      <c r="X761" t="s">
        <v>32</v>
      </c>
      <c r="Y761" t="s">
        <v>33</v>
      </c>
      <c r="Z761" t="str">
        <f t="shared" si="154"/>
        <v>Unique</v>
      </c>
      <c r="AA761" t="str">
        <f t="shared" si="155"/>
        <v>Unique</v>
      </c>
      <c r="AB761" t="str">
        <f t="shared" si="159"/>
        <v>OK</v>
      </c>
      <c r="AC761">
        <f t="shared" si="160"/>
        <v>0.25</v>
      </c>
      <c r="AD761" t="str">
        <f t="shared" si="161"/>
        <v>OK</v>
      </c>
      <c r="AE761">
        <f t="shared" si="162"/>
        <v>14947.537500000002</v>
      </c>
      <c r="AF761">
        <f t="shared" si="163"/>
        <v>5509.0775000000031</v>
      </c>
      <c r="AG761">
        <f t="shared" si="164"/>
        <v>0.36856087499362367</v>
      </c>
      <c r="AH761" t="str">
        <f t="shared" si="156"/>
        <v>July</v>
      </c>
      <c r="AI761">
        <f t="shared" si="157"/>
        <v>2024</v>
      </c>
      <c r="AJ761" t="str">
        <f t="shared" si="165"/>
        <v>OK</v>
      </c>
      <c r="AK761" t="str">
        <f t="shared" si="166"/>
        <v>OK</v>
      </c>
      <c r="AL761" t="str">
        <f t="shared" si="167"/>
        <v>Include</v>
      </c>
      <c r="AM761" t="str">
        <f t="shared" si="158"/>
        <v>Clean</v>
      </c>
    </row>
    <row r="762" spans="1:39">
      <c r="A762" t="s">
        <v>2357</v>
      </c>
      <c r="B762" s="4">
        <v>45532</v>
      </c>
      <c r="C762" s="4">
        <v>45537</v>
      </c>
      <c r="D762" s="6">
        <v>5</v>
      </c>
      <c r="E762" t="s">
        <v>2788</v>
      </c>
      <c r="F762" t="s">
        <v>2788</v>
      </c>
      <c r="G762" t="s">
        <v>2788</v>
      </c>
      <c r="H762" t="s">
        <v>2358</v>
      </c>
      <c r="I762" t="s">
        <v>89</v>
      </c>
      <c r="J762" t="s">
        <v>95</v>
      </c>
      <c r="K762" t="s">
        <v>38</v>
      </c>
      <c r="L762" t="s">
        <v>166</v>
      </c>
      <c r="M762" t="s">
        <v>167</v>
      </c>
      <c r="N762" t="s">
        <v>28</v>
      </c>
      <c r="O762" t="s">
        <v>48</v>
      </c>
      <c r="P762" t="s">
        <v>2359</v>
      </c>
      <c r="Q762" t="s">
        <v>31</v>
      </c>
      <c r="R762">
        <v>4</v>
      </c>
      <c r="S762">
        <v>3365.53</v>
      </c>
      <c r="T762">
        <v>0</v>
      </c>
      <c r="U762">
        <v>13462.12</v>
      </c>
      <c r="V762">
        <v>7600.63</v>
      </c>
      <c r="W762">
        <v>5861.49</v>
      </c>
      <c r="X762" t="s">
        <v>111</v>
      </c>
      <c r="Y762" t="s">
        <v>103</v>
      </c>
      <c r="Z762" t="str">
        <f t="shared" si="154"/>
        <v>Unique</v>
      </c>
      <c r="AA762" t="str">
        <f t="shared" si="155"/>
        <v>Unique</v>
      </c>
      <c r="AB762" t="str">
        <f t="shared" si="159"/>
        <v>OK</v>
      </c>
      <c r="AC762">
        <f t="shared" si="160"/>
        <v>0</v>
      </c>
      <c r="AD762" t="str">
        <f t="shared" si="161"/>
        <v>OK</v>
      </c>
      <c r="AE762">
        <f t="shared" si="162"/>
        <v>13462.12</v>
      </c>
      <c r="AF762">
        <f t="shared" si="163"/>
        <v>5861.4900000000007</v>
      </c>
      <c r="AG762">
        <f t="shared" si="164"/>
        <v>0.43540616188237813</v>
      </c>
      <c r="AH762" t="str">
        <f t="shared" si="156"/>
        <v>August</v>
      </c>
      <c r="AI762">
        <f t="shared" si="157"/>
        <v>2024</v>
      </c>
      <c r="AJ762" t="str">
        <f t="shared" si="165"/>
        <v>OK</v>
      </c>
      <c r="AK762" t="str">
        <f t="shared" si="166"/>
        <v>OK</v>
      </c>
      <c r="AL762" t="str">
        <f t="shared" si="167"/>
        <v>Exclude</v>
      </c>
      <c r="AM762" t="str">
        <f t="shared" si="158"/>
        <v>Clean</v>
      </c>
    </row>
    <row r="763" spans="1:39">
      <c r="A763" t="s">
        <v>2360</v>
      </c>
      <c r="B763" s="4">
        <v>45896</v>
      </c>
      <c r="C763" s="4">
        <v>45900</v>
      </c>
      <c r="D763" s="6">
        <v>4</v>
      </c>
      <c r="E763" t="s">
        <v>2788</v>
      </c>
      <c r="F763" t="s">
        <v>2788</v>
      </c>
      <c r="G763" t="s">
        <v>2788</v>
      </c>
      <c r="H763" t="s">
        <v>2361</v>
      </c>
      <c r="I763" t="s">
        <v>47</v>
      </c>
      <c r="J763" t="s">
        <v>24</v>
      </c>
      <c r="K763" t="s">
        <v>54</v>
      </c>
      <c r="L763" t="s">
        <v>175</v>
      </c>
      <c r="M763" t="s">
        <v>176</v>
      </c>
      <c r="N763" t="s">
        <v>74</v>
      </c>
      <c r="O763" t="s">
        <v>274</v>
      </c>
      <c r="P763" t="s">
        <v>2362</v>
      </c>
      <c r="Q763" t="s">
        <v>50</v>
      </c>
      <c r="R763">
        <v>3</v>
      </c>
      <c r="S763">
        <v>2489.12</v>
      </c>
      <c r="T763">
        <v>0</v>
      </c>
      <c r="U763">
        <v>7467.36</v>
      </c>
      <c r="V763">
        <v>5010.6099999999997</v>
      </c>
      <c r="W763">
        <v>2456.75</v>
      </c>
      <c r="X763" t="s">
        <v>32</v>
      </c>
      <c r="Y763" t="s">
        <v>33</v>
      </c>
      <c r="Z763" t="str">
        <f t="shared" si="154"/>
        <v>Unique</v>
      </c>
      <c r="AA763" t="str">
        <f t="shared" si="155"/>
        <v>Unique</v>
      </c>
      <c r="AB763" t="str">
        <f t="shared" si="159"/>
        <v>OK</v>
      </c>
      <c r="AC763">
        <f t="shared" si="160"/>
        <v>0</v>
      </c>
      <c r="AD763" t="str">
        <f t="shared" si="161"/>
        <v>OK</v>
      </c>
      <c r="AE763">
        <f t="shared" si="162"/>
        <v>7467.36</v>
      </c>
      <c r="AF763">
        <f t="shared" si="163"/>
        <v>2456.75</v>
      </c>
      <c r="AG763">
        <f t="shared" si="164"/>
        <v>0.32899846799940008</v>
      </c>
      <c r="AH763" t="str">
        <f t="shared" si="156"/>
        <v>August</v>
      </c>
      <c r="AI763">
        <f t="shared" si="157"/>
        <v>2025</v>
      </c>
      <c r="AJ763" t="str">
        <f t="shared" si="165"/>
        <v>OK</v>
      </c>
      <c r="AK763" t="str">
        <f t="shared" si="166"/>
        <v>OK</v>
      </c>
      <c r="AL763" t="str">
        <f t="shared" si="167"/>
        <v>Include</v>
      </c>
      <c r="AM763" t="str">
        <f t="shared" si="158"/>
        <v>Clean</v>
      </c>
    </row>
    <row r="764" spans="1:39">
      <c r="A764" t="s">
        <v>2363</v>
      </c>
      <c r="B764" s="4">
        <v>45292</v>
      </c>
      <c r="C764" s="4">
        <v>45296</v>
      </c>
      <c r="D764" s="6">
        <v>4</v>
      </c>
      <c r="E764" t="s">
        <v>2788</v>
      </c>
      <c r="F764" t="s">
        <v>2788</v>
      </c>
      <c r="G764" t="s">
        <v>2788</v>
      </c>
      <c r="H764" t="s">
        <v>2364</v>
      </c>
      <c r="I764" t="s">
        <v>162</v>
      </c>
      <c r="J764" t="s">
        <v>90</v>
      </c>
      <c r="K764" t="s">
        <v>63</v>
      </c>
      <c r="L764" t="s">
        <v>72</v>
      </c>
      <c r="M764" t="s">
        <v>73</v>
      </c>
      <c r="N764" t="s">
        <v>74</v>
      </c>
      <c r="O764" t="s">
        <v>274</v>
      </c>
      <c r="P764" t="s">
        <v>2365</v>
      </c>
      <c r="Q764" t="s">
        <v>31</v>
      </c>
      <c r="R764">
        <v>2</v>
      </c>
      <c r="S764">
        <v>3694.12</v>
      </c>
      <c r="T764">
        <v>0.2</v>
      </c>
      <c r="U764">
        <v>5910.59</v>
      </c>
      <c r="V764">
        <v>4775.4399999999996</v>
      </c>
      <c r="W764">
        <v>1135.1500000000001</v>
      </c>
      <c r="X764" t="s">
        <v>102</v>
      </c>
      <c r="Y764" t="s">
        <v>103</v>
      </c>
      <c r="Z764" t="str">
        <f t="shared" si="154"/>
        <v>Unique</v>
      </c>
      <c r="AA764" t="str">
        <f t="shared" si="155"/>
        <v>Unique</v>
      </c>
      <c r="AB764" t="str">
        <f t="shared" si="159"/>
        <v>OK</v>
      </c>
      <c r="AC764">
        <f t="shared" si="160"/>
        <v>0.2</v>
      </c>
      <c r="AD764" t="str">
        <f t="shared" si="161"/>
        <v>OK</v>
      </c>
      <c r="AE764">
        <f t="shared" si="162"/>
        <v>5910.5920000000006</v>
      </c>
      <c r="AF764">
        <f t="shared" si="163"/>
        <v>1135.152000000001</v>
      </c>
      <c r="AG764">
        <f t="shared" si="164"/>
        <v>0.19205385856442145</v>
      </c>
      <c r="AH764" t="str">
        <f t="shared" si="156"/>
        <v>January</v>
      </c>
      <c r="AI764">
        <f t="shared" si="157"/>
        <v>2024</v>
      </c>
      <c r="AJ764" t="str">
        <f t="shared" si="165"/>
        <v>OK</v>
      </c>
      <c r="AK764" t="str">
        <f t="shared" si="166"/>
        <v>OK</v>
      </c>
      <c r="AL764" t="str">
        <f t="shared" si="167"/>
        <v>Exclude</v>
      </c>
      <c r="AM764" t="str">
        <f t="shared" si="158"/>
        <v>Clean</v>
      </c>
    </row>
    <row r="765" spans="1:39">
      <c r="A765" t="s">
        <v>2366</v>
      </c>
      <c r="B765" s="4">
        <v>45892</v>
      </c>
      <c r="C765" s="4">
        <v>45894</v>
      </c>
      <c r="D765" s="6">
        <v>2</v>
      </c>
      <c r="E765" t="s">
        <v>2788</v>
      </c>
      <c r="F765" t="s">
        <v>2788</v>
      </c>
      <c r="G765" t="s">
        <v>2788</v>
      </c>
      <c r="H765" t="s">
        <v>2367</v>
      </c>
      <c r="I765" t="s">
        <v>162</v>
      </c>
      <c r="J765" t="s">
        <v>24</v>
      </c>
      <c r="K765" t="s">
        <v>25</v>
      </c>
      <c r="L765" t="s">
        <v>26</v>
      </c>
      <c r="M765" t="s">
        <v>27</v>
      </c>
      <c r="N765" t="s">
        <v>41</v>
      </c>
      <c r="O765" t="s">
        <v>57</v>
      </c>
      <c r="P765" t="s">
        <v>2368</v>
      </c>
      <c r="Q765" t="s">
        <v>44</v>
      </c>
      <c r="R765">
        <v>6</v>
      </c>
      <c r="S765">
        <v>2742.48</v>
      </c>
      <c r="T765">
        <v>0</v>
      </c>
      <c r="U765">
        <v>16454.88</v>
      </c>
      <c r="V765">
        <v>12081.54</v>
      </c>
      <c r="W765">
        <v>4373.34</v>
      </c>
      <c r="X765" t="s">
        <v>32</v>
      </c>
      <c r="Y765" t="s">
        <v>33</v>
      </c>
      <c r="Z765" t="str">
        <f t="shared" si="154"/>
        <v>Unique</v>
      </c>
      <c r="AA765" t="str">
        <f t="shared" si="155"/>
        <v>Unique</v>
      </c>
      <c r="AB765" t="str">
        <f t="shared" si="159"/>
        <v>OK</v>
      </c>
      <c r="AC765">
        <f t="shared" si="160"/>
        <v>0</v>
      </c>
      <c r="AD765" t="str">
        <f t="shared" si="161"/>
        <v>OK</v>
      </c>
      <c r="AE765">
        <f t="shared" si="162"/>
        <v>16454.88</v>
      </c>
      <c r="AF765">
        <f t="shared" si="163"/>
        <v>4373.34</v>
      </c>
      <c r="AG765">
        <f t="shared" si="164"/>
        <v>0.26577769026574488</v>
      </c>
      <c r="AH765" t="str">
        <f t="shared" si="156"/>
        <v>August</v>
      </c>
      <c r="AI765">
        <f t="shared" si="157"/>
        <v>2025</v>
      </c>
      <c r="AJ765" t="str">
        <f t="shared" si="165"/>
        <v>OK</v>
      </c>
      <c r="AK765" t="str">
        <f t="shared" si="166"/>
        <v>OK</v>
      </c>
      <c r="AL765" t="str">
        <f t="shared" si="167"/>
        <v>Include</v>
      </c>
      <c r="AM765" t="str">
        <f t="shared" si="158"/>
        <v>Clean</v>
      </c>
    </row>
    <row r="766" spans="1:39">
      <c r="A766" t="s">
        <v>2369</v>
      </c>
      <c r="B766" s="4">
        <v>45760</v>
      </c>
      <c r="C766" s="4">
        <v>45760</v>
      </c>
      <c r="D766" s="6">
        <v>0</v>
      </c>
      <c r="E766" t="s">
        <v>2788</v>
      </c>
      <c r="F766" t="s">
        <v>2788</v>
      </c>
      <c r="G766" t="s">
        <v>2788</v>
      </c>
      <c r="H766" t="s">
        <v>886</v>
      </c>
      <c r="I766" t="s">
        <v>114</v>
      </c>
      <c r="J766" t="s">
        <v>90</v>
      </c>
      <c r="K766" t="s">
        <v>54</v>
      </c>
      <c r="L766" t="s">
        <v>185</v>
      </c>
      <c r="M766" t="s">
        <v>186</v>
      </c>
      <c r="N766" t="s">
        <v>41</v>
      </c>
      <c r="O766" t="s">
        <v>158</v>
      </c>
      <c r="P766" t="s">
        <v>2370</v>
      </c>
      <c r="Q766" t="s">
        <v>50</v>
      </c>
      <c r="R766">
        <v>6</v>
      </c>
      <c r="S766">
        <v>4414</v>
      </c>
      <c r="T766">
        <v>0.05</v>
      </c>
      <c r="U766">
        <v>25159.8</v>
      </c>
      <c r="V766">
        <v>21606.83</v>
      </c>
      <c r="W766">
        <v>3552.97</v>
      </c>
      <c r="X766" t="s">
        <v>32</v>
      </c>
      <c r="Y766" t="s">
        <v>33</v>
      </c>
      <c r="Z766" t="str">
        <f t="shared" si="154"/>
        <v>Unique</v>
      </c>
      <c r="AA766" t="str">
        <f t="shared" si="155"/>
        <v>Unique</v>
      </c>
      <c r="AB766" t="str">
        <f t="shared" si="159"/>
        <v>OK</v>
      </c>
      <c r="AC766">
        <f t="shared" si="160"/>
        <v>0.05</v>
      </c>
      <c r="AD766" t="str">
        <f t="shared" si="161"/>
        <v>OK</v>
      </c>
      <c r="AE766">
        <f t="shared" si="162"/>
        <v>25159.8</v>
      </c>
      <c r="AF766">
        <f t="shared" si="163"/>
        <v>3552.9699999999975</v>
      </c>
      <c r="AG766">
        <f t="shared" si="164"/>
        <v>0.14121614639226057</v>
      </c>
      <c r="AH766" t="str">
        <f t="shared" si="156"/>
        <v>April</v>
      </c>
      <c r="AI766">
        <f t="shared" si="157"/>
        <v>2025</v>
      </c>
      <c r="AJ766" t="str">
        <f t="shared" si="165"/>
        <v>OK</v>
      </c>
      <c r="AK766" t="str">
        <f t="shared" si="166"/>
        <v>OK</v>
      </c>
      <c r="AL766" t="str">
        <f t="shared" si="167"/>
        <v>Include</v>
      </c>
      <c r="AM766" t="str">
        <f t="shared" si="158"/>
        <v>Clean</v>
      </c>
    </row>
    <row r="767" spans="1:39">
      <c r="A767" t="s">
        <v>2371</v>
      </c>
      <c r="B767" s="4">
        <v>45837</v>
      </c>
      <c r="C767" s="4">
        <v>45841</v>
      </c>
      <c r="D767" s="6">
        <v>4</v>
      </c>
      <c r="E767" t="s">
        <v>2788</v>
      </c>
      <c r="F767" t="s">
        <v>2788</v>
      </c>
      <c r="G767" t="s">
        <v>2788</v>
      </c>
      <c r="H767" t="s">
        <v>2372</v>
      </c>
      <c r="I767" t="s">
        <v>71</v>
      </c>
      <c r="J767" t="s">
        <v>90</v>
      </c>
      <c r="K767" t="s">
        <v>38</v>
      </c>
      <c r="L767" t="s">
        <v>228</v>
      </c>
      <c r="M767" t="s">
        <v>229</v>
      </c>
      <c r="N767" t="s">
        <v>28</v>
      </c>
      <c r="O767" t="s">
        <v>91</v>
      </c>
      <c r="P767" t="s">
        <v>2373</v>
      </c>
      <c r="Q767" t="s">
        <v>50</v>
      </c>
      <c r="R767">
        <v>3</v>
      </c>
      <c r="S767">
        <v>608.14</v>
      </c>
      <c r="T767">
        <v>0</v>
      </c>
      <c r="U767">
        <v>1824.42</v>
      </c>
      <c r="V767">
        <v>1214.8699999999999</v>
      </c>
      <c r="W767">
        <v>609.54999999999995</v>
      </c>
      <c r="X767" t="s">
        <v>32</v>
      </c>
      <c r="Y767" t="s">
        <v>33</v>
      </c>
      <c r="Z767" t="str">
        <f t="shared" si="154"/>
        <v>Unique</v>
      </c>
      <c r="AA767" t="str">
        <f t="shared" si="155"/>
        <v>Unique</v>
      </c>
      <c r="AB767" t="str">
        <f t="shared" si="159"/>
        <v>OK</v>
      </c>
      <c r="AC767">
        <f t="shared" si="160"/>
        <v>0</v>
      </c>
      <c r="AD767" t="str">
        <f t="shared" si="161"/>
        <v>OK</v>
      </c>
      <c r="AE767">
        <f t="shared" si="162"/>
        <v>1824.42</v>
      </c>
      <c r="AF767">
        <f t="shared" si="163"/>
        <v>609.55000000000018</v>
      </c>
      <c r="AG767">
        <f t="shared" si="164"/>
        <v>0.33410618169061956</v>
      </c>
      <c r="AH767" t="str">
        <f t="shared" si="156"/>
        <v>June</v>
      </c>
      <c r="AI767">
        <f t="shared" si="157"/>
        <v>2025</v>
      </c>
      <c r="AJ767" t="str">
        <f t="shared" si="165"/>
        <v>OK</v>
      </c>
      <c r="AK767" t="str">
        <f t="shared" si="166"/>
        <v>OK</v>
      </c>
      <c r="AL767" t="str">
        <f t="shared" si="167"/>
        <v>Include</v>
      </c>
      <c r="AM767" t="str">
        <f t="shared" si="158"/>
        <v>Clean</v>
      </c>
    </row>
    <row r="768" spans="1:39">
      <c r="A768" t="s">
        <v>2374</v>
      </c>
      <c r="B768" s="4">
        <v>45552</v>
      </c>
      <c r="C768" s="4">
        <v>45559</v>
      </c>
      <c r="D768" s="6">
        <v>7</v>
      </c>
      <c r="E768" t="s">
        <v>2788</v>
      </c>
      <c r="F768" t="s">
        <v>2788</v>
      </c>
      <c r="G768" t="s">
        <v>2788</v>
      </c>
      <c r="H768" t="s">
        <v>2375</v>
      </c>
      <c r="I768" t="s">
        <v>36</v>
      </c>
      <c r="J768" t="s">
        <v>90</v>
      </c>
      <c r="K768" t="s">
        <v>63</v>
      </c>
      <c r="L768" t="s">
        <v>180</v>
      </c>
      <c r="M768" t="s">
        <v>181</v>
      </c>
      <c r="N768" t="s">
        <v>28</v>
      </c>
      <c r="O768" t="s">
        <v>48</v>
      </c>
      <c r="P768" t="s">
        <v>2376</v>
      </c>
      <c r="Q768" t="s">
        <v>31</v>
      </c>
      <c r="R768">
        <v>9</v>
      </c>
      <c r="S768">
        <v>2307.96</v>
      </c>
      <c r="T768">
        <v>0.2</v>
      </c>
      <c r="U768">
        <v>16617.310000000001</v>
      </c>
      <c r="V768">
        <v>9195.73</v>
      </c>
      <c r="W768">
        <v>7421.58</v>
      </c>
      <c r="X768" t="s">
        <v>32</v>
      </c>
      <c r="Y768" t="s">
        <v>68</v>
      </c>
      <c r="Z768" t="str">
        <f t="shared" si="154"/>
        <v>Unique</v>
      </c>
      <c r="AA768" t="str">
        <f t="shared" si="155"/>
        <v>Unique</v>
      </c>
      <c r="AB768" t="str">
        <f t="shared" si="159"/>
        <v>OK</v>
      </c>
      <c r="AC768">
        <f t="shared" si="160"/>
        <v>0.2</v>
      </c>
      <c r="AD768" t="str">
        <f t="shared" si="161"/>
        <v>OK</v>
      </c>
      <c r="AE768">
        <f t="shared" si="162"/>
        <v>16617.312000000002</v>
      </c>
      <c r="AF768">
        <f t="shared" si="163"/>
        <v>7421.5820000000022</v>
      </c>
      <c r="AG768">
        <f t="shared" si="164"/>
        <v>0.44661747940942564</v>
      </c>
      <c r="AH768" t="str">
        <f t="shared" si="156"/>
        <v>September</v>
      </c>
      <c r="AI768">
        <f t="shared" si="157"/>
        <v>2024</v>
      </c>
      <c r="AJ768" t="str">
        <f t="shared" si="165"/>
        <v>OK</v>
      </c>
      <c r="AK768" t="str">
        <f t="shared" si="166"/>
        <v>OK</v>
      </c>
      <c r="AL768" t="str">
        <f t="shared" si="167"/>
        <v>Exclude</v>
      </c>
      <c r="AM768" t="str">
        <f t="shared" si="158"/>
        <v>Clean</v>
      </c>
    </row>
    <row r="769" spans="1:39">
      <c r="A769" t="s">
        <v>2377</v>
      </c>
      <c r="B769" s="4">
        <v>45415</v>
      </c>
      <c r="C769" s="4">
        <v>45418</v>
      </c>
      <c r="D769" s="6">
        <v>3</v>
      </c>
      <c r="E769" t="s">
        <v>2788</v>
      </c>
      <c r="F769" t="s">
        <v>2788</v>
      </c>
      <c r="G769" t="s">
        <v>2788</v>
      </c>
      <c r="H769" t="s">
        <v>2378</v>
      </c>
      <c r="I769" t="s">
        <v>62</v>
      </c>
      <c r="J769" t="s">
        <v>95</v>
      </c>
      <c r="K769" t="s">
        <v>25</v>
      </c>
      <c r="L769" t="s">
        <v>136</v>
      </c>
      <c r="M769" t="s">
        <v>137</v>
      </c>
      <c r="N769" t="s">
        <v>28</v>
      </c>
      <c r="O769" t="s">
        <v>153</v>
      </c>
      <c r="P769" t="s">
        <v>2379</v>
      </c>
      <c r="Q769" t="s">
        <v>59</v>
      </c>
      <c r="R769">
        <v>1</v>
      </c>
      <c r="S769">
        <v>1244.58</v>
      </c>
      <c r="T769">
        <v>0.25</v>
      </c>
      <c r="U769">
        <v>933.43</v>
      </c>
      <c r="V769">
        <v>583.09</v>
      </c>
      <c r="W769">
        <v>350.34</v>
      </c>
      <c r="X769" t="s">
        <v>32</v>
      </c>
      <c r="Y769" t="s">
        <v>33</v>
      </c>
      <c r="Z769" t="str">
        <f t="shared" si="154"/>
        <v>Unique</v>
      </c>
      <c r="AA769" t="str">
        <f t="shared" si="155"/>
        <v>Unique</v>
      </c>
      <c r="AB769" t="str">
        <f t="shared" si="159"/>
        <v>OK</v>
      </c>
      <c r="AC769">
        <f t="shared" si="160"/>
        <v>0.25</v>
      </c>
      <c r="AD769" t="str">
        <f t="shared" si="161"/>
        <v>OK</v>
      </c>
      <c r="AE769">
        <f t="shared" si="162"/>
        <v>933.43499999999995</v>
      </c>
      <c r="AF769">
        <f t="shared" si="163"/>
        <v>350.34499999999991</v>
      </c>
      <c r="AG769">
        <f t="shared" si="164"/>
        <v>0.3753287588316272</v>
      </c>
      <c r="AH769" t="str">
        <f t="shared" si="156"/>
        <v>May</v>
      </c>
      <c r="AI769">
        <f t="shared" si="157"/>
        <v>2024</v>
      </c>
      <c r="AJ769" t="str">
        <f t="shared" si="165"/>
        <v>OK</v>
      </c>
      <c r="AK769" t="str">
        <f t="shared" si="166"/>
        <v>OK</v>
      </c>
      <c r="AL769" t="str">
        <f t="shared" si="167"/>
        <v>Include</v>
      </c>
      <c r="AM769" t="str">
        <f t="shared" si="158"/>
        <v>Clean</v>
      </c>
    </row>
    <row r="770" spans="1:39">
      <c r="A770" t="s">
        <v>2380</v>
      </c>
      <c r="B770" s="4">
        <v>45749</v>
      </c>
      <c r="C770" s="4">
        <v>45751</v>
      </c>
      <c r="D770" s="6">
        <v>2</v>
      </c>
      <c r="E770" t="s">
        <v>2788</v>
      </c>
      <c r="F770" t="s">
        <v>2788</v>
      </c>
      <c r="G770" t="s">
        <v>2788</v>
      </c>
      <c r="H770" t="s">
        <v>2381</v>
      </c>
      <c r="I770" t="s">
        <v>132</v>
      </c>
      <c r="J770" t="s">
        <v>95</v>
      </c>
      <c r="K770" t="s">
        <v>38</v>
      </c>
      <c r="L770" t="s">
        <v>228</v>
      </c>
      <c r="M770" t="s">
        <v>229</v>
      </c>
      <c r="N770" t="s">
        <v>28</v>
      </c>
      <c r="O770" t="s">
        <v>29</v>
      </c>
      <c r="P770" t="s">
        <v>2382</v>
      </c>
      <c r="Q770" t="s">
        <v>44</v>
      </c>
      <c r="R770">
        <v>5</v>
      </c>
      <c r="S770">
        <v>3234.24</v>
      </c>
      <c r="T770">
        <v>0.1</v>
      </c>
      <c r="U770">
        <v>14554.08</v>
      </c>
      <c r="V770">
        <v>11166.84</v>
      </c>
      <c r="W770">
        <v>3387.24</v>
      </c>
      <c r="X770" t="s">
        <v>32</v>
      </c>
      <c r="Y770" t="s">
        <v>33</v>
      </c>
      <c r="Z770" t="str">
        <f t="shared" ref="Z770:Z833" si="168">IF(COUNTIFS($A:$A,A770,$B:$B,B770,$C:$C,C770,$H:$H,H770,$U:$U,U770,$W:$W,W770)&gt;1,"Exact Duplicate","Unique")</f>
        <v>Unique</v>
      </c>
      <c r="AA770" t="str">
        <f t="shared" ref="AA770:AA833" si="169">IF(COUNTIF($A:$A,A770)&gt;1,"Duplicate Order ID","Unique")</f>
        <v>Unique</v>
      </c>
      <c r="AB770" t="str">
        <f t="shared" si="159"/>
        <v>OK</v>
      </c>
      <c r="AC770">
        <f t="shared" si="160"/>
        <v>0.1</v>
      </c>
      <c r="AD770" t="str">
        <f t="shared" si="161"/>
        <v>OK</v>
      </c>
      <c r="AE770">
        <f t="shared" si="162"/>
        <v>14554.08</v>
      </c>
      <c r="AF770">
        <f t="shared" si="163"/>
        <v>3387.24</v>
      </c>
      <c r="AG770">
        <f t="shared" si="164"/>
        <v>0.23273473830018798</v>
      </c>
      <c r="AH770" t="str">
        <f t="shared" ref="AH770:AH833" si="170">IFERROR(TEXT(B770,"mmmm"),"")</f>
        <v>April</v>
      </c>
      <c r="AI770">
        <f t="shared" ref="AI770:AI833" si="171">IFERROR(YEAR(B770),"")</f>
        <v>2025</v>
      </c>
      <c r="AJ770" t="str">
        <f t="shared" si="165"/>
        <v>OK</v>
      </c>
      <c r="AK770" t="str">
        <f t="shared" si="166"/>
        <v>OK</v>
      </c>
      <c r="AL770" t="str">
        <f t="shared" si="167"/>
        <v>Include</v>
      </c>
      <c r="AM770" t="str">
        <f t="shared" ref="AM770:AM833" si="172">IF(OR(E770&lt;&gt;"OK",F770&lt;&gt;"OK",AD770&lt;&gt;"OK",AB770="Conflicting Duplicate"),"Invalid",IF(OR(G770&lt;&gt;"OK",AJ770&lt;&gt;"OK",AK770&lt;&gt;"OK"),"Warning","Clean"))</f>
        <v>Clean</v>
      </c>
    </row>
    <row r="771" spans="1:39">
      <c r="A771" t="s">
        <v>2383</v>
      </c>
      <c r="B771" s="4">
        <v>45423</v>
      </c>
      <c r="C771" s="4">
        <v>45425</v>
      </c>
      <c r="D771" s="6">
        <v>2</v>
      </c>
      <c r="E771" t="s">
        <v>2788</v>
      </c>
      <c r="F771" t="s">
        <v>2788</v>
      </c>
      <c r="G771" t="s">
        <v>2788</v>
      </c>
      <c r="H771" t="s">
        <v>2384</v>
      </c>
      <c r="I771" t="s">
        <v>114</v>
      </c>
      <c r="J771" t="s">
        <v>95</v>
      </c>
      <c r="K771" t="s">
        <v>63</v>
      </c>
      <c r="L771" t="s">
        <v>190</v>
      </c>
      <c r="M771" t="s">
        <v>191</v>
      </c>
      <c r="N771" t="s">
        <v>41</v>
      </c>
      <c r="O771" t="s">
        <v>158</v>
      </c>
      <c r="P771" t="s">
        <v>2385</v>
      </c>
      <c r="Q771" t="s">
        <v>44</v>
      </c>
      <c r="R771">
        <v>3</v>
      </c>
      <c r="S771">
        <v>3612.75</v>
      </c>
      <c r="T771">
        <v>0.25</v>
      </c>
      <c r="U771">
        <v>8128.69</v>
      </c>
      <c r="V771">
        <v>5071.66</v>
      </c>
      <c r="W771">
        <v>3057.03</v>
      </c>
      <c r="X771" t="s">
        <v>32</v>
      </c>
      <c r="Y771" t="s">
        <v>33</v>
      </c>
      <c r="Z771" t="str">
        <f t="shared" si="168"/>
        <v>Unique</v>
      </c>
      <c r="AA771" t="str">
        <f t="shared" si="169"/>
        <v>Unique</v>
      </c>
      <c r="AB771" t="str">
        <f t="shared" ref="AB771:AB834" si="173">IF(AND(AA771="Duplicate Order ID",Z771&lt;&gt;"Exact Duplicate"),"Conflicting Duplicate","OK")</f>
        <v>OK</v>
      </c>
      <c r="AC771">
        <f t="shared" ref="AC771:AC834" si="174">IF(OR(T771="",ISBLANK(T771)),0,T771)</f>
        <v>0.25</v>
      </c>
      <c r="AD771" t="str">
        <f t="shared" ref="AD771:AD834" si="175">IF(AC771&lt;0,"Invalid Negative Discount",IF(AC771&gt;1,"Invalid High Discount","OK"))</f>
        <v>OK</v>
      </c>
      <c r="AE771">
        <f t="shared" ref="AE771:AE834" si="176">R771*S771*(1-AC771)</f>
        <v>8128.6875</v>
      </c>
      <c r="AF771">
        <f t="shared" ref="AF771:AF834" si="177">AE771-V771</f>
        <v>3057.0275000000001</v>
      </c>
      <c r="AG771">
        <f t="shared" ref="AG771:AG834" si="178">IF(AE771=0,0,AF771/AE771)</f>
        <v>0.3760788565189645</v>
      </c>
      <c r="AH771" t="str">
        <f t="shared" si="170"/>
        <v>May</v>
      </c>
      <c r="AI771">
        <f t="shared" si="171"/>
        <v>2024</v>
      </c>
      <c r="AJ771" t="str">
        <f t="shared" ref="AJ771:AJ834" si="179">IF(ABS(U771-AE771)&gt;1,"Sales Mismatch","OK")</f>
        <v>OK</v>
      </c>
      <c r="AK771" t="str">
        <f t="shared" ref="AK771:AK834" si="180">IF(ABS(W771-AF771)&gt;1,"Profit Mismatch","OK")</f>
        <v>OK</v>
      </c>
      <c r="AL771" t="str">
        <f t="shared" ref="AL771:AL834" si="181">IF(AND(X771="Paid",Y771="Completed"),"Include","Exclude")</f>
        <v>Include</v>
      </c>
      <c r="AM771" t="str">
        <f t="shared" si="172"/>
        <v>Clean</v>
      </c>
    </row>
    <row r="772" spans="1:39">
      <c r="A772" t="s">
        <v>2386</v>
      </c>
      <c r="B772" s="4">
        <v>45337</v>
      </c>
      <c r="C772" s="4">
        <v>45339</v>
      </c>
      <c r="D772" s="6">
        <v>2</v>
      </c>
      <c r="E772" t="s">
        <v>2788</v>
      </c>
      <c r="F772" t="s">
        <v>2788</v>
      </c>
      <c r="G772" t="s">
        <v>2788</v>
      </c>
      <c r="H772" t="s">
        <v>2387</v>
      </c>
      <c r="I772" t="s">
        <v>79</v>
      </c>
      <c r="J772" t="s">
        <v>24</v>
      </c>
      <c r="K772" t="s">
        <v>25</v>
      </c>
      <c r="L772" t="s">
        <v>136</v>
      </c>
      <c r="M772" t="s">
        <v>137</v>
      </c>
      <c r="N772" t="s">
        <v>74</v>
      </c>
      <c r="O772" t="s">
        <v>80</v>
      </c>
      <c r="P772" t="s">
        <v>2388</v>
      </c>
      <c r="Q772" t="s">
        <v>50</v>
      </c>
      <c r="R772">
        <v>4</v>
      </c>
      <c r="S772">
        <v>863</v>
      </c>
      <c r="U772">
        <v>3106.8</v>
      </c>
      <c r="V772">
        <v>2376.62</v>
      </c>
      <c r="W772">
        <v>730.18</v>
      </c>
      <c r="X772" t="s">
        <v>32</v>
      </c>
      <c r="Y772" t="s">
        <v>33</v>
      </c>
      <c r="Z772" t="str">
        <f t="shared" si="168"/>
        <v>Unique</v>
      </c>
      <c r="AA772" t="str">
        <f t="shared" si="169"/>
        <v>Unique</v>
      </c>
      <c r="AB772" t="str">
        <f t="shared" si="173"/>
        <v>OK</v>
      </c>
      <c r="AC772">
        <f t="shared" si="174"/>
        <v>0</v>
      </c>
      <c r="AD772" t="str">
        <f t="shared" si="175"/>
        <v>OK</v>
      </c>
      <c r="AE772">
        <f t="shared" si="176"/>
        <v>3452</v>
      </c>
      <c r="AF772">
        <f t="shared" si="177"/>
        <v>1075.3800000000001</v>
      </c>
      <c r="AG772">
        <f t="shared" si="178"/>
        <v>0.3115237543453071</v>
      </c>
      <c r="AH772" t="str">
        <f t="shared" si="170"/>
        <v>February</v>
      </c>
      <c r="AI772">
        <f t="shared" si="171"/>
        <v>2024</v>
      </c>
      <c r="AJ772" t="str">
        <f t="shared" si="179"/>
        <v>Sales Mismatch</v>
      </c>
      <c r="AK772" t="str">
        <f t="shared" si="180"/>
        <v>Profit Mismatch</v>
      </c>
      <c r="AL772" t="str">
        <f t="shared" si="181"/>
        <v>Include</v>
      </c>
      <c r="AM772" t="str">
        <f t="shared" si="172"/>
        <v>Warning</v>
      </c>
    </row>
    <row r="773" spans="1:39">
      <c r="A773" t="s">
        <v>2389</v>
      </c>
      <c r="B773" s="4">
        <v>45485</v>
      </c>
      <c r="C773" s="4">
        <v>45487</v>
      </c>
      <c r="D773" s="6">
        <v>2</v>
      </c>
      <c r="E773" t="s">
        <v>2788</v>
      </c>
      <c r="F773" t="s">
        <v>2788</v>
      </c>
      <c r="G773" t="s">
        <v>2788</v>
      </c>
      <c r="H773" t="s">
        <v>468</v>
      </c>
      <c r="I773" t="s">
        <v>62</v>
      </c>
      <c r="J773" t="s">
        <v>24</v>
      </c>
      <c r="K773" t="s">
        <v>25</v>
      </c>
      <c r="L773" t="s">
        <v>236</v>
      </c>
      <c r="M773" t="s">
        <v>237</v>
      </c>
      <c r="N773" t="s">
        <v>74</v>
      </c>
      <c r="O773" t="s">
        <v>274</v>
      </c>
      <c r="P773" t="s">
        <v>2390</v>
      </c>
      <c r="Q773" t="s">
        <v>31</v>
      </c>
      <c r="R773">
        <v>4</v>
      </c>
      <c r="S773">
        <v>2131.41</v>
      </c>
      <c r="U773">
        <v>6394.23</v>
      </c>
      <c r="V773">
        <v>3520.69</v>
      </c>
      <c r="W773">
        <v>2873.54</v>
      </c>
      <c r="X773" t="s">
        <v>32</v>
      </c>
      <c r="Y773" t="s">
        <v>33</v>
      </c>
      <c r="Z773" t="str">
        <f t="shared" si="168"/>
        <v>Unique</v>
      </c>
      <c r="AA773" t="str">
        <f t="shared" si="169"/>
        <v>Unique</v>
      </c>
      <c r="AB773" t="str">
        <f t="shared" si="173"/>
        <v>OK</v>
      </c>
      <c r="AC773">
        <f t="shared" si="174"/>
        <v>0</v>
      </c>
      <c r="AD773" t="str">
        <f t="shared" si="175"/>
        <v>OK</v>
      </c>
      <c r="AE773">
        <f t="shared" si="176"/>
        <v>8525.64</v>
      </c>
      <c r="AF773">
        <f t="shared" si="177"/>
        <v>5004.9499999999989</v>
      </c>
      <c r="AG773">
        <f t="shared" si="178"/>
        <v>0.58704683753946907</v>
      </c>
      <c r="AH773" t="str">
        <f t="shared" si="170"/>
        <v>July</v>
      </c>
      <c r="AI773">
        <f t="shared" si="171"/>
        <v>2024</v>
      </c>
      <c r="AJ773" t="str">
        <f t="shared" si="179"/>
        <v>Sales Mismatch</v>
      </c>
      <c r="AK773" t="str">
        <f t="shared" si="180"/>
        <v>Profit Mismatch</v>
      </c>
      <c r="AL773" t="str">
        <f t="shared" si="181"/>
        <v>Include</v>
      </c>
      <c r="AM773" t="str">
        <f t="shared" si="172"/>
        <v>Warning</v>
      </c>
    </row>
    <row r="774" spans="1:39">
      <c r="A774" t="s">
        <v>2391</v>
      </c>
      <c r="B774" s="4">
        <v>45853</v>
      </c>
      <c r="C774" s="4">
        <v>45857</v>
      </c>
      <c r="D774" s="6">
        <v>4</v>
      </c>
      <c r="E774" t="s">
        <v>2788</v>
      </c>
      <c r="F774" t="s">
        <v>2788</v>
      </c>
      <c r="G774" t="s">
        <v>2788</v>
      </c>
      <c r="H774" t="s">
        <v>2392</v>
      </c>
      <c r="I774" t="s">
        <v>162</v>
      </c>
      <c r="J774" t="s">
        <v>24</v>
      </c>
      <c r="K774" t="s">
        <v>54</v>
      </c>
      <c r="L774" t="s">
        <v>247</v>
      </c>
      <c r="M774" t="s">
        <v>248</v>
      </c>
      <c r="N774" t="s">
        <v>41</v>
      </c>
      <c r="O774" t="s">
        <v>66</v>
      </c>
      <c r="P774" t="s">
        <v>2393</v>
      </c>
      <c r="Q774" t="s">
        <v>44</v>
      </c>
      <c r="R774">
        <v>1</v>
      </c>
      <c r="S774">
        <v>3903.22</v>
      </c>
      <c r="T774">
        <v>0.05</v>
      </c>
      <c r="U774">
        <v>3708.06</v>
      </c>
      <c r="V774">
        <v>2760.29</v>
      </c>
      <c r="W774">
        <v>947.77</v>
      </c>
      <c r="X774" t="s">
        <v>111</v>
      </c>
      <c r="Y774" t="s">
        <v>68</v>
      </c>
      <c r="Z774" t="str">
        <f t="shared" si="168"/>
        <v>Unique</v>
      </c>
      <c r="AA774" t="str">
        <f t="shared" si="169"/>
        <v>Unique</v>
      </c>
      <c r="AB774" t="str">
        <f t="shared" si="173"/>
        <v>OK</v>
      </c>
      <c r="AC774">
        <f t="shared" si="174"/>
        <v>0.05</v>
      </c>
      <c r="AD774" t="str">
        <f t="shared" si="175"/>
        <v>OK</v>
      </c>
      <c r="AE774">
        <f t="shared" si="176"/>
        <v>3708.0589999999997</v>
      </c>
      <c r="AF774">
        <f t="shared" si="177"/>
        <v>947.76899999999978</v>
      </c>
      <c r="AG774">
        <f t="shared" si="178"/>
        <v>0.25559706574248142</v>
      </c>
      <c r="AH774" t="str">
        <f t="shared" si="170"/>
        <v>July</v>
      </c>
      <c r="AI774">
        <f t="shared" si="171"/>
        <v>2025</v>
      </c>
      <c r="AJ774" t="str">
        <f t="shared" si="179"/>
        <v>OK</v>
      </c>
      <c r="AK774" t="str">
        <f t="shared" si="180"/>
        <v>OK</v>
      </c>
      <c r="AL774" t="str">
        <f t="shared" si="181"/>
        <v>Exclude</v>
      </c>
      <c r="AM774" t="str">
        <f t="shared" si="172"/>
        <v>Clean</v>
      </c>
    </row>
    <row r="775" spans="1:39">
      <c r="A775" t="s">
        <v>2394</v>
      </c>
      <c r="B775" s="4">
        <v>45709</v>
      </c>
      <c r="C775" s="4">
        <v>45709</v>
      </c>
      <c r="D775" s="6">
        <v>0</v>
      </c>
      <c r="E775" t="s">
        <v>2788</v>
      </c>
      <c r="F775" t="s">
        <v>2788</v>
      </c>
      <c r="G775" t="s">
        <v>2788</v>
      </c>
      <c r="H775" t="s">
        <v>2395</v>
      </c>
      <c r="I775" t="s">
        <v>23</v>
      </c>
      <c r="J775" t="s">
        <v>95</v>
      </c>
      <c r="K775" t="s">
        <v>63</v>
      </c>
      <c r="L775" t="s">
        <v>180</v>
      </c>
      <c r="M775" t="s">
        <v>181</v>
      </c>
      <c r="N775" t="s">
        <v>74</v>
      </c>
      <c r="O775" t="s">
        <v>171</v>
      </c>
      <c r="P775" t="s">
        <v>2396</v>
      </c>
      <c r="Q775" t="s">
        <v>2783</v>
      </c>
      <c r="R775">
        <v>4</v>
      </c>
      <c r="S775">
        <v>2945.07</v>
      </c>
      <c r="T775">
        <v>0.2</v>
      </c>
      <c r="U775">
        <v>9424.2199999999993</v>
      </c>
      <c r="V775">
        <v>6178.92</v>
      </c>
      <c r="W775">
        <v>3245.3</v>
      </c>
      <c r="X775" t="s">
        <v>32</v>
      </c>
      <c r="Y775" t="s">
        <v>33</v>
      </c>
      <c r="Z775" t="str">
        <f t="shared" si="168"/>
        <v>Unique</v>
      </c>
      <c r="AA775" t="str">
        <f t="shared" si="169"/>
        <v>Unique</v>
      </c>
      <c r="AB775" t="str">
        <f t="shared" si="173"/>
        <v>OK</v>
      </c>
      <c r="AC775">
        <f t="shared" si="174"/>
        <v>0.2</v>
      </c>
      <c r="AD775" t="str">
        <f t="shared" si="175"/>
        <v>OK</v>
      </c>
      <c r="AE775">
        <f t="shared" si="176"/>
        <v>9424.2240000000002</v>
      </c>
      <c r="AF775">
        <f t="shared" si="177"/>
        <v>3245.3040000000001</v>
      </c>
      <c r="AG775">
        <f t="shared" si="178"/>
        <v>0.3443576892909167</v>
      </c>
      <c r="AH775" t="str">
        <f t="shared" si="170"/>
        <v>February</v>
      </c>
      <c r="AI775">
        <f t="shared" si="171"/>
        <v>2025</v>
      </c>
      <c r="AJ775" t="str">
        <f t="shared" si="179"/>
        <v>OK</v>
      </c>
      <c r="AK775" t="str">
        <f t="shared" si="180"/>
        <v>OK</v>
      </c>
      <c r="AL775" t="str">
        <f t="shared" si="181"/>
        <v>Include</v>
      </c>
      <c r="AM775" t="str">
        <f t="shared" si="172"/>
        <v>Clean</v>
      </c>
    </row>
    <row r="776" spans="1:39">
      <c r="A776" t="s">
        <v>2397</v>
      </c>
      <c r="B776" s="4">
        <v>45876</v>
      </c>
      <c r="C776" s="4">
        <v>45876</v>
      </c>
      <c r="D776" s="6">
        <v>0</v>
      </c>
      <c r="E776" t="s">
        <v>2788</v>
      </c>
      <c r="F776" t="s">
        <v>2788</v>
      </c>
      <c r="G776" t="s">
        <v>2788</v>
      </c>
      <c r="H776" t="s">
        <v>2398</v>
      </c>
      <c r="I776" t="s">
        <v>264</v>
      </c>
      <c r="J776" t="s">
        <v>24</v>
      </c>
      <c r="K776" t="s">
        <v>63</v>
      </c>
      <c r="L776" t="s">
        <v>26</v>
      </c>
      <c r="M776" t="s">
        <v>109</v>
      </c>
      <c r="N776" t="s">
        <v>74</v>
      </c>
      <c r="O776" t="s">
        <v>274</v>
      </c>
      <c r="P776" t="s">
        <v>2399</v>
      </c>
      <c r="Q776" t="s">
        <v>2783</v>
      </c>
      <c r="R776">
        <v>9</v>
      </c>
      <c r="S776">
        <v>1076.75</v>
      </c>
      <c r="T776">
        <v>0.2</v>
      </c>
      <c r="U776">
        <v>7752.6</v>
      </c>
      <c r="V776">
        <v>4689.3</v>
      </c>
      <c r="W776">
        <v>3063.3</v>
      </c>
      <c r="X776" t="s">
        <v>32</v>
      </c>
      <c r="Y776" t="s">
        <v>33</v>
      </c>
      <c r="Z776" t="str">
        <f t="shared" si="168"/>
        <v>Unique</v>
      </c>
      <c r="AA776" t="str">
        <f t="shared" si="169"/>
        <v>Unique</v>
      </c>
      <c r="AB776" t="str">
        <f t="shared" si="173"/>
        <v>OK</v>
      </c>
      <c r="AC776">
        <f t="shared" si="174"/>
        <v>0.2</v>
      </c>
      <c r="AD776" t="str">
        <f t="shared" si="175"/>
        <v>OK</v>
      </c>
      <c r="AE776">
        <f t="shared" si="176"/>
        <v>7752.6</v>
      </c>
      <c r="AF776">
        <f t="shared" si="177"/>
        <v>3063.3</v>
      </c>
      <c r="AG776">
        <f t="shared" si="178"/>
        <v>0.39513195573098059</v>
      </c>
      <c r="AH776" t="str">
        <f t="shared" si="170"/>
        <v>August</v>
      </c>
      <c r="AI776">
        <f t="shared" si="171"/>
        <v>2025</v>
      </c>
      <c r="AJ776" t="str">
        <f t="shared" si="179"/>
        <v>OK</v>
      </c>
      <c r="AK776" t="str">
        <f t="shared" si="180"/>
        <v>OK</v>
      </c>
      <c r="AL776" t="str">
        <f t="shared" si="181"/>
        <v>Include</v>
      </c>
      <c r="AM776" t="str">
        <f t="shared" si="172"/>
        <v>Clean</v>
      </c>
    </row>
    <row r="777" spans="1:39">
      <c r="A777" t="s">
        <v>2400</v>
      </c>
      <c r="B777" s="4">
        <v>45396</v>
      </c>
      <c r="C777" s="4">
        <v>45404</v>
      </c>
      <c r="D777" s="6">
        <v>8</v>
      </c>
      <c r="E777" t="s">
        <v>2788</v>
      </c>
      <c r="F777" t="s">
        <v>2788</v>
      </c>
      <c r="G777" t="s">
        <v>2788</v>
      </c>
      <c r="H777" t="s">
        <v>2401</v>
      </c>
      <c r="I777" t="s">
        <v>53</v>
      </c>
      <c r="J777" t="s">
        <v>24</v>
      </c>
      <c r="K777" t="s">
        <v>25</v>
      </c>
      <c r="L777" t="s">
        <v>236</v>
      </c>
      <c r="M777" t="s">
        <v>237</v>
      </c>
      <c r="N777" t="s">
        <v>74</v>
      </c>
      <c r="O777" t="s">
        <v>75</v>
      </c>
      <c r="P777" t="s">
        <v>2402</v>
      </c>
      <c r="Q777" t="s">
        <v>59</v>
      </c>
      <c r="R777">
        <v>8</v>
      </c>
      <c r="S777">
        <v>3956.12</v>
      </c>
      <c r="T777">
        <v>0.25</v>
      </c>
      <c r="U777">
        <v>23736.720000000001</v>
      </c>
      <c r="V777">
        <v>13890.9</v>
      </c>
      <c r="W777">
        <v>9845.82</v>
      </c>
      <c r="X777" t="s">
        <v>32</v>
      </c>
      <c r="Y777" t="s">
        <v>33</v>
      </c>
      <c r="Z777" t="str">
        <f t="shared" si="168"/>
        <v>Unique</v>
      </c>
      <c r="AA777" t="str">
        <f t="shared" si="169"/>
        <v>Unique</v>
      </c>
      <c r="AB777" t="str">
        <f t="shared" si="173"/>
        <v>OK</v>
      </c>
      <c r="AC777">
        <f t="shared" si="174"/>
        <v>0.25</v>
      </c>
      <c r="AD777" t="str">
        <f t="shared" si="175"/>
        <v>OK</v>
      </c>
      <c r="AE777">
        <f t="shared" si="176"/>
        <v>23736.720000000001</v>
      </c>
      <c r="AF777">
        <f t="shared" si="177"/>
        <v>9845.8200000000015</v>
      </c>
      <c r="AG777">
        <f t="shared" si="178"/>
        <v>0.41479277676106896</v>
      </c>
      <c r="AH777" t="str">
        <f t="shared" si="170"/>
        <v>April</v>
      </c>
      <c r="AI777">
        <f t="shared" si="171"/>
        <v>2024</v>
      </c>
      <c r="AJ777" t="str">
        <f t="shared" si="179"/>
        <v>OK</v>
      </c>
      <c r="AK777" t="str">
        <f t="shared" si="180"/>
        <v>OK</v>
      </c>
      <c r="AL777" t="str">
        <f t="shared" si="181"/>
        <v>Include</v>
      </c>
      <c r="AM777" t="str">
        <f t="shared" si="172"/>
        <v>Clean</v>
      </c>
    </row>
    <row r="778" spans="1:39">
      <c r="A778" t="s">
        <v>2403</v>
      </c>
      <c r="B778" s="4">
        <v>45816</v>
      </c>
      <c r="C778" s="4">
        <v>45821</v>
      </c>
      <c r="D778" s="6">
        <v>5</v>
      </c>
      <c r="E778" t="s">
        <v>2788</v>
      </c>
      <c r="F778" t="s">
        <v>2788</v>
      </c>
      <c r="G778" t="s">
        <v>2788</v>
      </c>
      <c r="H778" t="s">
        <v>2404</v>
      </c>
      <c r="I778" t="s">
        <v>89</v>
      </c>
      <c r="J778" t="s">
        <v>37</v>
      </c>
      <c r="K778" t="s">
        <v>25</v>
      </c>
      <c r="L778" t="s">
        <v>26</v>
      </c>
      <c r="M778" t="s">
        <v>27</v>
      </c>
      <c r="N778" t="s">
        <v>74</v>
      </c>
      <c r="O778" t="s">
        <v>80</v>
      </c>
      <c r="P778" t="s">
        <v>2405</v>
      </c>
      <c r="Q778" t="s">
        <v>31</v>
      </c>
      <c r="R778">
        <v>7</v>
      </c>
      <c r="S778">
        <v>3857.13</v>
      </c>
      <c r="T778">
        <v>0</v>
      </c>
      <c r="U778">
        <v>26999.91</v>
      </c>
      <c r="V778">
        <v>17815.98</v>
      </c>
      <c r="W778">
        <v>9183.93</v>
      </c>
      <c r="X778" t="s">
        <v>32</v>
      </c>
      <c r="Y778" t="s">
        <v>33</v>
      </c>
      <c r="Z778" t="str">
        <f t="shared" si="168"/>
        <v>Unique</v>
      </c>
      <c r="AA778" t="str">
        <f t="shared" si="169"/>
        <v>Unique</v>
      </c>
      <c r="AB778" t="str">
        <f t="shared" si="173"/>
        <v>OK</v>
      </c>
      <c r="AC778">
        <f t="shared" si="174"/>
        <v>0</v>
      </c>
      <c r="AD778" t="str">
        <f t="shared" si="175"/>
        <v>OK</v>
      </c>
      <c r="AE778">
        <f t="shared" si="176"/>
        <v>26999.91</v>
      </c>
      <c r="AF778">
        <f t="shared" si="177"/>
        <v>9183.93</v>
      </c>
      <c r="AG778">
        <f t="shared" si="178"/>
        <v>0.34014668937785347</v>
      </c>
      <c r="AH778" t="str">
        <f t="shared" si="170"/>
        <v>June</v>
      </c>
      <c r="AI778">
        <f t="shared" si="171"/>
        <v>2025</v>
      </c>
      <c r="AJ778" t="str">
        <f t="shared" si="179"/>
        <v>OK</v>
      </c>
      <c r="AK778" t="str">
        <f t="shared" si="180"/>
        <v>OK</v>
      </c>
      <c r="AL778" t="str">
        <f t="shared" si="181"/>
        <v>Include</v>
      </c>
      <c r="AM778" t="str">
        <f t="shared" si="172"/>
        <v>Clean</v>
      </c>
    </row>
    <row r="779" spans="1:39">
      <c r="A779" t="s">
        <v>2406</v>
      </c>
      <c r="B779" s="4">
        <v>45326</v>
      </c>
      <c r="C779" s="4">
        <v>45328</v>
      </c>
      <c r="D779" s="6">
        <v>2</v>
      </c>
      <c r="E779" t="s">
        <v>2788</v>
      </c>
      <c r="F779" t="s">
        <v>2788</v>
      </c>
      <c r="G779" t="s">
        <v>2788</v>
      </c>
      <c r="H779" t="s">
        <v>2407</v>
      </c>
      <c r="I779" t="s">
        <v>264</v>
      </c>
      <c r="J779" t="s">
        <v>37</v>
      </c>
      <c r="K779" t="s">
        <v>63</v>
      </c>
      <c r="L779" t="s">
        <v>72</v>
      </c>
      <c r="M779" t="s">
        <v>73</v>
      </c>
      <c r="N779" t="s">
        <v>74</v>
      </c>
      <c r="O779" t="s">
        <v>75</v>
      </c>
      <c r="P779" t="s">
        <v>2408</v>
      </c>
      <c r="Q779" t="s">
        <v>31</v>
      </c>
      <c r="R779">
        <v>4</v>
      </c>
      <c r="S779">
        <v>1489.74</v>
      </c>
      <c r="T779">
        <v>0.15</v>
      </c>
      <c r="U779">
        <v>5065.12</v>
      </c>
      <c r="V779">
        <v>3530.12</v>
      </c>
      <c r="W779">
        <v>1535</v>
      </c>
      <c r="X779" t="s">
        <v>155</v>
      </c>
      <c r="Y779" t="s">
        <v>68</v>
      </c>
      <c r="Z779" t="str">
        <f t="shared" si="168"/>
        <v>Unique</v>
      </c>
      <c r="AA779" t="str">
        <f t="shared" si="169"/>
        <v>Unique</v>
      </c>
      <c r="AB779" t="str">
        <f t="shared" si="173"/>
        <v>OK</v>
      </c>
      <c r="AC779">
        <f t="shared" si="174"/>
        <v>0.15</v>
      </c>
      <c r="AD779" t="str">
        <f t="shared" si="175"/>
        <v>OK</v>
      </c>
      <c r="AE779">
        <f t="shared" si="176"/>
        <v>5065.116</v>
      </c>
      <c r="AF779">
        <f t="shared" si="177"/>
        <v>1534.9960000000001</v>
      </c>
      <c r="AG779">
        <f t="shared" si="178"/>
        <v>0.30305248685321323</v>
      </c>
      <c r="AH779" t="str">
        <f t="shared" si="170"/>
        <v>February</v>
      </c>
      <c r="AI779">
        <f t="shared" si="171"/>
        <v>2024</v>
      </c>
      <c r="AJ779" t="str">
        <f t="shared" si="179"/>
        <v>OK</v>
      </c>
      <c r="AK779" t="str">
        <f t="shared" si="180"/>
        <v>OK</v>
      </c>
      <c r="AL779" t="str">
        <f t="shared" si="181"/>
        <v>Exclude</v>
      </c>
      <c r="AM779" t="str">
        <f t="shared" si="172"/>
        <v>Clean</v>
      </c>
    </row>
    <row r="780" spans="1:39">
      <c r="A780" t="s">
        <v>2409</v>
      </c>
      <c r="B780" s="4">
        <v>45497</v>
      </c>
      <c r="C780" s="4">
        <v>45497</v>
      </c>
      <c r="D780" s="6">
        <v>0</v>
      </c>
      <c r="E780" t="s">
        <v>2788</v>
      </c>
      <c r="F780" t="s">
        <v>2788</v>
      </c>
      <c r="G780" t="s">
        <v>2788</v>
      </c>
      <c r="H780" t="s">
        <v>2410</v>
      </c>
      <c r="I780" t="s">
        <v>23</v>
      </c>
      <c r="J780" t="s">
        <v>37</v>
      </c>
      <c r="K780" t="s">
        <v>25</v>
      </c>
      <c r="L780" t="s">
        <v>236</v>
      </c>
      <c r="M780" t="s">
        <v>237</v>
      </c>
      <c r="N780" t="s">
        <v>74</v>
      </c>
      <c r="O780" t="s">
        <v>80</v>
      </c>
      <c r="P780" t="s">
        <v>2411</v>
      </c>
      <c r="Q780" t="s">
        <v>31</v>
      </c>
      <c r="R780">
        <v>4</v>
      </c>
      <c r="S780">
        <v>1676.88</v>
      </c>
      <c r="T780">
        <v>0</v>
      </c>
      <c r="U780">
        <v>6707.52</v>
      </c>
      <c r="V780">
        <v>5672.57</v>
      </c>
      <c r="W780">
        <v>1034.95</v>
      </c>
      <c r="X780" t="s">
        <v>32</v>
      </c>
      <c r="Y780" t="s">
        <v>33</v>
      </c>
      <c r="Z780" t="str">
        <f t="shared" si="168"/>
        <v>Unique</v>
      </c>
      <c r="AA780" t="str">
        <f t="shared" si="169"/>
        <v>Unique</v>
      </c>
      <c r="AB780" t="str">
        <f t="shared" si="173"/>
        <v>OK</v>
      </c>
      <c r="AC780">
        <f t="shared" si="174"/>
        <v>0</v>
      </c>
      <c r="AD780" t="str">
        <f t="shared" si="175"/>
        <v>OK</v>
      </c>
      <c r="AE780">
        <f t="shared" si="176"/>
        <v>6707.52</v>
      </c>
      <c r="AF780">
        <f t="shared" si="177"/>
        <v>1034.9500000000007</v>
      </c>
      <c r="AG780">
        <f t="shared" si="178"/>
        <v>0.15429696817899918</v>
      </c>
      <c r="AH780" t="str">
        <f t="shared" si="170"/>
        <v>July</v>
      </c>
      <c r="AI780">
        <f t="shared" si="171"/>
        <v>2024</v>
      </c>
      <c r="AJ780" t="str">
        <f t="shared" si="179"/>
        <v>OK</v>
      </c>
      <c r="AK780" t="str">
        <f t="shared" si="180"/>
        <v>OK</v>
      </c>
      <c r="AL780" t="str">
        <f t="shared" si="181"/>
        <v>Include</v>
      </c>
      <c r="AM780" t="str">
        <f t="shared" si="172"/>
        <v>Clean</v>
      </c>
    </row>
    <row r="781" spans="1:39">
      <c r="A781" t="s">
        <v>2412</v>
      </c>
      <c r="B781" s="4">
        <v>45306</v>
      </c>
      <c r="C781" s="4">
        <v>45311</v>
      </c>
      <c r="D781" s="6">
        <v>5</v>
      </c>
      <c r="E781" t="s">
        <v>2788</v>
      </c>
      <c r="F781" t="s">
        <v>2788</v>
      </c>
      <c r="G781" t="s">
        <v>2788</v>
      </c>
      <c r="H781" t="s">
        <v>2413</v>
      </c>
      <c r="I781" t="s">
        <v>114</v>
      </c>
      <c r="J781" t="s">
        <v>37</v>
      </c>
      <c r="K781" t="s">
        <v>54</v>
      </c>
      <c r="L781" t="s">
        <v>84</v>
      </c>
      <c r="M781" t="s">
        <v>85</v>
      </c>
      <c r="N781" t="s">
        <v>41</v>
      </c>
      <c r="O781" t="s">
        <v>66</v>
      </c>
      <c r="P781" t="s">
        <v>2414</v>
      </c>
      <c r="Q781" t="s">
        <v>59</v>
      </c>
      <c r="R781">
        <v>4</v>
      </c>
      <c r="S781">
        <v>3153.54</v>
      </c>
      <c r="T781">
        <v>0.05</v>
      </c>
      <c r="U781">
        <v>11983.45</v>
      </c>
      <c r="V781">
        <v>8572.9</v>
      </c>
      <c r="W781">
        <v>3410.55</v>
      </c>
      <c r="X781" t="s">
        <v>32</v>
      </c>
      <c r="Y781" t="s">
        <v>33</v>
      </c>
      <c r="Z781" t="str">
        <f t="shared" si="168"/>
        <v>Unique</v>
      </c>
      <c r="AA781" t="str">
        <f t="shared" si="169"/>
        <v>Unique</v>
      </c>
      <c r="AB781" t="str">
        <f t="shared" si="173"/>
        <v>OK</v>
      </c>
      <c r="AC781">
        <f t="shared" si="174"/>
        <v>0.05</v>
      </c>
      <c r="AD781" t="str">
        <f t="shared" si="175"/>
        <v>OK</v>
      </c>
      <c r="AE781">
        <f t="shared" si="176"/>
        <v>11983.451999999999</v>
      </c>
      <c r="AF781">
        <f t="shared" si="177"/>
        <v>3410.5519999999997</v>
      </c>
      <c r="AG781">
        <f t="shared" si="178"/>
        <v>0.2846051371507976</v>
      </c>
      <c r="AH781" t="str">
        <f t="shared" si="170"/>
        <v>January</v>
      </c>
      <c r="AI781">
        <f t="shared" si="171"/>
        <v>2024</v>
      </c>
      <c r="AJ781" t="str">
        <f t="shared" si="179"/>
        <v>OK</v>
      </c>
      <c r="AK781" t="str">
        <f t="shared" si="180"/>
        <v>OK</v>
      </c>
      <c r="AL781" t="str">
        <f t="shared" si="181"/>
        <v>Include</v>
      </c>
      <c r="AM781" t="str">
        <f t="shared" si="172"/>
        <v>Clean</v>
      </c>
    </row>
    <row r="782" spans="1:39">
      <c r="A782" t="s">
        <v>2415</v>
      </c>
      <c r="B782" s="4">
        <v>45508</v>
      </c>
      <c r="C782" s="4">
        <v>45514</v>
      </c>
      <c r="D782" s="6">
        <v>6</v>
      </c>
      <c r="E782" t="s">
        <v>2788</v>
      </c>
      <c r="F782" t="s">
        <v>2788</v>
      </c>
      <c r="G782" t="s">
        <v>2788</v>
      </c>
      <c r="H782" t="s">
        <v>2416</v>
      </c>
      <c r="I782" t="s">
        <v>162</v>
      </c>
      <c r="J782" t="s">
        <v>37</v>
      </c>
      <c r="K782" t="s">
        <v>63</v>
      </c>
      <c r="L782" t="s">
        <v>26</v>
      </c>
      <c r="M782" t="s">
        <v>109</v>
      </c>
      <c r="N782" t="s">
        <v>41</v>
      </c>
      <c r="O782" t="s">
        <v>66</v>
      </c>
      <c r="P782" t="s">
        <v>2417</v>
      </c>
      <c r="Q782" t="s">
        <v>44</v>
      </c>
      <c r="R782">
        <v>4</v>
      </c>
      <c r="S782">
        <v>426.43</v>
      </c>
      <c r="T782">
        <v>0.2</v>
      </c>
      <c r="U782">
        <v>1364.58</v>
      </c>
      <c r="V782">
        <v>978.16</v>
      </c>
      <c r="W782">
        <v>386.42</v>
      </c>
      <c r="X782" t="s">
        <v>32</v>
      </c>
      <c r="Y782" t="s">
        <v>33</v>
      </c>
      <c r="Z782" t="str">
        <f t="shared" si="168"/>
        <v>Unique</v>
      </c>
      <c r="AA782" t="str">
        <f t="shared" si="169"/>
        <v>Unique</v>
      </c>
      <c r="AB782" t="str">
        <f t="shared" si="173"/>
        <v>OK</v>
      </c>
      <c r="AC782">
        <f t="shared" si="174"/>
        <v>0.2</v>
      </c>
      <c r="AD782" t="str">
        <f t="shared" si="175"/>
        <v>OK</v>
      </c>
      <c r="AE782">
        <f t="shared" si="176"/>
        <v>1364.576</v>
      </c>
      <c r="AF782">
        <f t="shared" si="177"/>
        <v>386.41600000000005</v>
      </c>
      <c r="AG782">
        <f t="shared" si="178"/>
        <v>0.28317660577351506</v>
      </c>
      <c r="AH782" t="str">
        <f t="shared" si="170"/>
        <v>August</v>
      </c>
      <c r="AI782">
        <f t="shared" si="171"/>
        <v>2024</v>
      </c>
      <c r="AJ782" t="str">
        <f t="shared" si="179"/>
        <v>OK</v>
      </c>
      <c r="AK782" t="str">
        <f t="shared" si="180"/>
        <v>OK</v>
      </c>
      <c r="AL782" t="str">
        <f t="shared" si="181"/>
        <v>Include</v>
      </c>
      <c r="AM782" t="str">
        <f t="shared" si="172"/>
        <v>Clean</v>
      </c>
    </row>
    <row r="783" spans="1:39">
      <c r="A783" t="s">
        <v>2418</v>
      </c>
      <c r="B783" s="4">
        <v>45324</v>
      </c>
      <c r="C783" s="4">
        <v>45332</v>
      </c>
      <c r="D783" s="6">
        <v>8</v>
      </c>
      <c r="E783" t="s">
        <v>2788</v>
      </c>
      <c r="F783" t="s">
        <v>2788</v>
      </c>
      <c r="G783" t="s">
        <v>2788</v>
      </c>
      <c r="H783" t="s">
        <v>2419</v>
      </c>
      <c r="I783" t="s">
        <v>23</v>
      </c>
      <c r="J783" t="s">
        <v>95</v>
      </c>
      <c r="K783" t="s">
        <v>63</v>
      </c>
      <c r="L783" t="s">
        <v>26</v>
      </c>
      <c r="M783" t="s">
        <v>109</v>
      </c>
      <c r="N783" t="s">
        <v>28</v>
      </c>
      <c r="O783" t="s">
        <v>91</v>
      </c>
      <c r="P783" t="s">
        <v>2420</v>
      </c>
      <c r="Q783" t="s">
        <v>50</v>
      </c>
      <c r="R783">
        <v>3</v>
      </c>
      <c r="S783">
        <v>383.4</v>
      </c>
      <c r="T783">
        <v>0.25</v>
      </c>
      <c r="U783">
        <v>862.65</v>
      </c>
      <c r="V783">
        <v>603.73</v>
      </c>
      <c r="W783">
        <v>258.92</v>
      </c>
      <c r="X783" t="s">
        <v>111</v>
      </c>
      <c r="Y783" t="s">
        <v>103</v>
      </c>
      <c r="Z783" t="str">
        <f t="shared" si="168"/>
        <v>Unique</v>
      </c>
      <c r="AA783" t="str">
        <f t="shared" si="169"/>
        <v>Unique</v>
      </c>
      <c r="AB783" t="str">
        <f t="shared" si="173"/>
        <v>OK</v>
      </c>
      <c r="AC783">
        <f t="shared" si="174"/>
        <v>0.25</v>
      </c>
      <c r="AD783" t="str">
        <f t="shared" si="175"/>
        <v>OK</v>
      </c>
      <c r="AE783">
        <f t="shared" si="176"/>
        <v>862.64999999999986</v>
      </c>
      <c r="AF783">
        <f t="shared" si="177"/>
        <v>258.91999999999985</v>
      </c>
      <c r="AG783">
        <f t="shared" si="178"/>
        <v>0.30014490233582553</v>
      </c>
      <c r="AH783" t="str">
        <f t="shared" si="170"/>
        <v>February</v>
      </c>
      <c r="AI783">
        <f t="shared" si="171"/>
        <v>2024</v>
      </c>
      <c r="AJ783" t="str">
        <f t="shared" si="179"/>
        <v>OK</v>
      </c>
      <c r="AK783" t="str">
        <f t="shared" si="180"/>
        <v>OK</v>
      </c>
      <c r="AL783" t="str">
        <f t="shared" si="181"/>
        <v>Exclude</v>
      </c>
      <c r="AM783" t="str">
        <f t="shared" si="172"/>
        <v>Clean</v>
      </c>
    </row>
    <row r="784" spans="1:39">
      <c r="A784" t="s">
        <v>2421</v>
      </c>
      <c r="B784" s="4">
        <v>45730</v>
      </c>
      <c r="C784" s="4">
        <v>45738</v>
      </c>
      <c r="D784" s="6">
        <v>8</v>
      </c>
      <c r="E784" t="s">
        <v>2788</v>
      </c>
      <c r="F784" t="s">
        <v>2788</v>
      </c>
      <c r="G784" t="s">
        <v>2788</v>
      </c>
      <c r="H784" t="s">
        <v>2422</v>
      </c>
      <c r="I784" t="s">
        <v>36</v>
      </c>
      <c r="J784" t="s">
        <v>90</v>
      </c>
      <c r="K784" t="s">
        <v>38</v>
      </c>
      <c r="L784" t="s">
        <v>99</v>
      </c>
      <c r="M784" t="s">
        <v>100</v>
      </c>
      <c r="N784" t="s">
        <v>74</v>
      </c>
      <c r="O784" t="s">
        <v>80</v>
      </c>
      <c r="P784" t="s">
        <v>2423</v>
      </c>
      <c r="Q784" t="s">
        <v>59</v>
      </c>
      <c r="R784">
        <v>2</v>
      </c>
      <c r="S784">
        <v>669.63</v>
      </c>
      <c r="T784">
        <v>0.15</v>
      </c>
      <c r="U784">
        <v>1138.3699999999999</v>
      </c>
      <c r="V784">
        <v>797.34</v>
      </c>
      <c r="W784">
        <v>341.03</v>
      </c>
      <c r="X784" t="s">
        <v>32</v>
      </c>
      <c r="Y784" t="s">
        <v>33</v>
      </c>
      <c r="Z784" t="str">
        <f t="shared" si="168"/>
        <v>Unique</v>
      </c>
      <c r="AA784" t="str">
        <f t="shared" si="169"/>
        <v>Unique</v>
      </c>
      <c r="AB784" t="str">
        <f t="shared" si="173"/>
        <v>OK</v>
      </c>
      <c r="AC784">
        <f t="shared" si="174"/>
        <v>0.15</v>
      </c>
      <c r="AD784" t="str">
        <f t="shared" si="175"/>
        <v>OK</v>
      </c>
      <c r="AE784">
        <f t="shared" si="176"/>
        <v>1138.3709999999999</v>
      </c>
      <c r="AF784">
        <f t="shared" si="177"/>
        <v>341.03099999999984</v>
      </c>
      <c r="AG784">
        <f t="shared" si="178"/>
        <v>0.29957808131092578</v>
      </c>
      <c r="AH784" t="str">
        <f t="shared" si="170"/>
        <v>March</v>
      </c>
      <c r="AI784">
        <f t="shared" si="171"/>
        <v>2025</v>
      </c>
      <c r="AJ784" t="str">
        <f t="shared" si="179"/>
        <v>OK</v>
      </c>
      <c r="AK784" t="str">
        <f t="shared" si="180"/>
        <v>OK</v>
      </c>
      <c r="AL784" t="str">
        <f t="shared" si="181"/>
        <v>Include</v>
      </c>
      <c r="AM784" t="str">
        <f t="shared" si="172"/>
        <v>Clean</v>
      </c>
    </row>
    <row r="785" spans="1:39">
      <c r="A785" t="s">
        <v>2424</v>
      </c>
      <c r="B785" s="4">
        <v>45450</v>
      </c>
      <c r="C785" s="4">
        <v>45450</v>
      </c>
      <c r="D785" s="6">
        <v>0</v>
      </c>
      <c r="E785" t="s">
        <v>2788</v>
      </c>
      <c r="F785" t="s">
        <v>2788</v>
      </c>
      <c r="G785" t="s">
        <v>2788</v>
      </c>
      <c r="H785" t="s">
        <v>2425</v>
      </c>
      <c r="I785" t="s">
        <v>128</v>
      </c>
      <c r="J785" t="s">
        <v>37</v>
      </c>
      <c r="K785" t="s">
        <v>38</v>
      </c>
      <c r="L785" t="s">
        <v>145</v>
      </c>
      <c r="M785" t="s">
        <v>146</v>
      </c>
      <c r="N785" t="s">
        <v>28</v>
      </c>
      <c r="O785" t="s">
        <v>48</v>
      </c>
      <c r="P785" t="s">
        <v>2426</v>
      </c>
      <c r="Q785" t="s">
        <v>31</v>
      </c>
      <c r="R785">
        <v>1</v>
      </c>
      <c r="S785">
        <v>2581.9299999999998</v>
      </c>
      <c r="T785">
        <v>0.05</v>
      </c>
      <c r="U785">
        <v>2452.83</v>
      </c>
      <c r="V785">
        <v>1906.7</v>
      </c>
      <c r="W785">
        <v>546.13</v>
      </c>
      <c r="X785" t="s">
        <v>32</v>
      </c>
      <c r="Y785" t="s">
        <v>33</v>
      </c>
      <c r="Z785" t="str">
        <f t="shared" si="168"/>
        <v>Unique</v>
      </c>
      <c r="AA785" t="str">
        <f t="shared" si="169"/>
        <v>Unique</v>
      </c>
      <c r="AB785" t="str">
        <f t="shared" si="173"/>
        <v>OK</v>
      </c>
      <c r="AC785">
        <f t="shared" si="174"/>
        <v>0.05</v>
      </c>
      <c r="AD785" t="str">
        <f t="shared" si="175"/>
        <v>OK</v>
      </c>
      <c r="AE785">
        <f t="shared" si="176"/>
        <v>2452.8334999999997</v>
      </c>
      <c r="AF785">
        <f t="shared" si="177"/>
        <v>546.13349999999969</v>
      </c>
      <c r="AG785">
        <f t="shared" si="178"/>
        <v>0.22265412634000625</v>
      </c>
      <c r="AH785" t="str">
        <f t="shared" si="170"/>
        <v>June</v>
      </c>
      <c r="AI785">
        <f t="shared" si="171"/>
        <v>2024</v>
      </c>
      <c r="AJ785" t="str">
        <f t="shared" si="179"/>
        <v>OK</v>
      </c>
      <c r="AK785" t="str">
        <f t="shared" si="180"/>
        <v>OK</v>
      </c>
      <c r="AL785" t="str">
        <f t="shared" si="181"/>
        <v>Include</v>
      </c>
      <c r="AM785" t="str">
        <f t="shared" si="172"/>
        <v>Clean</v>
      </c>
    </row>
    <row r="786" spans="1:39">
      <c r="A786" t="s">
        <v>2427</v>
      </c>
      <c r="B786" s="4">
        <v>45934</v>
      </c>
      <c r="C786" s="4">
        <v>45935</v>
      </c>
      <c r="D786" s="6">
        <v>1</v>
      </c>
      <c r="E786" t="s">
        <v>2788</v>
      </c>
      <c r="F786" t="s">
        <v>2788</v>
      </c>
      <c r="G786" t="s">
        <v>2788</v>
      </c>
      <c r="H786" t="s">
        <v>2428</v>
      </c>
      <c r="I786" t="s">
        <v>114</v>
      </c>
      <c r="J786" t="s">
        <v>90</v>
      </c>
      <c r="K786" t="s">
        <v>25</v>
      </c>
      <c r="L786" t="s">
        <v>122</v>
      </c>
      <c r="M786" t="s">
        <v>123</v>
      </c>
      <c r="N786" t="s">
        <v>74</v>
      </c>
      <c r="O786" t="s">
        <v>80</v>
      </c>
      <c r="P786" t="s">
        <v>2429</v>
      </c>
      <c r="Q786" t="s">
        <v>50</v>
      </c>
      <c r="R786">
        <v>4</v>
      </c>
      <c r="S786">
        <v>418.18</v>
      </c>
      <c r="T786">
        <v>0.05</v>
      </c>
      <c r="U786">
        <v>1589.08</v>
      </c>
      <c r="V786">
        <v>1084.6600000000001</v>
      </c>
      <c r="W786">
        <v>504.42</v>
      </c>
      <c r="X786" t="s">
        <v>32</v>
      </c>
      <c r="Y786" t="s">
        <v>33</v>
      </c>
      <c r="Z786" t="str">
        <f t="shared" si="168"/>
        <v>Unique</v>
      </c>
      <c r="AA786" t="str">
        <f t="shared" si="169"/>
        <v>Unique</v>
      </c>
      <c r="AB786" t="str">
        <f t="shared" si="173"/>
        <v>OK</v>
      </c>
      <c r="AC786">
        <f t="shared" si="174"/>
        <v>0.05</v>
      </c>
      <c r="AD786" t="str">
        <f t="shared" si="175"/>
        <v>OK</v>
      </c>
      <c r="AE786">
        <f t="shared" si="176"/>
        <v>1589.0840000000001</v>
      </c>
      <c r="AF786">
        <f t="shared" si="177"/>
        <v>504.42399999999998</v>
      </c>
      <c r="AG786">
        <f t="shared" si="178"/>
        <v>0.31743067075120002</v>
      </c>
      <c r="AH786" t="str">
        <f t="shared" si="170"/>
        <v>October</v>
      </c>
      <c r="AI786">
        <f t="shared" si="171"/>
        <v>2025</v>
      </c>
      <c r="AJ786" t="str">
        <f t="shared" si="179"/>
        <v>OK</v>
      </c>
      <c r="AK786" t="str">
        <f t="shared" si="180"/>
        <v>OK</v>
      </c>
      <c r="AL786" t="str">
        <f t="shared" si="181"/>
        <v>Include</v>
      </c>
      <c r="AM786" t="str">
        <f t="shared" si="172"/>
        <v>Clean</v>
      </c>
    </row>
    <row r="787" spans="1:39">
      <c r="A787" t="s">
        <v>2430</v>
      </c>
      <c r="B787" s="4">
        <v>45435</v>
      </c>
      <c r="C787" s="4">
        <v>45441</v>
      </c>
      <c r="D787" s="6">
        <v>6</v>
      </c>
      <c r="E787" t="s">
        <v>2788</v>
      </c>
      <c r="F787" t="s">
        <v>2788</v>
      </c>
      <c r="G787" t="s">
        <v>2788</v>
      </c>
      <c r="H787" t="s">
        <v>2431</v>
      </c>
      <c r="I787" t="s">
        <v>162</v>
      </c>
      <c r="J787" t="s">
        <v>37</v>
      </c>
      <c r="K787" t="s">
        <v>25</v>
      </c>
      <c r="L787" t="s">
        <v>236</v>
      </c>
      <c r="M787" t="s">
        <v>237</v>
      </c>
      <c r="N787" t="s">
        <v>28</v>
      </c>
      <c r="O787" t="s">
        <v>124</v>
      </c>
      <c r="P787" t="s">
        <v>2432</v>
      </c>
      <c r="Q787" t="s">
        <v>44</v>
      </c>
      <c r="R787">
        <v>2</v>
      </c>
      <c r="S787">
        <v>3012.94</v>
      </c>
      <c r="T787">
        <v>0.25</v>
      </c>
      <c r="U787">
        <v>4519.41</v>
      </c>
      <c r="V787">
        <v>3504.16</v>
      </c>
      <c r="W787">
        <v>1275.55</v>
      </c>
      <c r="X787" t="s">
        <v>155</v>
      </c>
      <c r="Y787" t="s">
        <v>68</v>
      </c>
      <c r="Z787" t="str">
        <f t="shared" si="168"/>
        <v>Unique</v>
      </c>
      <c r="AA787" t="str">
        <f t="shared" si="169"/>
        <v>Unique</v>
      </c>
      <c r="AB787" t="str">
        <f t="shared" si="173"/>
        <v>OK</v>
      </c>
      <c r="AC787">
        <f t="shared" si="174"/>
        <v>0.25</v>
      </c>
      <c r="AD787" t="str">
        <f t="shared" si="175"/>
        <v>OK</v>
      </c>
      <c r="AE787">
        <f t="shared" si="176"/>
        <v>4519.41</v>
      </c>
      <c r="AF787">
        <f t="shared" si="177"/>
        <v>1015.25</v>
      </c>
      <c r="AG787">
        <f t="shared" si="178"/>
        <v>0.22464215461752751</v>
      </c>
      <c r="AH787" t="str">
        <f t="shared" si="170"/>
        <v>May</v>
      </c>
      <c r="AI787">
        <f t="shared" si="171"/>
        <v>2024</v>
      </c>
      <c r="AJ787" t="str">
        <f t="shared" si="179"/>
        <v>OK</v>
      </c>
      <c r="AK787" t="str">
        <f t="shared" si="180"/>
        <v>Profit Mismatch</v>
      </c>
      <c r="AL787" t="str">
        <f t="shared" si="181"/>
        <v>Exclude</v>
      </c>
      <c r="AM787" t="str">
        <f t="shared" si="172"/>
        <v>Warning</v>
      </c>
    </row>
    <row r="788" spans="1:39">
      <c r="A788" t="s">
        <v>2433</v>
      </c>
      <c r="B788" s="4">
        <v>45844</v>
      </c>
      <c r="C788" s="4">
        <v>45846</v>
      </c>
      <c r="D788" s="6">
        <v>2</v>
      </c>
      <c r="E788" t="s">
        <v>2788</v>
      </c>
      <c r="F788" t="s">
        <v>2788</v>
      </c>
      <c r="G788" t="s">
        <v>2788</v>
      </c>
      <c r="H788" t="s">
        <v>2434</v>
      </c>
      <c r="I788" t="s">
        <v>62</v>
      </c>
      <c r="J788" t="s">
        <v>90</v>
      </c>
      <c r="K788" t="s">
        <v>25</v>
      </c>
      <c r="L788" t="s">
        <v>26</v>
      </c>
      <c r="M788" t="s">
        <v>27</v>
      </c>
      <c r="N788" t="s">
        <v>41</v>
      </c>
      <c r="O788" t="s">
        <v>57</v>
      </c>
      <c r="P788" t="s">
        <v>2435</v>
      </c>
      <c r="Q788" t="s">
        <v>2783</v>
      </c>
      <c r="R788">
        <v>4</v>
      </c>
      <c r="S788">
        <v>715.45</v>
      </c>
      <c r="T788">
        <v>0.05</v>
      </c>
      <c r="U788">
        <v>2718.71</v>
      </c>
      <c r="V788">
        <v>2065.0500000000002</v>
      </c>
      <c r="W788">
        <v>653.66</v>
      </c>
      <c r="X788" t="s">
        <v>102</v>
      </c>
      <c r="Y788" t="s">
        <v>103</v>
      </c>
      <c r="Z788" t="str">
        <f t="shared" si="168"/>
        <v>Unique</v>
      </c>
      <c r="AA788" t="str">
        <f t="shared" si="169"/>
        <v>Unique</v>
      </c>
      <c r="AB788" t="str">
        <f t="shared" si="173"/>
        <v>OK</v>
      </c>
      <c r="AC788">
        <f t="shared" si="174"/>
        <v>0.05</v>
      </c>
      <c r="AD788" t="str">
        <f t="shared" si="175"/>
        <v>OK</v>
      </c>
      <c r="AE788">
        <f t="shared" si="176"/>
        <v>2718.71</v>
      </c>
      <c r="AF788">
        <f t="shared" si="177"/>
        <v>653.65999999999985</v>
      </c>
      <c r="AG788">
        <f t="shared" si="178"/>
        <v>0.24043020403058799</v>
      </c>
      <c r="AH788" t="str">
        <f t="shared" si="170"/>
        <v>July</v>
      </c>
      <c r="AI788">
        <f t="shared" si="171"/>
        <v>2025</v>
      </c>
      <c r="AJ788" t="str">
        <f t="shared" si="179"/>
        <v>OK</v>
      </c>
      <c r="AK788" t="str">
        <f t="shared" si="180"/>
        <v>OK</v>
      </c>
      <c r="AL788" t="str">
        <f t="shared" si="181"/>
        <v>Exclude</v>
      </c>
      <c r="AM788" t="str">
        <f t="shared" si="172"/>
        <v>Clean</v>
      </c>
    </row>
    <row r="789" spans="1:39">
      <c r="A789" t="s">
        <v>2436</v>
      </c>
      <c r="B789" s="4">
        <v>45547</v>
      </c>
      <c r="C789" s="4">
        <v>45553</v>
      </c>
      <c r="D789" s="6">
        <v>6</v>
      </c>
      <c r="E789" t="s">
        <v>2788</v>
      </c>
      <c r="F789" t="s">
        <v>2788</v>
      </c>
      <c r="G789" t="s">
        <v>2788</v>
      </c>
      <c r="H789" t="s">
        <v>2437</v>
      </c>
      <c r="I789" t="s">
        <v>62</v>
      </c>
      <c r="J789" t="s">
        <v>95</v>
      </c>
      <c r="K789" t="s">
        <v>38</v>
      </c>
      <c r="L789" t="s">
        <v>145</v>
      </c>
      <c r="M789" t="s">
        <v>146</v>
      </c>
      <c r="N789" t="s">
        <v>28</v>
      </c>
      <c r="O789" t="s">
        <v>29</v>
      </c>
      <c r="P789" t="s">
        <v>2438</v>
      </c>
      <c r="Q789" t="s">
        <v>31</v>
      </c>
      <c r="R789">
        <v>2</v>
      </c>
      <c r="S789">
        <v>3718.77</v>
      </c>
      <c r="T789">
        <v>0.05</v>
      </c>
      <c r="U789">
        <v>7065.66</v>
      </c>
      <c r="V789">
        <v>4915.2700000000004</v>
      </c>
      <c r="W789">
        <v>2150.39</v>
      </c>
      <c r="X789" t="s">
        <v>32</v>
      </c>
      <c r="Y789" t="s">
        <v>33</v>
      </c>
      <c r="Z789" t="str">
        <f t="shared" si="168"/>
        <v>Unique</v>
      </c>
      <c r="AA789" t="str">
        <f t="shared" si="169"/>
        <v>Unique</v>
      </c>
      <c r="AB789" t="str">
        <f t="shared" si="173"/>
        <v>OK</v>
      </c>
      <c r="AC789">
        <f t="shared" si="174"/>
        <v>0.05</v>
      </c>
      <c r="AD789" t="str">
        <f t="shared" si="175"/>
        <v>OK</v>
      </c>
      <c r="AE789">
        <f t="shared" si="176"/>
        <v>7065.6629999999996</v>
      </c>
      <c r="AF789">
        <f t="shared" si="177"/>
        <v>2150.3929999999991</v>
      </c>
      <c r="AG789">
        <f t="shared" si="178"/>
        <v>0.30434412170521002</v>
      </c>
      <c r="AH789" t="str">
        <f t="shared" si="170"/>
        <v>September</v>
      </c>
      <c r="AI789">
        <f t="shared" si="171"/>
        <v>2024</v>
      </c>
      <c r="AJ789" t="str">
        <f t="shared" si="179"/>
        <v>OK</v>
      </c>
      <c r="AK789" t="str">
        <f t="shared" si="180"/>
        <v>OK</v>
      </c>
      <c r="AL789" t="str">
        <f t="shared" si="181"/>
        <v>Include</v>
      </c>
      <c r="AM789" t="str">
        <f t="shared" si="172"/>
        <v>Clean</v>
      </c>
    </row>
    <row r="790" spans="1:39">
      <c r="A790" t="s">
        <v>2439</v>
      </c>
      <c r="B790" s="4">
        <v>45505</v>
      </c>
      <c r="C790" s="4">
        <v>45506</v>
      </c>
      <c r="D790" s="6">
        <v>1</v>
      </c>
      <c r="E790" t="s">
        <v>2788</v>
      </c>
      <c r="F790" t="s">
        <v>2788</v>
      </c>
      <c r="G790" t="s">
        <v>2788</v>
      </c>
      <c r="H790" t="s">
        <v>2440</v>
      </c>
      <c r="I790" t="s">
        <v>47</v>
      </c>
      <c r="J790" t="s">
        <v>90</v>
      </c>
      <c r="K790" t="s">
        <v>25</v>
      </c>
      <c r="L790" t="s">
        <v>136</v>
      </c>
      <c r="M790" t="s">
        <v>137</v>
      </c>
      <c r="N790" t="s">
        <v>41</v>
      </c>
      <c r="O790" t="s">
        <v>66</v>
      </c>
      <c r="P790" t="s">
        <v>2441</v>
      </c>
      <c r="Q790" t="s">
        <v>59</v>
      </c>
      <c r="R790">
        <v>8</v>
      </c>
      <c r="S790">
        <v>2487.64</v>
      </c>
      <c r="T790">
        <v>0.1</v>
      </c>
      <c r="U790">
        <v>17911.009999999998</v>
      </c>
      <c r="V790">
        <v>11546.05</v>
      </c>
      <c r="W790">
        <v>6364.96</v>
      </c>
      <c r="X790" t="s">
        <v>155</v>
      </c>
      <c r="Y790" t="s">
        <v>103</v>
      </c>
      <c r="Z790" t="str">
        <f t="shared" si="168"/>
        <v>Unique</v>
      </c>
      <c r="AA790" t="str">
        <f t="shared" si="169"/>
        <v>Unique</v>
      </c>
      <c r="AB790" t="str">
        <f t="shared" si="173"/>
        <v>OK</v>
      </c>
      <c r="AC790">
        <f t="shared" si="174"/>
        <v>0.1</v>
      </c>
      <c r="AD790" t="str">
        <f t="shared" si="175"/>
        <v>OK</v>
      </c>
      <c r="AE790">
        <f t="shared" si="176"/>
        <v>17911.007999999998</v>
      </c>
      <c r="AF790">
        <f t="shared" si="177"/>
        <v>6364.9579999999987</v>
      </c>
      <c r="AG790">
        <f t="shared" si="178"/>
        <v>0.35536570582738836</v>
      </c>
      <c r="AH790" t="str">
        <f t="shared" si="170"/>
        <v>August</v>
      </c>
      <c r="AI790">
        <f t="shared" si="171"/>
        <v>2024</v>
      </c>
      <c r="AJ790" t="str">
        <f t="shared" si="179"/>
        <v>OK</v>
      </c>
      <c r="AK790" t="str">
        <f t="shared" si="180"/>
        <v>OK</v>
      </c>
      <c r="AL790" t="str">
        <f t="shared" si="181"/>
        <v>Exclude</v>
      </c>
      <c r="AM790" t="str">
        <f t="shared" si="172"/>
        <v>Clean</v>
      </c>
    </row>
    <row r="791" spans="1:39">
      <c r="A791" t="s">
        <v>2442</v>
      </c>
      <c r="B791" s="4">
        <v>45723</v>
      </c>
      <c r="C791" s="4">
        <v>45724</v>
      </c>
      <c r="D791" s="6">
        <v>1</v>
      </c>
      <c r="E791" t="s">
        <v>2788</v>
      </c>
      <c r="F791" t="s">
        <v>2788</v>
      </c>
      <c r="G791" t="s">
        <v>2788</v>
      </c>
      <c r="H791" t="s">
        <v>2443</v>
      </c>
      <c r="I791" t="s">
        <v>114</v>
      </c>
      <c r="J791" t="s">
        <v>95</v>
      </c>
      <c r="K791" t="s">
        <v>2783</v>
      </c>
      <c r="L791" t="s">
        <v>26</v>
      </c>
      <c r="M791" t="s">
        <v>109</v>
      </c>
      <c r="N791" t="s">
        <v>74</v>
      </c>
      <c r="O791" t="s">
        <v>80</v>
      </c>
      <c r="P791" t="s">
        <v>2444</v>
      </c>
      <c r="Q791" t="s">
        <v>44</v>
      </c>
      <c r="R791">
        <v>4</v>
      </c>
      <c r="S791">
        <v>3537.48</v>
      </c>
      <c r="T791">
        <v>0</v>
      </c>
      <c r="U791">
        <v>14149.92</v>
      </c>
      <c r="V791">
        <v>9466.51</v>
      </c>
      <c r="W791">
        <v>4683.41</v>
      </c>
      <c r="X791" t="s">
        <v>32</v>
      </c>
      <c r="Y791" t="s">
        <v>33</v>
      </c>
      <c r="Z791" t="str">
        <f t="shared" si="168"/>
        <v>Unique</v>
      </c>
      <c r="AA791" t="str">
        <f t="shared" si="169"/>
        <v>Unique</v>
      </c>
      <c r="AB791" t="str">
        <f t="shared" si="173"/>
        <v>OK</v>
      </c>
      <c r="AC791">
        <f t="shared" si="174"/>
        <v>0</v>
      </c>
      <c r="AD791" t="str">
        <f t="shared" si="175"/>
        <v>OK</v>
      </c>
      <c r="AE791">
        <f t="shared" si="176"/>
        <v>14149.92</v>
      </c>
      <c r="AF791">
        <f t="shared" si="177"/>
        <v>4683.41</v>
      </c>
      <c r="AG791">
        <f t="shared" si="178"/>
        <v>0.33098491016203624</v>
      </c>
      <c r="AH791" t="str">
        <f t="shared" si="170"/>
        <v>March</v>
      </c>
      <c r="AI791">
        <f t="shared" si="171"/>
        <v>2025</v>
      </c>
      <c r="AJ791" t="str">
        <f t="shared" si="179"/>
        <v>OK</v>
      </c>
      <c r="AK791" t="str">
        <f t="shared" si="180"/>
        <v>OK</v>
      </c>
      <c r="AL791" t="str">
        <f t="shared" si="181"/>
        <v>Include</v>
      </c>
      <c r="AM791" t="str">
        <f t="shared" si="172"/>
        <v>Clean</v>
      </c>
    </row>
    <row r="792" spans="1:39">
      <c r="A792" t="s">
        <v>2445</v>
      </c>
      <c r="B792" s="4">
        <v>45443</v>
      </c>
      <c r="C792" s="4">
        <v>45445</v>
      </c>
      <c r="D792" s="6">
        <v>2</v>
      </c>
      <c r="E792" t="s">
        <v>2788</v>
      </c>
      <c r="F792" t="s">
        <v>2788</v>
      </c>
      <c r="G792" t="s">
        <v>2788</v>
      </c>
      <c r="H792" t="s">
        <v>2446</v>
      </c>
      <c r="I792" t="s">
        <v>118</v>
      </c>
      <c r="J792" t="s">
        <v>90</v>
      </c>
      <c r="K792" t="s">
        <v>54</v>
      </c>
      <c r="L792" t="s">
        <v>84</v>
      </c>
      <c r="M792" t="s">
        <v>85</v>
      </c>
      <c r="N792" t="s">
        <v>28</v>
      </c>
      <c r="O792" t="s">
        <v>48</v>
      </c>
      <c r="P792" t="s">
        <v>2447</v>
      </c>
      <c r="Q792" t="s">
        <v>59</v>
      </c>
      <c r="R792">
        <v>8</v>
      </c>
      <c r="S792">
        <v>667.59</v>
      </c>
      <c r="T792">
        <v>0.2</v>
      </c>
      <c r="U792">
        <v>4272.58</v>
      </c>
      <c r="V792">
        <v>3328.92</v>
      </c>
      <c r="W792">
        <v>943.66</v>
      </c>
      <c r="X792" t="s">
        <v>32</v>
      </c>
      <c r="Y792" t="s">
        <v>33</v>
      </c>
      <c r="Z792" t="str">
        <f t="shared" si="168"/>
        <v>Unique</v>
      </c>
      <c r="AA792" t="str">
        <f t="shared" si="169"/>
        <v>Unique</v>
      </c>
      <c r="AB792" t="str">
        <f t="shared" si="173"/>
        <v>OK</v>
      </c>
      <c r="AC792">
        <f t="shared" si="174"/>
        <v>0.2</v>
      </c>
      <c r="AD792" t="str">
        <f t="shared" si="175"/>
        <v>OK</v>
      </c>
      <c r="AE792">
        <f t="shared" si="176"/>
        <v>4272.576</v>
      </c>
      <c r="AF792">
        <f t="shared" si="177"/>
        <v>943.65599999999995</v>
      </c>
      <c r="AG792">
        <f t="shared" si="178"/>
        <v>0.22086347908147214</v>
      </c>
      <c r="AH792" t="str">
        <f t="shared" si="170"/>
        <v>May</v>
      </c>
      <c r="AI792">
        <f t="shared" si="171"/>
        <v>2024</v>
      </c>
      <c r="AJ792" t="str">
        <f t="shared" si="179"/>
        <v>OK</v>
      </c>
      <c r="AK792" t="str">
        <f t="shared" si="180"/>
        <v>OK</v>
      </c>
      <c r="AL792" t="str">
        <f t="shared" si="181"/>
        <v>Include</v>
      </c>
      <c r="AM792" t="str">
        <f t="shared" si="172"/>
        <v>Clean</v>
      </c>
    </row>
    <row r="793" spans="1:39">
      <c r="A793" t="s">
        <v>2448</v>
      </c>
      <c r="B793" s="4">
        <v>45567</v>
      </c>
      <c r="C793" s="4">
        <v>45571</v>
      </c>
      <c r="D793" s="6">
        <v>4</v>
      </c>
      <c r="E793" t="s">
        <v>2788</v>
      </c>
      <c r="F793" t="s">
        <v>2788</v>
      </c>
      <c r="G793" t="s">
        <v>2788</v>
      </c>
      <c r="H793" t="s">
        <v>2449</v>
      </c>
      <c r="I793" t="s">
        <v>118</v>
      </c>
      <c r="J793" t="s">
        <v>95</v>
      </c>
      <c r="K793" t="s">
        <v>54</v>
      </c>
      <c r="L793" t="s">
        <v>175</v>
      </c>
      <c r="M793" t="s">
        <v>176</v>
      </c>
      <c r="N793" t="s">
        <v>41</v>
      </c>
      <c r="O793" t="s">
        <v>158</v>
      </c>
      <c r="P793" t="s">
        <v>2450</v>
      </c>
      <c r="Q793" t="s">
        <v>44</v>
      </c>
      <c r="R793">
        <v>8</v>
      </c>
      <c r="S793">
        <v>1558.77</v>
      </c>
      <c r="T793">
        <v>0.25</v>
      </c>
      <c r="U793">
        <v>9352.6200000000008</v>
      </c>
      <c r="V793">
        <v>5269.41</v>
      </c>
      <c r="W793">
        <v>4083.21</v>
      </c>
      <c r="X793" t="s">
        <v>32</v>
      </c>
      <c r="Y793" t="s">
        <v>33</v>
      </c>
      <c r="Z793" t="str">
        <f t="shared" si="168"/>
        <v>Unique</v>
      </c>
      <c r="AA793" t="str">
        <f t="shared" si="169"/>
        <v>Unique</v>
      </c>
      <c r="AB793" t="str">
        <f t="shared" si="173"/>
        <v>OK</v>
      </c>
      <c r="AC793">
        <f t="shared" si="174"/>
        <v>0.25</v>
      </c>
      <c r="AD793" t="str">
        <f t="shared" si="175"/>
        <v>OK</v>
      </c>
      <c r="AE793">
        <f t="shared" si="176"/>
        <v>9352.619999999999</v>
      </c>
      <c r="AF793">
        <f t="shared" si="177"/>
        <v>4083.2099999999991</v>
      </c>
      <c r="AG793">
        <f t="shared" si="178"/>
        <v>0.43658461479243243</v>
      </c>
      <c r="AH793" t="str">
        <f t="shared" si="170"/>
        <v>October</v>
      </c>
      <c r="AI793">
        <f t="shared" si="171"/>
        <v>2024</v>
      </c>
      <c r="AJ793" t="str">
        <f t="shared" si="179"/>
        <v>OK</v>
      </c>
      <c r="AK793" t="str">
        <f t="shared" si="180"/>
        <v>OK</v>
      </c>
      <c r="AL793" t="str">
        <f t="shared" si="181"/>
        <v>Include</v>
      </c>
      <c r="AM793" t="str">
        <f t="shared" si="172"/>
        <v>Clean</v>
      </c>
    </row>
    <row r="794" spans="1:39">
      <c r="A794" t="s">
        <v>2451</v>
      </c>
      <c r="B794" s="4">
        <v>45812</v>
      </c>
      <c r="C794" s="4">
        <v>45816</v>
      </c>
      <c r="D794" s="6">
        <v>4</v>
      </c>
      <c r="E794" t="s">
        <v>2788</v>
      </c>
      <c r="F794" t="s">
        <v>2788</v>
      </c>
      <c r="G794" t="s">
        <v>2788</v>
      </c>
      <c r="H794" t="s">
        <v>2452</v>
      </c>
      <c r="I794" t="s">
        <v>53</v>
      </c>
      <c r="J794" t="s">
        <v>37</v>
      </c>
      <c r="K794" t="s">
        <v>38</v>
      </c>
      <c r="L794" t="s">
        <v>166</v>
      </c>
      <c r="M794" t="s">
        <v>167</v>
      </c>
      <c r="N794" t="s">
        <v>41</v>
      </c>
      <c r="O794" t="s">
        <v>57</v>
      </c>
      <c r="P794" t="s">
        <v>2453</v>
      </c>
      <c r="Q794" t="s">
        <v>31</v>
      </c>
      <c r="R794">
        <v>1</v>
      </c>
      <c r="S794">
        <v>3501.12</v>
      </c>
      <c r="T794">
        <v>0.2</v>
      </c>
      <c r="U794">
        <v>2800.9</v>
      </c>
      <c r="V794">
        <v>1735.98</v>
      </c>
      <c r="W794">
        <v>1064.92</v>
      </c>
      <c r="X794" t="s">
        <v>32</v>
      </c>
      <c r="Y794" t="s">
        <v>103</v>
      </c>
      <c r="Z794" t="str">
        <f t="shared" si="168"/>
        <v>Unique</v>
      </c>
      <c r="AA794" t="str">
        <f t="shared" si="169"/>
        <v>Unique</v>
      </c>
      <c r="AB794" t="str">
        <f t="shared" si="173"/>
        <v>OK</v>
      </c>
      <c r="AC794">
        <f t="shared" si="174"/>
        <v>0.2</v>
      </c>
      <c r="AD794" t="str">
        <f t="shared" si="175"/>
        <v>OK</v>
      </c>
      <c r="AE794">
        <f t="shared" si="176"/>
        <v>2800.8960000000002</v>
      </c>
      <c r="AF794">
        <f t="shared" si="177"/>
        <v>1064.9160000000002</v>
      </c>
      <c r="AG794">
        <f t="shared" si="178"/>
        <v>0.38020547710446945</v>
      </c>
      <c r="AH794" t="str">
        <f t="shared" si="170"/>
        <v>June</v>
      </c>
      <c r="AI794">
        <f t="shared" si="171"/>
        <v>2025</v>
      </c>
      <c r="AJ794" t="str">
        <f t="shared" si="179"/>
        <v>OK</v>
      </c>
      <c r="AK794" t="str">
        <f t="shared" si="180"/>
        <v>OK</v>
      </c>
      <c r="AL794" t="str">
        <f t="shared" si="181"/>
        <v>Exclude</v>
      </c>
      <c r="AM794" t="str">
        <f t="shared" si="172"/>
        <v>Clean</v>
      </c>
    </row>
    <row r="795" spans="1:39">
      <c r="A795" t="s">
        <v>2454</v>
      </c>
      <c r="B795" s="4">
        <v>45440</v>
      </c>
      <c r="C795" s="4">
        <v>45446</v>
      </c>
      <c r="D795" s="6">
        <v>6</v>
      </c>
      <c r="E795" t="s">
        <v>2788</v>
      </c>
      <c r="F795" t="s">
        <v>2788</v>
      </c>
      <c r="G795" t="s">
        <v>2788</v>
      </c>
      <c r="H795" t="s">
        <v>2455</v>
      </c>
      <c r="I795" t="s">
        <v>71</v>
      </c>
      <c r="J795" t="s">
        <v>90</v>
      </c>
      <c r="K795" t="s">
        <v>25</v>
      </c>
      <c r="L795" t="s">
        <v>26</v>
      </c>
      <c r="M795" t="s">
        <v>27</v>
      </c>
      <c r="N795" t="s">
        <v>74</v>
      </c>
      <c r="O795" t="s">
        <v>80</v>
      </c>
      <c r="P795" t="s">
        <v>2456</v>
      </c>
      <c r="Q795" t="s">
        <v>31</v>
      </c>
      <c r="R795">
        <v>5</v>
      </c>
      <c r="S795">
        <v>4302.32</v>
      </c>
      <c r="T795">
        <v>0</v>
      </c>
      <c r="U795">
        <v>21511.599999999999</v>
      </c>
      <c r="V795">
        <v>15408.47</v>
      </c>
      <c r="W795">
        <v>6103.13</v>
      </c>
      <c r="X795" t="s">
        <v>32</v>
      </c>
      <c r="Y795" t="s">
        <v>33</v>
      </c>
      <c r="Z795" t="str">
        <f t="shared" si="168"/>
        <v>Unique</v>
      </c>
      <c r="AA795" t="str">
        <f t="shared" si="169"/>
        <v>Unique</v>
      </c>
      <c r="AB795" t="str">
        <f t="shared" si="173"/>
        <v>OK</v>
      </c>
      <c r="AC795">
        <f t="shared" si="174"/>
        <v>0</v>
      </c>
      <c r="AD795" t="str">
        <f t="shared" si="175"/>
        <v>OK</v>
      </c>
      <c r="AE795">
        <f t="shared" si="176"/>
        <v>21511.599999999999</v>
      </c>
      <c r="AF795">
        <f t="shared" si="177"/>
        <v>6103.1299999999992</v>
      </c>
      <c r="AG795">
        <f t="shared" si="178"/>
        <v>0.28371343833094703</v>
      </c>
      <c r="AH795" t="str">
        <f t="shared" si="170"/>
        <v>May</v>
      </c>
      <c r="AI795">
        <f t="shared" si="171"/>
        <v>2024</v>
      </c>
      <c r="AJ795" t="str">
        <f t="shared" si="179"/>
        <v>OK</v>
      </c>
      <c r="AK795" t="str">
        <f t="shared" si="180"/>
        <v>OK</v>
      </c>
      <c r="AL795" t="str">
        <f t="shared" si="181"/>
        <v>Include</v>
      </c>
      <c r="AM795" t="str">
        <f t="shared" si="172"/>
        <v>Clean</v>
      </c>
    </row>
    <row r="796" spans="1:39">
      <c r="A796" t="s">
        <v>2457</v>
      </c>
      <c r="B796" s="4">
        <v>45830</v>
      </c>
      <c r="C796" s="4">
        <v>45832</v>
      </c>
      <c r="D796" s="6">
        <v>2</v>
      </c>
      <c r="E796" t="s">
        <v>2788</v>
      </c>
      <c r="F796" t="s">
        <v>2788</v>
      </c>
      <c r="G796" t="s">
        <v>2788</v>
      </c>
      <c r="H796" t="s">
        <v>2458</v>
      </c>
      <c r="I796" t="s">
        <v>132</v>
      </c>
      <c r="J796" t="s">
        <v>90</v>
      </c>
      <c r="K796" t="s">
        <v>38</v>
      </c>
      <c r="L796" t="s">
        <v>166</v>
      </c>
      <c r="M796" t="s">
        <v>167</v>
      </c>
      <c r="N796" t="s">
        <v>28</v>
      </c>
      <c r="O796" t="s">
        <v>29</v>
      </c>
      <c r="P796" t="s">
        <v>2459</v>
      </c>
      <c r="Q796" t="s">
        <v>59</v>
      </c>
      <c r="R796">
        <v>9</v>
      </c>
      <c r="S796">
        <v>951.55</v>
      </c>
      <c r="T796">
        <v>0.15</v>
      </c>
      <c r="U796">
        <v>7279.36</v>
      </c>
      <c r="V796">
        <v>4870.3900000000003</v>
      </c>
      <c r="W796">
        <v>2408.9699999999998</v>
      </c>
      <c r="X796" t="s">
        <v>32</v>
      </c>
      <c r="Y796" t="s">
        <v>33</v>
      </c>
      <c r="Z796" t="str">
        <f t="shared" si="168"/>
        <v>Unique</v>
      </c>
      <c r="AA796" t="str">
        <f t="shared" si="169"/>
        <v>Unique</v>
      </c>
      <c r="AB796" t="str">
        <f t="shared" si="173"/>
        <v>OK</v>
      </c>
      <c r="AC796">
        <f t="shared" si="174"/>
        <v>0.15</v>
      </c>
      <c r="AD796" t="str">
        <f t="shared" si="175"/>
        <v>OK</v>
      </c>
      <c r="AE796">
        <f t="shared" si="176"/>
        <v>7279.3574999999992</v>
      </c>
      <c r="AF796">
        <f t="shared" si="177"/>
        <v>2408.9674999999988</v>
      </c>
      <c r="AG796">
        <f t="shared" si="178"/>
        <v>0.33093133562955235</v>
      </c>
      <c r="AH796" t="str">
        <f t="shared" si="170"/>
        <v>June</v>
      </c>
      <c r="AI796">
        <f t="shared" si="171"/>
        <v>2025</v>
      </c>
      <c r="AJ796" t="str">
        <f t="shared" si="179"/>
        <v>OK</v>
      </c>
      <c r="AK796" t="str">
        <f t="shared" si="180"/>
        <v>OK</v>
      </c>
      <c r="AL796" t="str">
        <f t="shared" si="181"/>
        <v>Include</v>
      </c>
      <c r="AM796" t="str">
        <f t="shared" si="172"/>
        <v>Clean</v>
      </c>
    </row>
    <row r="797" spans="1:39">
      <c r="A797" t="s">
        <v>2460</v>
      </c>
      <c r="B797" s="4">
        <v>45503</v>
      </c>
      <c r="C797" s="4">
        <v>45503</v>
      </c>
      <c r="D797" s="6">
        <v>0</v>
      </c>
      <c r="E797" t="s">
        <v>2788</v>
      </c>
      <c r="F797" t="s">
        <v>2788</v>
      </c>
      <c r="G797" t="s">
        <v>2788</v>
      </c>
      <c r="H797" t="s">
        <v>2461</v>
      </c>
      <c r="I797" t="s">
        <v>162</v>
      </c>
      <c r="J797" t="s">
        <v>95</v>
      </c>
      <c r="K797" t="s">
        <v>38</v>
      </c>
      <c r="L797" t="s">
        <v>39</v>
      </c>
      <c r="M797" t="s">
        <v>40</v>
      </c>
      <c r="N797" t="s">
        <v>74</v>
      </c>
      <c r="O797" t="s">
        <v>80</v>
      </c>
      <c r="P797" t="s">
        <v>2462</v>
      </c>
      <c r="Q797" t="s">
        <v>44</v>
      </c>
      <c r="R797">
        <v>9</v>
      </c>
      <c r="S797">
        <v>2894.66</v>
      </c>
      <c r="T797">
        <v>0</v>
      </c>
      <c r="U797">
        <v>26051.94</v>
      </c>
      <c r="V797">
        <v>16883.59</v>
      </c>
      <c r="W797">
        <v>9168.35</v>
      </c>
      <c r="X797" t="s">
        <v>102</v>
      </c>
      <c r="Y797" t="s">
        <v>68</v>
      </c>
      <c r="Z797" t="str">
        <f t="shared" si="168"/>
        <v>Unique</v>
      </c>
      <c r="AA797" t="str">
        <f t="shared" si="169"/>
        <v>Unique</v>
      </c>
      <c r="AB797" t="str">
        <f t="shared" si="173"/>
        <v>OK</v>
      </c>
      <c r="AC797">
        <f t="shared" si="174"/>
        <v>0</v>
      </c>
      <c r="AD797" t="str">
        <f t="shared" si="175"/>
        <v>OK</v>
      </c>
      <c r="AE797">
        <f t="shared" si="176"/>
        <v>26051.94</v>
      </c>
      <c r="AF797">
        <f t="shared" si="177"/>
        <v>9168.3499999999985</v>
      </c>
      <c r="AG797">
        <f t="shared" si="178"/>
        <v>0.3519258066769691</v>
      </c>
      <c r="AH797" t="str">
        <f t="shared" si="170"/>
        <v>July</v>
      </c>
      <c r="AI797">
        <f t="shared" si="171"/>
        <v>2024</v>
      </c>
      <c r="AJ797" t="str">
        <f t="shared" si="179"/>
        <v>OK</v>
      </c>
      <c r="AK797" t="str">
        <f t="shared" si="180"/>
        <v>OK</v>
      </c>
      <c r="AL797" t="str">
        <f t="shared" si="181"/>
        <v>Exclude</v>
      </c>
      <c r="AM797" t="str">
        <f t="shared" si="172"/>
        <v>Clean</v>
      </c>
    </row>
    <row r="798" spans="1:39">
      <c r="A798" t="s">
        <v>2463</v>
      </c>
      <c r="B798" s="4">
        <v>45374</v>
      </c>
      <c r="C798" s="4">
        <v>45381</v>
      </c>
      <c r="D798" s="6">
        <v>7</v>
      </c>
      <c r="E798" t="s">
        <v>2788</v>
      </c>
      <c r="F798" t="s">
        <v>2788</v>
      </c>
      <c r="G798" t="s">
        <v>2788</v>
      </c>
      <c r="H798" t="s">
        <v>2464</v>
      </c>
      <c r="I798" t="s">
        <v>141</v>
      </c>
      <c r="J798" t="s">
        <v>37</v>
      </c>
      <c r="K798" t="s">
        <v>54</v>
      </c>
      <c r="L798" t="s">
        <v>84</v>
      </c>
      <c r="M798" t="s">
        <v>85</v>
      </c>
      <c r="N798" t="s">
        <v>74</v>
      </c>
      <c r="O798" t="s">
        <v>274</v>
      </c>
      <c r="P798" t="s">
        <v>2465</v>
      </c>
      <c r="Q798" t="s">
        <v>50</v>
      </c>
      <c r="R798">
        <v>6</v>
      </c>
      <c r="S798">
        <v>1894.44</v>
      </c>
      <c r="T798">
        <v>0.15</v>
      </c>
      <c r="U798">
        <v>9661.64</v>
      </c>
      <c r="V798">
        <v>6303.77</v>
      </c>
      <c r="W798">
        <v>3357.87</v>
      </c>
      <c r="X798" t="s">
        <v>32</v>
      </c>
      <c r="Y798" t="s">
        <v>33</v>
      </c>
      <c r="Z798" t="str">
        <f t="shared" si="168"/>
        <v>Unique</v>
      </c>
      <c r="AA798" t="str">
        <f t="shared" si="169"/>
        <v>Unique</v>
      </c>
      <c r="AB798" t="str">
        <f t="shared" si="173"/>
        <v>OK</v>
      </c>
      <c r="AC798">
        <f t="shared" si="174"/>
        <v>0.15</v>
      </c>
      <c r="AD798" t="str">
        <f t="shared" si="175"/>
        <v>OK</v>
      </c>
      <c r="AE798">
        <f t="shared" si="176"/>
        <v>9661.6439999999984</v>
      </c>
      <c r="AF798">
        <f t="shared" si="177"/>
        <v>3357.873999999998</v>
      </c>
      <c r="AG798">
        <f t="shared" si="178"/>
        <v>0.34754685641491223</v>
      </c>
      <c r="AH798" t="str">
        <f t="shared" si="170"/>
        <v>March</v>
      </c>
      <c r="AI798">
        <f t="shared" si="171"/>
        <v>2024</v>
      </c>
      <c r="AJ798" t="str">
        <f t="shared" si="179"/>
        <v>OK</v>
      </c>
      <c r="AK798" t="str">
        <f t="shared" si="180"/>
        <v>OK</v>
      </c>
      <c r="AL798" t="str">
        <f t="shared" si="181"/>
        <v>Include</v>
      </c>
      <c r="AM798" t="str">
        <f t="shared" si="172"/>
        <v>Clean</v>
      </c>
    </row>
    <row r="799" spans="1:39">
      <c r="A799" t="s">
        <v>2466</v>
      </c>
      <c r="B799" s="4">
        <v>45400</v>
      </c>
      <c r="C799" s="4">
        <v>45404</v>
      </c>
      <c r="D799" s="6">
        <v>4</v>
      </c>
      <c r="E799" t="s">
        <v>2788</v>
      </c>
      <c r="F799" t="s">
        <v>2788</v>
      </c>
      <c r="G799" t="s">
        <v>2788</v>
      </c>
      <c r="H799" t="s">
        <v>2467</v>
      </c>
      <c r="I799" t="s">
        <v>128</v>
      </c>
      <c r="J799" t="s">
        <v>24</v>
      </c>
      <c r="K799" t="s">
        <v>38</v>
      </c>
      <c r="L799" t="s">
        <v>39</v>
      </c>
      <c r="M799" t="s">
        <v>40</v>
      </c>
      <c r="N799" t="s">
        <v>28</v>
      </c>
      <c r="O799" t="s">
        <v>153</v>
      </c>
      <c r="P799" t="s">
        <v>2468</v>
      </c>
      <c r="Q799" t="s">
        <v>50</v>
      </c>
      <c r="R799">
        <v>8</v>
      </c>
      <c r="S799">
        <v>1714.37</v>
      </c>
      <c r="T799">
        <v>0</v>
      </c>
      <c r="U799">
        <v>13714.96</v>
      </c>
      <c r="V799">
        <v>10550.47</v>
      </c>
      <c r="W799">
        <v>3164.49</v>
      </c>
      <c r="X799" t="s">
        <v>155</v>
      </c>
      <c r="Y799" t="s">
        <v>68</v>
      </c>
      <c r="Z799" t="str">
        <f t="shared" si="168"/>
        <v>Unique</v>
      </c>
      <c r="AA799" t="str">
        <f t="shared" si="169"/>
        <v>Unique</v>
      </c>
      <c r="AB799" t="str">
        <f t="shared" si="173"/>
        <v>OK</v>
      </c>
      <c r="AC799">
        <f t="shared" si="174"/>
        <v>0</v>
      </c>
      <c r="AD799" t="str">
        <f t="shared" si="175"/>
        <v>OK</v>
      </c>
      <c r="AE799">
        <f t="shared" si="176"/>
        <v>13714.96</v>
      </c>
      <c r="AF799">
        <f t="shared" si="177"/>
        <v>3164.49</v>
      </c>
      <c r="AG799">
        <f t="shared" si="178"/>
        <v>0.23073271814135804</v>
      </c>
      <c r="AH799" t="str">
        <f t="shared" si="170"/>
        <v>April</v>
      </c>
      <c r="AI799">
        <f t="shared" si="171"/>
        <v>2024</v>
      </c>
      <c r="AJ799" t="str">
        <f t="shared" si="179"/>
        <v>OK</v>
      </c>
      <c r="AK799" t="str">
        <f t="shared" si="180"/>
        <v>OK</v>
      </c>
      <c r="AL799" t="str">
        <f t="shared" si="181"/>
        <v>Exclude</v>
      </c>
      <c r="AM799" t="str">
        <f t="shared" si="172"/>
        <v>Clean</v>
      </c>
    </row>
    <row r="800" spans="1:39">
      <c r="A800" t="s">
        <v>2469</v>
      </c>
      <c r="B800" s="4">
        <v>45849</v>
      </c>
      <c r="C800" s="4">
        <v>45847</v>
      </c>
      <c r="D800" s="6">
        <v>-2</v>
      </c>
      <c r="E800" t="s">
        <v>2788</v>
      </c>
      <c r="F800" t="s">
        <v>2788</v>
      </c>
      <c r="G800" t="s">
        <v>2790</v>
      </c>
      <c r="H800" t="s">
        <v>2470</v>
      </c>
      <c r="I800" t="s">
        <v>89</v>
      </c>
      <c r="J800" t="s">
        <v>90</v>
      </c>
      <c r="K800" t="s">
        <v>25</v>
      </c>
      <c r="L800" t="s">
        <v>350</v>
      </c>
      <c r="M800" t="s">
        <v>351</v>
      </c>
      <c r="N800" t="s">
        <v>41</v>
      </c>
      <c r="O800" t="s">
        <v>57</v>
      </c>
      <c r="P800" t="s">
        <v>2471</v>
      </c>
      <c r="Q800" t="s">
        <v>59</v>
      </c>
      <c r="R800">
        <v>9</v>
      </c>
      <c r="S800">
        <v>1706.05</v>
      </c>
      <c r="T800">
        <v>0</v>
      </c>
      <c r="U800">
        <v>15354.45</v>
      </c>
      <c r="V800">
        <v>9656.5</v>
      </c>
      <c r="W800">
        <v>5697.95</v>
      </c>
      <c r="X800" t="s">
        <v>32</v>
      </c>
      <c r="Y800" t="s">
        <v>33</v>
      </c>
      <c r="Z800" t="str">
        <f t="shared" si="168"/>
        <v>Unique</v>
      </c>
      <c r="AA800" t="str">
        <f t="shared" si="169"/>
        <v>Unique</v>
      </c>
      <c r="AB800" t="str">
        <f t="shared" si="173"/>
        <v>OK</v>
      </c>
      <c r="AC800">
        <f t="shared" si="174"/>
        <v>0</v>
      </c>
      <c r="AD800" t="str">
        <f t="shared" si="175"/>
        <v>OK</v>
      </c>
      <c r="AE800">
        <f t="shared" si="176"/>
        <v>15354.449999999999</v>
      </c>
      <c r="AF800">
        <f t="shared" si="177"/>
        <v>5697.9499999999989</v>
      </c>
      <c r="AG800">
        <f t="shared" si="178"/>
        <v>0.37109437329243311</v>
      </c>
      <c r="AH800" t="str">
        <f t="shared" si="170"/>
        <v>July</v>
      </c>
      <c r="AI800">
        <f t="shared" si="171"/>
        <v>2025</v>
      </c>
      <c r="AJ800" t="str">
        <f t="shared" si="179"/>
        <v>OK</v>
      </c>
      <c r="AK800" t="str">
        <f t="shared" si="180"/>
        <v>OK</v>
      </c>
      <c r="AL800" t="str">
        <f t="shared" si="181"/>
        <v>Include</v>
      </c>
      <c r="AM800" t="str">
        <f t="shared" si="172"/>
        <v>Warning</v>
      </c>
    </row>
    <row r="801" spans="1:39">
      <c r="A801" t="s">
        <v>2472</v>
      </c>
      <c r="B801" s="4">
        <v>45575</v>
      </c>
      <c r="C801" s="4">
        <v>45582</v>
      </c>
      <c r="D801" s="6">
        <v>7</v>
      </c>
      <c r="E801" t="s">
        <v>2788</v>
      </c>
      <c r="F801" t="s">
        <v>2788</v>
      </c>
      <c r="G801" t="s">
        <v>2788</v>
      </c>
      <c r="H801" t="s">
        <v>2473</v>
      </c>
      <c r="I801" t="s">
        <v>47</v>
      </c>
      <c r="J801" t="s">
        <v>95</v>
      </c>
      <c r="K801" t="s">
        <v>25</v>
      </c>
      <c r="L801" t="s">
        <v>236</v>
      </c>
      <c r="M801" t="s">
        <v>237</v>
      </c>
      <c r="N801" t="s">
        <v>74</v>
      </c>
      <c r="O801" t="s">
        <v>75</v>
      </c>
      <c r="P801" t="s">
        <v>2474</v>
      </c>
      <c r="Q801" t="s">
        <v>2783</v>
      </c>
      <c r="R801">
        <v>5</v>
      </c>
      <c r="S801">
        <v>967.41</v>
      </c>
      <c r="T801">
        <v>0.05</v>
      </c>
      <c r="U801">
        <v>4595.2</v>
      </c>
      <c r="V801">
        <v>3887.41</v>
      </c>
      <c r="W801">
        <v>707.79</v>
      </c>
      <c r="X801" t="s">
        <v>32</v>
      </c>
      <c r="Y801" t="s">
        <v>103</v>
      </c>
      <c r="Z801" t="str">
        <f t="shared" si="168"/>
        <v>Unique</v>
      </c>
      <c r="AA801" t="str">
        <f t="shared" si="169"/>
        <v>Unique</v>
      </c>
      <c r="AB801" t="str">
        <f t="shared" si="173"/>
        <v>OK</v>
      </c>
      <c r="AC801">
        <f t="shared" si="174"/>
        <v>0.05</v>
      </c>
      <c r="AD801" t="str">
        <f t="shared" si="175"/>
        <v>OK</v>
      </c>
      <c r="AE801">
        <f t="shared" si="176"/>
        <v>4595.1975000000002</v>
      </c>
      <c r="AF801">
        <f t="shared" si="177"/>
        <v>707.78750000000036</v>
      </c>
      <c r="AG801">
        <f t="shared" si="178"/>
        <v>0.15402765604742785</v>
      </c>
      <c r="AH801" t="str">
        <f t="shared" si="170"/>
        <v>October</v>
      </c>
      <c r="AI801">
        <f t="shared" si="171"/>
        <v>2024</v>
      </c>
      <c r="AJ801" t="str">
        <f t="shared" si="179"/>
        <v>OK</v>
      </c>
      <c r="AK801" t="str">
        <f t="shared" si="180"/>
        <v>OK</v>
      </c>
      <c r="AL801" t="str">
        <f t="shared" si="181"/>
        <v>Exclude</v>
      </c>
      <c r="AM801" t="str">
        <f t="shared" si="172"/>
        <v>Clean</v>
      </c>
    </row>
    <row r="802" spans="1:39">
      <c r="A802" t="s">
        <v>2475</v>
      </c>
      <c r="B802" s="4">
        <v>45352</v>
      </c>
      <c r="C802" s="4">
        <v>45358</v>
      </c>
      <c r="D802" s="6">
        <v>6</v>
      </c>
      <c r="E802" t="s">
        <v>2788</v>
      </c>
      <c r="F802" t="s">
        <v>2788</v>
      </c>
      <c r="G802" t="s">
        <v>2788</v>
      </c>
      <c r="H802" t="s">
        <v>2476</v>
      </c>
      <c r="I802" t="s">
        <v>71</v>
      </c>
      <c r="J802" t="s">
        <v>37</v>
      </c>
      <c r="K802" t="s">
        <v>63</v>
      </c>
      <c r="L802" t="s">
        <v>64</v>
      </c>
      <c r="M802" t="s">
        <v>65</v>
      </c>
      <c r="N802" t="s">
        <v>28</v>
      </c>
      <c r="O802" t="s">
        <v>124</v>
      </c>
      <c r="P802" t="s">
        <v>2477</v>
      </c>
      <c r="Q802" t="s">
        <v>31</v>
      </c>
      <c r="R802">
        <v>6</v>
      </c>
      <c r="S802">
        <v>4163.72</v>
      </c>
      <c r="T802">
        <v>0.15</v>
      </c>
      <c r="U802">
        <v>21234.97</v>
      </c>
      <c r="V802">
        <v>16736.09</v>
      </c>
      <c r="W802">
        <v>4498.88</v>
      </c>
      <c r="X802" t="s">
        <v>32</v>
      </c>
      <c r="Y802" t="s">
        <v>33</v>
      </c>
      <c r="Z802" t="str">
        <f t="shared" si="168"/>
        <v>Unique</v>
      </c>
      <c r="AA802" t="str">
        <f t="shared" si="169"/>
        <v>Unique</v>
      </c>
      <c r="AB802" t="str">
        <f t="shared" si="173"/>
        <v>OK</v>
      </c>
      <c r="AC802">
        <f t="shared" si="174"/>
        <v>0.15</v>
      </c>
      <c r="AD802" t="str">
        <f t="shared" si="175"/>
        <v>OK</v>
      </c>
      <c r="AE802">
        <f t="shared" si="176"/>
        <v>21234.971999999998</v>
      </c>
      <c r="AF802">
        <f t="shared" si="177"/>
        <v>4498.8819999999978</v>
      </c>
      <c r="AG802">
        <f t="shared" si="178"/>
        <v>0.21186192286950029</v>
      </c>
      <c r="AH802" t="str">
        <f t="shared" si="170"/>
        <v>March</v>
      </c>
      <c r="AI802">
        <f t="shared" si="171"/>
        <v>2024</v>
      </c>
      <c r="AJ802" t="str">
        <f t="shared" si="179"/>
        <v>OK</v>
      </c>
      <c r="AK802" t="str">
        <f t="shared" si="180"/>
        <v>OK</v>
      </c>
      <c r="AL802" t="str">
        <f t="shared" si="181"/>
        <v>Include</v>
      </c>
      <c r="AM802" t="str">
        <f t="shared" si="172"/>
        <v>Clean</v>
      </c>
    </row>
    <row r="803" spans="1:39">
      <c r="A803" t="s">
        <v>2478</v>
      </c>
      <c r="B803" s="4">
        <v>45938</v>
      </c>
      <c r="C803" s="4">
        <v>45945</v>
      </c>
      <c r="D803" s="6">
        <v>7</v>
      </c>
      <c r="E803" t="s">
        <v>2788</v>
      </c>
      <c r="F803" t="s">
        <v>2788</v>
      </c>
      <c r="G803" t="s">
        <v>2788</v>
      </c>
      <c r="H803" t="s">
        <v>2479</v>
      </c>
      <c r="I803" t="s">
        <v>128</v>
      </c>
      <c r="J803" t="s">
        <v>95</v>
      </c>
      <c r="K803" t="s">
        <v>38</v>
      </c>
      <c r="L803" t="s">
        <v>39</v>
      </c>
      <c r="M803" t="s">
        <v>40</v>
      </c>
      <c r="N803" t="s">
        <v>74</v>
      </c>
      <c r="O803" t="s">
        <v>75</v>
      </c>
      <c r="P803" t="s">
        <v>2480</v>
      </c>
      <c r="Q803" t="s">
        <v>31</v>
      </c>
      <c r="R803">
        <v>3</v>
      </c>
      <c r="S803">
        <v>3372.21</v>
      </c>
      <c r="T803">
        <v>0.2</v>
      </c>
      <c r="U803">
        <v>8093.3</v>
      </c>
      <c r="V803">
        <v>6052.43</v>
      </c>
      <c r="W803">
        <v>2040.87</v>
      </c>
      <c r="X803" t="s">
        <v>111</v>
      </c>
      <c r="Y803" t="s">
        <v>68</v>
      </c>
      <c r="Z803" t="str">
        <f t="shared" si="168"/>
        <v>Unique</v>
      </c>
      <c r="AA803" t="str">
        <f t="shared" si="169"/>
        <v>Unique</v>
      </c>
      <c r="AB803" t="str">
        <f t="shared" si="173"/>
        <v>OK</v>
      </c>
      <c r="AC803">
        <f t="shared" si="174"/>
        <v>0.2</v>
      </c>
      <c r="AD803" t="str">
        <f t="shared" si="175"/>
        <v>OK</v>
      </c>
      <c r="AE803">
        <f t="shared" si="176"/>
        <v>8093.304000000001</v>
      </c>
      <c r="AF803">
        <f t="shared" si="177"/>
        <v>2040.8740000000007</v>
      </c>
      <c r="AG803">
        <f t="shared" si="178"/>
        <v>0.25216821214179036</v>
      </c>
      <c r="AH803" t="str">
        <f t="shared" si="170"/>
        <v>October</v>
      </c>
      <c r="AI803">
        <f t="shared" si="171"/>
        <v>2025</v>
      </c>
      <c r="AJ803" t="str">
        <f t="shared" si="179"/>
        <v>OK</v>
      </c>
      <c r="AK803" t="str">
        <f t="shared" si="180"/>
        <v>OK</v>
      </c>
      <c r="AL803" t="str">
        <f t="shared" si="181"/>
        <v>Exclude</v>
      </c>
      <c r="AM803" t="str">
        <f t="shared" si="172"/>
        <v>Clean</v>
      </c>
    </row>
    <row r="804" spans="1:39">
      <c r="A804" t="s">
        <v>2481</v>
      </c>
      <c r="B804" s="4">
        <v>45704</v>
      </c>
      <c r="C804" s="4">
        <v>45704</v>
      </c>
      <c r="D804" s="6">
        <v>0</v>
      </c>
      <c r="E804" t="s">
        <v>2788</v>
      </c>
      <c r="F804" t="s">
        <v>2788</v>
      </c>
      <c r="G804" t="s">
        <v>2788</v>
      </c>
      <c r="H804" t="s">
        <v>2482</v>
      </c>
      <c r="I804" t="s">
        <v>141</v>
      </c>
      <c r="J804" t="s">
        <v>37</v>
      </c>
      <c r="K804" t="s">
        <v>38</v>
      </c>
      <c r="L804" t="s">
        <v>166</v>
      </c>
      <c r="M804" t="s">
        <v>167</v>
      </c>
      <c r="N804" t="s">
        <v>41</v>
      </c>
      <c r="O804" t="s">
        <v>57</v>
      </c>
      <c r="P804" t="s">
        <v>2483</v>
      </c>
      <c r="Q804" t="s">
        <v>31</v>
      </c>
      <c r="R804">
        <v>6</v>
      </c>
      <c r="S804">
        <v>1441.91</v>
      </c>
      <c r="T804">
        <v>0</v>
      </c>
      <c r="U804">
        <v>8651.4599999999991</v>
      </c>
      <c r="V804">
        <v>5254.62</v>
      </c>
      <c r="W804">
        <v>3396.84</v>
      </c>
      <c r="X804" t="s">
        <v>155</v>
      </c>
      <c r="Y804" t="s">
        <v>103</v>
      </c>
      <c r="Z804" t="str">
        <f t="shared" si="168"/>
        <v>Unique</v>
      </c>
      <c r="AA804" t="str">
        <f t="shared" si="169"/>
        <v>Unique</v>
      </c>
      <c r="AB804" t="str">
        <f t="shared" si="173"/>
        <v>OK</v>
      </c>
      <c r="AC804">
        <f t="shared" si="174"/>
        <v>0</v>
      </c>
      <c r="AD804" t="str">
        <f t="shared" si="175"/>
        <v>OK</v>
      </c>
      <c r="AE804">
        <f t="shared" si="176"/>
        <v>8651.4600000000009</v>
      </c>
      <c r="AF804">
        <f t="shared" si="177"/>
        <v>3396.8400000000011</v>
      </c>
      <c r="AG804">
        <f t="shared" si="178"/>
        <v>0.39263199506210522</v>
      </c>
      <c r="AH804" t="str">
        <f t="shared" si="170"/>
        <v>February</v>
      </c>
      <c r="AI804">
        <f t="shared" si="171"/>
        <v>2025</v>
      </c>
      <c r="AJ804" t="str">
        <f t="shared" si="179"/>
        <v>OK</v>
      </c>
      <c r="AK804" t="str">
        <f t="shared" si="180"/>
        <v>OK</v>
      </c>
      <c r="AL804" t="str">
        <f t="shared" si="181"/>
        <v>Exclude</v>
      </c>
      <c r="AM804" t="str">
        <f t="shared" si="172"/>
        <v>Clean</v>
      </c>
    </row>
    <row r="805" spans="1:39">
      <c r="A805" t="s">
        <v>2484</v>
      </c>
      <c r="B805" s="4">
        <v>45635</v>
      </c>
      <c r="C805" s="4">
        <v>45639</v>
      </c>
      <c r="D805" s="6">
        <v>4</v>
      </c>
      <c r="E805" t="s">
        <v>2788</v>
      </c>
      <c r="F805" t="s">
        <v>2788</v>
      </c>
      <c r="G805" t="s">
        <v>2788</v>
      </c>
      <c r="H805" t="s">
        <v>2485</v>
      </c>
      <c r="I805" t="s">
        <v>141</v>
      </c>
      <c r="J805" t="s">
        <v>24</v>
      </c>
      <c r="K805" t="s">
        <v>2783</v>
      </c>
      <c r="L805" t="s">
        <v>228</v>
      </c>
      <c r="M805" t="s">
        <v>229</v>
      </c>
      <c r="N805" t="s">
        <v>28</v>
      </c>
      <c r="O805" t="s">
        <v>91</v>
      </c>
      <c r="P805" t="s">
        <v>2486</v>
      </c>
      <c r="Q805" t="s">
        <v>50</v>
      </c>
      <c r="R805">
        <v>1</v>
      </c>
      <c r="S805">
        <v>4306.6499999999996</v>
      </c>
      <c r="T805">
        <v>0</v>
      </c>
      <c r="U805">
        <v>4306.6499999999996</v>
      </c>
      <c r="V805">
        <v>2568.8200000000002</v>
      </c>
      <c r="W805">
        <v>1737.83</v>
      </c>
      <c r="X805" t="s">
        <v>32</v>
      </c>
      <c r="Y805" t="s">
        <v>33</v>
      </c>
      <c r="Z805" t="str">
        <f t="shared" si="168"/>
        <v>Unique</v>
      </c>
      <c r="AA805" t="str">
        <f t="shared" si="169"/>
        <v>Unique</v>
      </c>
      <c r="AB805" t="str">
        <f t="shared" si="173"/>
        <v>OK</v>
      </c>
      <c r="AC805">
        <f t="shared" si="174"/>
        <v>0</v>
      </c>
      <c r="AD805" t="str">
        <f t="shared" si="175"/>
        <v>OK</v>
      </c>
      <c r="AE805">
        <f t="shared" si="176"/>
        <v>4306.6499999999996</v>
      </c>
      <c r="AF805">
        <f t="shared" si="177"/>
        <v>1737.8299999999995</v>
      </c>
      <c r="AG805">
        <f t="shared" si="178"/>
        <v>0.40352245945224235</v>
      </c>
      <c r="AH805" t="str">
        <f t="shared" si="170"/>
        <v>December</v>
      </c>
      <c r="AI805">
        <f t="shared" si="171"/>
        <v>2024</v>
      </c>
      <c r="AJ805" t="str">
        <f t="shared" si="179"/>
        <v>OK</v>
      </c>
      <c r="AK805" t="str">
        <f t="shared" si="180"/>
        <v>OK</v>
      </c>
      <c r="AL805" t="str">
        <f t="shared" si="181"/>
        <v>Include</v>
      </c>
      <c r="AM805" t="str">
        <f t="shared" si="172"/>
        <v>Clean</v>
      </c>
    </row>
    <row r="806" spans="1:39">
      <c r="A806" t="s">
        <v>2487</v>
      </c>
      <c r="B806" s="4">
        <v>45910</v>
      </c>
      <c r="C806" s="4">
        <v>45918</v>
      </c>
      <c r="D806" s="6">
        <v>8</v>
      </c>
      <c r="E806" t="s">
        <v>2788</v>
      </c>
      <c r="F806" t="s">
        <v>2788</v>
      </c>
      <c r="G806" t="s">
        <v>2788</v>
      </c>
      <c r="H806" t="s">
        <v>2488</v>
      </c>
      <c r="I806" t="s">
        <v>118</v>
      </c>
      <c r="J806" t="s">
        <v>95</v>
      </c>
      <c r="K806" t="s">
        <v>54</v>
      </c>
      <c r="L806" t="s">
        <v>55</v>
      </c>
      <c r="M806" t="s">
        <v>56</v>
      </c>
      <c r="N806" t="s">
        <v>41</v>
      </c>
      <c r="O806" t="s">
        <v>57</v>
      </c>
      <c r="P806" t="s">
        <v>2489</v>
      </c>
      <c r="Q806" t="s">
        <v>59</v>
      </c>
      <c r="R806">
        <v>1</v>
      </c>
      <c r="S806">
        <v>2050.62</v>
      </c>
      <c r="T806">
        <v>0.05</v>
      </c>
      <c r="U806">
        <v>1948.09</v>
      </c>
      <c r="V806">
        <v>1507.08</v>
      </c>
      <c r="W806">
        <v>441.01</v>
      </c>
      <c r="X806" t="s">
        <v>32</v>
      </c>
      <c r="Y806" t="s">
        <v>33</v>
      </c>
      <c r="Z806" t="str">
        <f t="shared" si="168"/>
        <v>Unique</v>
      </c>
      <c r="AA806" t="str">
        <f t="shared" si="169"/>
        <v>Unique</v>
      </c>
      <c r="AB806" t="str">
        <f t="shared" si="173"/>
        <v>OK</v>
      </c>
      <c r="AC806">
        <f t="shared" si="174"/>
        <v>0.05</v>
      </c>
      <c r="AD806" t="str">
        <f t="shared" si="175"/>
        <v>OK</v>
      </c>
      <c r="AE806">
        <f t="shared" si="176"/>
        <v>1948.0889999999997</v>
      </c>
      <c r="AF806">
        <f t="shared" si="177"/>
        <v>441.00899999999979</v>
      </c>
      <c r="AG806">
        <f t="shared" si="178"/>
        <v>0.22638031424642296</v>
      </c>
      <c r="AH806" t="str">
        <f t="shared" si="170"/>
        <v>September</v>
      </c>
      <c r="AI806">
        <f t="shared" si="171"/>
        <v>2025</v>
      </c>
      <c r="AJ806" t="str">
        <f t="shared" si="179"/>
        <v>OK</v>
      </c>
      <c r="AK806" t="str">
        <f t="shared" si="180"/>
        <v>OK</v>
      </c>
      <c r="AL806" t="str">
        <f t="shared" si="181"/>
        <v>Include</v>
      </c>
      <c r="AM806" t="str">
        <f t="shared" si="172"/>
        <v>Clean</v>
      </c>
    </row>
    <row r="807" spans="1:39">
      <c r="A807" t="s">
        <v>2490</v>
      </c>
      <c r="B807" s="4">
        <v>45753</v>
      </c>
      <c r="C807" s="4">
        <v>45754</v>
      </c>
      <c r="D807" s="6">
        <v>1</v>
      </c>
      <c r="E807" t="s">
        <v>2788</v>
      </c>
      <c r="F807" t="s">
        <v>2788</v>
      </c>
      <c r="G807" t="s">
        <v>2788</v>
      </c>
      <c r="H807" t="s">
        <v>2355</v>
      </c>
      <c r="I807" t="s">
        <v>114</v>
      </c>
      <c r="J807" t="s">
        <v>95</v>
      </c>
      <c r="K807" t="s">
        <v>38</v>
      </c>
      <c r="L807" t="s">
        <v>166</v>
      </c>
      <c r="M807" t="s">
        <v>167</v>
      </c>
      <c r="N807" t="s">
        <v>28</v>
      </c>
      <c r="O807" t="s">
        <v>153</v>
      </c>
      <c r="P807" t="s">
        <v>2491</v>
      </c>
      <c r="Q807" t="s">
        <v>31</v>
      </c>
      <c r="R807">
        <v>2</v>
      </c>
      <c r="S807">
        <v>2030.06</v>
      </c>
      <c r="T807">
        <v>0.25</v>
      </c>
      <c r="U807">
        <v>3045.09</v>
      </c>
      <c r="V807">
        <v>2601.09</v>
      </c>
      <c r="W807">
        <v>444</v>
      </c>
      <c r="X807" t="s">
        <v>32</v>
      </c>
      <c r="Y807" t="s">
        <v>33</v>
      </c>
      <c r="Z807" t="str">
        <f t="shared" si="168"/>
        <v>Unique</v>
      </c>
      <c r="AA807" t="str">
        <f t="shared" si="169"/>
        <v>Unique</v>
      </c>
      <c r="AB807" t="str">
        <f t="shared" si="173"/>
        <v>OK</v>
      </c>
      <c r="AC807">
        <f t="shared" si="174"/>
        <v>0.25</v>
      </c>
      <c r="AD807" t="str">
        <f t="shared" si="175"/>
        <v>OK</v>
      </c>
      <c r="AE807">
        <f t="shared" si="176"/>
        <v>3045.09</v>
      </c>
      <c r="AF807">
        <f t="shared" si="177"/>
        <v>444</v>
      </c>
      <c r="AG807">
        <f t="shared" si="178"/>
        <v>0.14580849827098705</v>
      </c>
      <c r="AH807" t="str">
        <f t="shared" si="170"/>
        <v>April</v>
      </c>
      <c r="AI807">
        <f t="shared" si="171"/>
        <v>2025</v>
      </c>
      <c r="AJ807" t="str">
        <f t="shared" si="179"/>
        <v>OK</v>
      </c>
      <c r="AK807" t="str">
        <f t="shared" si="180"/>
        <v>OK</v>
      </c>
      <c r="AL807" t="str">
        <f t="shared" si="181"/>
        <v>Include</v>
      </c>
      <c r="AM807" t="str">
        <f t="shared" si="172"/>
        <v>Clean</v>
      </c>
    </row>
    <row r="808" spans="1:39">
      <c r="A808" t="s">
        <v>2492</v>
      </c>
      <c r="B808" s="4">
        <v>45605</v>
      </c>
      <c r="C808" s="4">
        <v>45611</v>
      </c>
      <c r="D808" s="6">
        <v>6</v>
      </c>
      <c r="E808" t="s">
        <v>2788</v>
      </c>
      <c r="F808" t="s">
        <v>2788</v>
      </c>
      <c r="G808" t="s">
        <v>2788</v>
      </c>
      <c r="H808" t="s">
        <v>2493</v>
      </c>
      <c r="I808" t="s">
        <v>47</v>
      </c>
      <c r="J808" t="s">
        <v>95</v>
      </c>
      <c r="K808" t="s">
        <v>25</v>
      </c>
      <c r="L808" t="s">
        <v>26</v>
      </c>
      <c r="M808" t="s">
        <v>27</v>
      </c>
      <c r="N808" t="s">
        <v>74</v>
      </c>
      <c r="O808" t="s">
        <v>80</v>
      </c>
      <c r="P808" t="s">
        <v>2494</v>
      </c>
      <c r="Q808" t="s">
        <v>59</v>
      </c>
      <c r="R808">
        <v>1</v>
      </c>
      <c r="S808">
        <v>3665.97</v>
      </c>
      <c r="T808">
        <v>0.2</v>
      </c>
      <c r="U808">
        <v>2932.78</v>
      </c>
      <c r="V808">
        <v>1900.35</v>
      </c>
      <c r="W808">
        <v>1032.43</v>
      </c>
      <c r="X808" t="s">
        <v>155</v>
      </c>
      <c r="Y808" t="s">
        <v>68</v>
      </c>
      <c r="Z808" t="str">
        <f t="shared" si="168"/>
        <v>Unique</v>
      </c>
      <c r="AA808" t="str">
        <f t="shared" si="169"/>
        <v>Unique</v>
      </c>
      <c r="AB808" t="str">
        <f t="shared" si="173"/>
        <v>OK</v>
      </c>
      <c r="AC808">
        <f t="shared" si="174"/>
        <v>0.2</v>
      </c>
      <c r="AD808" t="str">
        <f t="shared" si="175"/>
        <v>OK</v>
      </c>
      <c r="AE808">
        <f t="shared" si="176"/>
        <v>2932.7759999999998</v>
      </c>
      <c r="AF808">
        <f t="shared" si="177"/>
        <v>1032.4259999999999</v>
      </c>
      <c r="AG808">
        <f t="shared" si="178"/>
        <v>0.35203029484692999</v>
      </c>
      <c r="AH808" t="str">
        <f t="shared" si="170"/>
        <v>November</v>
      </c>
      <c r="AI808">
        <f t="shared" si="171"/>
        <v>2024</v>
      </c>
      <c r="AJ808" t="str">
        <f t="shared" si="179"/>
        <v>OK</v>
      </c>
      <c r="AK808" t="str">
        <f t="shared" si="180"/>
        <v>OK</v>
      </c>
      <c r="AL808" t="str">
        <f t="shared" si="181"/>
        <v>Exclude</v>
      </c>
      <c r="AM808" t="str">
        <f t="shared" si="172"/>
        <v>Clean</v>
      </c>
    </row>
    <row r="809" spans="1:39">
      <c r="A809" t="s">
        <v>2495</v>
      </c>
      <c r="B809" s="4">
        <v>45695</v>
      </c>
      <c r="C809" s="4">
        <v>45696</v>
      </c>
      <c r="D809" s="6">
        <v>1</v>
      </c>
      <c r="E809" t="s">
        <v>2788</v>
      </c>
      <c r="F809" t="s">
        <v>2788</v>
      </c>
      <c r="G809" t="s">
        <v>2788</v>
      </c>
      <c r="H809" t="s">
        <v>2496</v>
      </c>
      <c r="I809" t="s">
        <v>23</v>
      </c>
      <c r="J809" t="s">
        <v>37</v>
      </c>
      <c r="K809" t="s">
        <v>54</v>
      </c>
      <c r="L809" t="s">
        <v>55</v>
      </c>
      <c r="M809" t="s">
        <v>56</v>
      </c>
      <c r="N809" t="s">
        <v>28</v>
      </c>
      <c r="O809" t="s">
        <v>91</v>
      </c>
      <c r="P809" t="s">
        <v>2497</v>
      </c>
      <c r="Q809" t="s">
        <v>59</v>
      </c>
      <c r="R809">
        <v>2</v>
      </c>
      <c r="S809">
        <v>2432.98</v>
      </c>
      <c r="T809">
        <v>0.1</v>
      </c>
      <c r="U809">
        <v>4379.3599999999997</v>
      </c>
      <c r="V809">
        <v>3723.93</v>
      </c>
      <c r="W809">
        <v>655.43</v>
      </c>
      <c r="X809" t="s">
        <v>32</v>
      </c>
      <c r="Y809" t="s">
        <v>33</v>
      </c>
      <c r="Z809" t="str">
        <f t="shared" si="168"/>
        <v>Unique</v>
      </c>
      <c r="AA809" t="str">
        <f t="shared" si="169"/>
        <v>Unique</v>
      </c>
      <c r="AB809" t="str">
        <f t="shared" si="173"/>
        <v>OK</v>
      </c>
      <c r="AC809">
        <f t="shared" si="174"/>
        <v>0.1</v>
      </c>
      <c r="AD809" t="str">
        <f t="shared" si="175"/>
        <v>OK</v>
      </c>
      <c r="AE809">
        <f t="shared" si="176"/>
        <v>4379.3640000000005</v>
      </c>
      <c r="AF809">
        <f t="shared" si="177"/>
        <v>655.43400000000065</v>
      </c>
      <c r="AG809">
        <f t="shared" si="178"/>
        <v>0.14966419781502532</v>
      </c>
      <c r="AH809" t="str">
        <f t="shared" si="170"/>
        <v>February</v>
      </c>
      <c r="AI809">
        <f t="shared" si="171"/>
        <v>2025</v>
      </c>
      <c r="AJ809" t="str">
        <f t="shared" si="179"/>
        <v>OK</v>
      </c>
      <c r="AK809" t="str">
        <f t="shared" si="180"/>
        <v>OK</v>
      </c>
      <c r="AL809" t="str">
        <f t="shared" si="181"/>
        <v>Include</v>
      </c>
      <c r="AM809" t="str">
        <f t="shared" si="172"/>
        <v>Clean</v>
      </c>
    </row>
    <row r="810" spans="1:39">
      <c r="A810" t="s">
        <v>2498</v>
      </c>
      <c r="B810" s="4">
        <v>45900</v>
      </c>
      <c r="C810" s="4">
        <v>45897</v>
      </c>
      <c r="D810" s="6">
        <v>-3</v>
      </c>
      <c r="E810" t="s">
        <v>2788</v>
      </c>
      <c r="F810" t="s">
        <v>2788</v>
      </c>
      <c r="G810" t="s">
        <v>2790</v>
      </c>
      <c r="H810" t="s">
        <v>2499</v>
      </c>
      <c r="I810" t="s">
        <v>128</v>
      </c>
      <c r="J810" t="s">
        <v>37</v>
      </c>
      <c r="K810" t="s">
        <v>54</v>
      </c>
      <c r="L810" t="s">
        <v>247</v>
      </c>
      <c r="M810" t="s">
        <v>248</v>
      </c>
      <c r="N810" t="s">
        <v>41</v>
      </c>
      <c r="O810" t="s">
        <v>57</v>
      </c>
      <c r="P810" t="s">
        <v>2500</v>
      </c>
      <c r="Q810" t="s">
        <v>50</v>
      </c>
      <c r="R810">
        <v>7</v>
      </c>
      <c r="S810">
        <v>977.28</v>
      </c>
      <c r="T810">
        <v>0.2</v>
      </c>
      <c r="U810">
        <v>5472.77</v>
      </c>
      <c r="V810">
        <v>4477.33</v>
      </c>
      <c r="W810">
        <v>995.44</v>
      </c>
      <c r="X810" t="s">
        <v>32</v>
      </c>
      <c r="Y810" t="s">
        <v>33</v>
      </c>
      <c r="Z810" t="str">
        <f t="shared" si="168"/>
        <v>Unique</v>
      </c>
      <c r="AA810" t="str">
        <f t="shared" si="169"/>
        <v>Unique</v>
      </c>
      <c r="AB810" t="str">
        <f t="shared" si="173"/>
        <v>OK</v>
      </c>
      <c r="AC810">
        <f t="shared" si="174"/>
        <v>0.2</v>
      </c>
      <c r="AD810" t="str">
        <f t="shared" si="175"/>
        <v>OK</v>
      </c>
      <c r="AE810">
        <f t="shared" si="176"/>
        <v>5472.768</v>
      </c>
      <c r="AF810">
        <f t="shared" si="177"/>
        <v>995.4380000000001</v>
      </c>
      <c r="AG810">
        <f t="shared" si="178"/>
        <v>0.18188931085695575</v>
      </c>
      <c r="AH810" t="str">
        <f t="shared" si="170"/>
        <v>August</v>
      </c>
      <c r="AI810">
        <f t="shared" si="171"/>
        <v>2025</v>
      </c>
      <c r="AJ810" t="str">
        <f t="shared" si="179"/>
        <v>OK</v>
      </c>
      <c r="AK810" t="str">
        <f t="shared" si="180"/>
        <v>OK</v>
      </c>
      <c r="AL810" t="str">
        <f t="shared" si="181"/>
        <v>Include</v>
      </c>
      <c r="AM810" t="str">
        <f t="shared" si="172"/>
        <v>Warning</v>
      </c>
    </row>
    <row r="811" spans="1:39">
      <c r="A811" t="s">
        <v>2501</v>
      </c>
      <c r="B811" s="4">
        <v>45833</v>
      </c>
      <c r="C811" s="4">
        <v>45833</v>
      </c>
      <c r="D811" s="6">
        <v>0</v>
      </c>
      <c r="E811" t="s">
        <v>2788</v>
      </c>
      <c r="F811" t="s">
        <v>2788</v>
      </c>
      <c r="G811" t="s">
        <v>2788</v>
      </c>
      <c r="H811" t="s">
        <v>2502</v>
      </c>
      <c r="I811" t="s">
        <v>53</v>
      </c>
      <c r="J811" t="s">
        <v>37</v>
      </c>
      <c r="K811" t="s">
        <v>2783</v>
      </c>
      <c r="L811" t="s">
        <v>122</v>
      </c>
      <c r="M811" t="s">
        <v>123</v>
      </c>
      <c r="N811" t="s">
        <v>28</v>
      </c>
      <c r="O811" t="s">
        <v>153</v>
      </c>
      <c r="P811" t="s">
        <v>2503</v>
      </c>
      <c r="Q811" t="s">
        <v>31</v>
      </c>
      <c r="R811">
        <v>6</v>
      </c>
      <c r="S811">
        <v>1366.13</v>
      </c>
      <c r="T811">
        <v>0.1</v>
      </c>
      <c r="U811">
        <v>7377.1</v>
      </c>
      <c r="V811">
        <v>5085.21</v>
      </c>
      <c r="W811">
        <v>2291.89</v>
      </c>
      <c r="X811" t="s">
        <v>32</v>
      </c>
      <c r="Y811" t="s">
        <v>33</v>
      </c>
      <c r="Z811" t="str">
        <f t="shared" si="168"/>
        <v>Unique</v>
      </c>
      <c r="AA811" t="str">
        <f t="shared" si="169"/>
        <v>Unique</v>
      </c>
      <c r="AB811" t="str">
        <f t="shared" si="173"/>
        <v>OK</v>
      </c>
      <c r="AC811">
        <f t="shared" si="174"/>
        <v>0.1</v>
      </c>
      <c r="AD811" t="str">
        <f t="shared" si="175"/>
        <v>OK</v>
      </c>
      <c r="AE811">
        <f t="shared" si="176"/>
        <v>7377.1020000000008</v>
      </c>
      <c r="AF811">
        <f t="shared" si="177"/>
        <v>2291.8920000000007</v>
      </c>
      <c r="AG811">
        <f t="shared" si="178"/>
        <v>0.31067646888981615</v>
      </c>
      <c r="AH811" t="str">
        <f t="shared" si="170"/>
        <v>June</v>
      </c>
      <c r="AI811">
        <f t="shared" si="171"/>
        <v>2025</v>
      </c>
      <c r="AJ811" t="str">
        <f t="shared" si="179"/>
        <v>OK</v>
      </c>
      <c r="AK811" t="str">
        <f t="shared" si="180"/>
        <v>OK</v>
      </c>
      <c r="AL811" t="str">
        <f t="shared" si="181"/>
        <v>Include</v>
      </c>
      <c r="AM811" t="str">
        <f t="shared" si="172"/>
        <v>Clean</v>
      </c>
    </row>
    <row r="812" spans="1:39">
      <c r="A812" t="s">
        <v>2504</v>
      </c>
      <c r="B812" s="4">
        <v>45385</v>
      </c>
      <c r="C812" s="4">
        <v>45390</v>
      </c>
      <c r="D812" s="6">
        <v>5</v>
      </c>
      <c r="E812" t="s">
        <v>2788</v>
      </c>
      <c r="F812" t="s">
        <v>2788</v>
      </c>
      <c r="G812" t="s">
        <v>2788</v>
      </c>
      <c r="H812" t="s">
        <v>1668</v>
      </c>
      <c r="I812" t="s">
        <v>264</v>
      </c>
      <c r="J812" t="s">
        <v>95</v>
      </c>
      <c r="K812" t="s">
        <v>63</v>
      </c>
      <c r="L812" t="s">
        <v>180</v>
      </c>
      <c r="M812" t="s">
        <v>181</v>
      </c>
      <c r="N812" t="s">
        <v>74</v>
      </c>
      <c r="O812" t="s">
        <v>80</v>
      </c>
      <c r="P812" t="s">
        <v>2505</v>
      </c>
      <c r="Q812" t="s">
        <v>50</v>
      </c>
      <c r="R812">
        <v>1</v>
      </c>
      <c r="S812">
        <v>3151.85</v>
      </c>
      <c r="T812">
        <v>0.25</v>
      </c>
      <c r="U812">
        <v>2363.89</v>
      </c>
      <c r="V812">
        <v>1471.51</v>
      </c>
      <c r="W812">
        <v>892.38</v>
      </c>
      <c r="X812" t="s">
        <v>32</v>
      </c>
      <c r="Y812" t="s">
        <v>33</v>
      </c>
      <c r="Z812" t="str">
        <f t="shared" si="168"/>
        <v>Unique</v>
      </c>
      <c r="AA812" t="str">
        <f t="shared" si="169"/>
        <v>Unique</v>
      </c>
      <c r="AB812" t="str">
        <f t="shared" si="173"/>
        <v>OK</v>
      </c>
      <c r="AC812">
        <f t="shared" si="174"/>
        <v>0.25</v>
      </c>
      <c r="AD812" t="str">
        <f t="shared" si="175"/>
        <v>OK</v>
      </c>
      <c r="AE812">
        <f t="shared" si="176"/>
        <v>2363.8874999999998</v>
      </c>
      <c r="AF812">
        <f t="shared" si="177"/>
        <v>892.37749999999983</v>
      </c>
      <c r="AG812">
        <f t="shared" si="178"/>
        <v>0.37750421710000998</v>
      </c>
      <c r="AH812" t="str">
        <f t="shared" si="170"/>
        <v>April</v>
      </c>
      <c r="AI812">
        <f t="shared" si="171"/>
        <v>2024</v>
      </c>
      <c r="AJ812" t="str">
        <f t="shared" si="179"/>
        <v>OK</v>
      </c>
      <c r="AK812" t="str">
        <f t="shared" si="180"/>
        <v>OK</v>
      </c>
      <c r="AL812" t="str">
        <f t="shared" si="181"/>
        <v>Include</v>
      </c>
      <c r="AM812" t="str">
        <f t="shared" si="172"/>
        <v>Clean</v>
      </c>
    </row>
    <row r="813" spans="1:39">
      <c r="A813" t="s">
        <v>2506</v>
      </c>
      <c r="B813" s="4">
        <v>45638</v>
      </c>
      <c r="C813" s="4">
        <v>45645</v>
      </c>
      <c r="D813" s="6">
        <v>7</v>
      </c>
      <c r="E813" t="s">
        <v>2788</v>
      </c>
      <c r="F813" t="s">
        <v>2788</v>
      </c>
      <c r="G813" t="s">
        <v>2788</v>
      </c>
      <c r="H813" t="s">
        <v>2507</v>
      </c>
      <c r="I813" t="s">
        <v>141</v>
      </c>
      <c r="J813" t="s">
        <v>95</v>
      </c>
      <c r="K813" t="s">
        <v>25</v>
      </c>
      <c r="L813" t="s">
        <v>236</v>
      </c>
      <c r="M813" t="s">
        <v>237</v>
      </c>
      <c r="N813" t="s">
        <v>74</v>
      </c>
      <c r="O813" t="s">
        <v>75</v>
      </c>
      <c r="P813" t="s">
        <v>2508</v>
      </c>
      <c r="Q813" t="s">
        <v>50</v>
      </c>
      <c r="R813">
        <v>2</v>
      </c>
      <c r="S813">
        <v>1610.75</v>
      </c>
      <c r="T813">
        <v>0.2</v>
      </c>
      <c r="U813">
        <v>2577.1999999999998</v>
      </c>
      <c r="V813">
        <v>1475.87</v>
      </c>
      <c r="W813">
        <v>1101.33</v>
      </c>
      <c r="X813" t="s">
        <v>32</v>
      </c>
      <c r="Y813" t="s">
        <v>33</v>
      </c>
      <c r="Z813" t="str">
        <f t="shared" si="168"/>
        <v>Unique</v>
      </c>
      <c r="AA813" t="str">
        <f t="shared" si="169"/>
        <v>Unique</v>
      </c>
      <c r="AB813" t="str">
        <f t="shared" si="173"/>
        <v>OK</v>
      </c>
      <c r="AC813">
        <f t="shared" si="174"/>
        <v>0.2</v>
      </c>
      <c r="AD813" t="str">
        <f t="shared" si="175"/>
        <v>OK</v>
      </c>
      <c r="AE813">
        <f t="shared" si="176"/>
        <v>2577.2000000000003</v>
      </c>
      <c r="AF813">
        <f t="shared" si="177"/>
        <v>1101.3300000000004</v>
      </c>
      <c r="AG813">
        <f t="shared" si="178"/>
        <v>0.42733586838429316</v>
      </c>
      <c r="AH813" t="str">
        <f t="shared" si="170"/>
        <v>December</v>
      </c>
      <c r="AI813">
        <f t="shared" si="171"/>
        <v>2024</v>
      </c>
      <c r="AJ813" t="str">
        <f t="shared" si="179"/>
        <v>OK</v>
      </c>
      <c r="AK813" t="str">
        <f t="shared" si="180"/>
        <v>OK</v>
      </c>
      <c r="AL813" t="str">
        <f t="shared" si="181"/>
        <v>Include</v>
      </c>
      <c r="AM813" t="str">
        <f t="shared" si="172"/>
        <v>Clean</v>
      </c>
    </row>
    <row r="814" spans="1:39">
      <c r="A814" t="s">
        <v>2509</v>
      </c>
      <c r="B814" s="4">
        <v>45458</v>
      </c>
      <c r="C814" s="4">
        <v>45463</v>
      </c>
      <c r="D814" s="6">
        <v>5</v>
      </c>
      <c r="E814" t="s">
        <v>2788</v>
      </c>
      <c r="F814" t="s">
        <v>2788</v>
      </c>
      <c r="G814" t="s">
        <v>2788</v>
      </c>
      <c r="H814" t="s">
        <v>2510</v>
      </c>
      <c r="I814" t="s">
        <v>132</v>
      </c>
      <c r="J814" t="s">
        <v>37</v>
      </c>
      <c r="K814" t="s">
        <v>38</v>
      </c>
      <c r="L814" t="s">
        <v>228</v>
      </c>
      <c r="M814" t="s">
        <v>229</v>
      </c>
      <c r="N814" t="s">
        <v>41</v>
      </c>
      <c r="O814" t="s">
        <v>42</v>
      </c>
      <c r="P814" t="s">
        <v>2511</v>
      </c>
      <c r="Q814" t="s">
        <v>50</v>
      </c>
      <c r="R814">
        <v>8</v>
      </c>
      <c r="S814">
        <v>2228.4699999999998</v>
      </c>
      <c r="T814">
        <v>0</v>
      </c>
      <c r="U814">
        <v>17827.759999999998</v>
      </c>
      <c r="V814">
        <v>14122.13</v>
      </c>
      <c r="W814">
        <v>3705.63</v>
      </c>
      <c r="X814" t="s">
        <v>32</v>
      </c>
      <c r="Y814" t="s">
        <v>33</v>
      </c>
      <c r="Z814" t="str">
        <f t="shared" si="168"/>
        <v>Unique</v>
      </c>
      <c r="AA814" t="str">
        <f t="shared" si="169"/>
        <v>Unique</v>
      </c>
      <c r="AB814" t="str">
        <f t="shared" si="173"/>
        <v>OK</v>
      </c>
      <c r="AC814">
        <f t="shared" si="174"/>
        <v>0</v>
      </c>
      <c r="AD814" t="str">
        <f t="shared" si="175"/>
        <v>OK</v>
      </c>
      <c r="AE814">
        <f t="shared" si="176"/>
        <v>17827.759999999998</v>
      </c>
      <c r="AF814">
        <f t="shared" si="177"/>
        <v>3705.6299999999992</v>
      </c>
      <c r="AG814">
        <f t="shared" si="178"/>
        <v>0.20785729671029896</v>
      </c>
      <c r="AH814" t="str">
        <f t="shared" si="170"/>
        <v>June</v>
      </c>
      <c r="AI814">
        <f t="shared" si="171"/>
        <v>2024</v>
      </c>
      <c r="AJ814" t="str">
        <f t="shared" si="179"/>
        <v>OK</v>
      </c>
      <c r="AK814" t="str">
        <f t="shared" si="180"/>
        <v>OK</v>
      </c>
      <c r="AL814" t="str">
        <f t="shared" si="181"/>
        <v>Include</v>
      </c>
      <c r="AM814" t="str">
        <f t="shared" si="172"/>
        <v>Clean</v>
      </c>
    </row>
    <row r="815" spans="1:39">
      <c r="A815" t="s">
        <v>2512</v>
      </c>
      <c r="B815" s="4">
        <v>45753</v>
      </c>
      <c r="C815" s="4">
        <v>45757</v>
      </c>
      <c r="D815" s="6">
        <v>4</v>
      </c>
      <c r="E815" t="s">
        <v>2788</v>
      </c>
      <c r="F815" t="s">
        <v>2788</v>
      </c>
      <c r="G815" t="s">
        <v>2788</v>
      </c>
      <c r="H815" t="s">
        <v>2513</v>
      </c>
      <c r="I815" t="s">
        <v>141</v>
      </c>
      <c r="J815" t="s">
        <v>24</v>
      </c>
      <c r="K815" t="s">
        <v>38</v>
      </c>
      <c r="L815" t="s">
        <v>39</v>
      </c>
      <c r="M815" t="s">
        <v>40</v>
      </c>
      <c r="N815" t="s">
        <v>41</v>
      </c>
      <c r="O815" t="s">
        <v>158</v>
      </c>
      <c r="P815" t="s">
        <v>1123</v>
      </c>
      <c r="Q815" t="s">
        <v>59</v>
      </c>
      <c r="R815">
        <v>2</v>
      </c>
      <c r="S815">
        <v>1337.67</v>
      </c>
      <c r="T815">
        <v>0</v>
      </c>
      <c r="U815">
        <v>2675.34</v>
      </c>
      <c r="V815">
        <v>1595.87</v>
      </c>
      <c r="W815">
        <v>1079.47</v>
      </c>
      <c r="X815" t="s">
        <v>32</v>
      </c>
      <c r="Y815" t="s">
        <v>33</v>
      </c>
      <c r="Z815" t="str">
        <f t="shared" si="168"/>
        <v>Unique</v>
      </c>
      <c r="AA815" t="str">
        <f t="shared" si="169"/>
        <v>Unique</v>
      </c>
      <c r="AB815" t="str">
        <f t="shared" si="173"/>
        <v>OK</v>
      </c>
      <c r="AC815">
        <f t="shared" si="174"/>
        <v>0</v>
      </c>
      <c r="AD815" t="str">
        <f t="shared" si="175"/>
        <v>OK</v>
      </c>
      <c r="AE815">
        <f t="shared" si="176"/>
        <v>2675.34</v>
      </c>
      <c r="AF815">
        <f t="shared" si="177"/>
        <v>1079.4700000000003</v>
      </c>
      <c r="AG815">
        <f t="shared" si="178"/>
        <v>0.40348890234512258</v>
      </c>
      <c r="AH815" t="str">
        <f t="shared" si="170"/>
        <v>April</v>
      </c>
      <c r="AI815">
        <f t="shared" si="171"/>
        <v>2025</v>
      </c>
      <c r="AJ815" t="str">
        <f t="shared" si="179"/>
        <v>OK</v>
      </c>
      <c r="AK815" t="str">
        <f t="shared" si="180"/>
        <v>OK</v>
      </c>
      <c r="AL815" t="str">
        <f t="shared" si="181"/>
        <v>Include</v>
      </c>
      <c r="AM815" t="str">
        <f t="shared" si="172"/>
        <v>Clean</v>
      </c>
    </row>
    <row r="816" spans="1:39">
      <c r="A816" t="s">
        <v>2514</v>
      </c>
      <c r="B816" s="4">
        <v>45875</v>
      </c>
      <c r="C816" s="4">
        <v>45880</v>
      </c>
      <c r="D816" s="6">
        <v>5</v>
      </c>
      <c r="E816" t="s">
        <v>2788</v>
      </c>
      <c r="F816" t="s">
        <v>2788</v>
      </c>
      <c r="G816" t="s">
        <v>2788</v>
      </c>
      <c r="H816" t="s">
        <v>2515</v>
      </c>
      <c r="I816" t="s">
        <v>53</v>
      </c>
      <c r="J816" t="s">
        <v>24</v>
      </c>
      <c r="K816" t="s">
        <v>63</v>
      </c>
      <c r="L816" t="s">
        <v>72</v>
      </c>
      <c r="M816" t="s">
        <v>73</v>
      </c>
      <c r="N816" t="s">
        <v>28</v>
      </c>
      <c r="O816" t="s">
        <v>91</v>
      </c>
      <c r="P816" t="s">
        <v>2516</v>
      </c>
      <c r="Q816" t="s">
        <v>50</v>
      </c>
      <c r="R816">
        <v>2</v>
      </c>
      <c r="S816">
        <v>2375.94</v>
      </c>
      <c r="T816">
        <v>0.25</v>
      </c>
      <c r="U816">
        <v>3563.91</v>
      </c>
      <c r="V816">
        <v>2639.7</v>
      </c>
      <c r="W816">
        <v>924.21</v>
      </c>
      <c r="X816" t="s">
        <v>32</v>
      </c>
      <c r="Y816" t="s">
        <v>33</v>
      </c>
      <c r="Z816" t="str">
        <f t="shared" si="168"/>
        <v>Unique</v>
      </c>
      <c r="AA816" t="str">
        <f t="shared" si="169"/>
        <v>Unique</v>
      </c>
      <c r="AB816" t="str">
        <f t="shared" si="173"/>
        <v>OK</v>
      </c>
      <c r="AC816">
        <f t="shared" si="174"/>
        <v>0.25</v>
      </c>
      <c r="AD816" t="str">
        <f t="shared" si="175"/>
        <v>OK</v>
      </c>
      <c r="AE816">
        <f t="shared" si="176"/>
        <v>3563.91</v>
      </c>
      <c r="AF816">
        <f t="shared" si="177"/>
        <v>924.21</v>
      </c>
      <c r="AG816">
        <f t="shared" si="178"/>
        <v>0.25932473042248544</v>
      </c>
      <c r="AH816" t="str">
        <f t="shared" si="170"/>
        <v>August</v>
      </c>
      <c r="AI816">
        <f t="shared" si="171"/>
        <v>2025</v>
      </c>
      <c r="AJ816" t="str">
        <f t="shared" si="179"/>
        <v>OK</v>
      </c>
      <c r="AK816" t="str">
        <f t="shared" si="180"/>
        <v>OK</v>
      </c>
      <c r="AL816" t="str">
        <f t="shared" si="181"/>
        <v>Include</v>
      </c>
      <c r="AM816" t="str">
        <f t="shared" si="172"/>
        <v>Clean</v>
      </c>
    </row>
    <row r="817" spans="1:39">
      <c r="A817" t="s">
        <v>2517</v>
      </c>
      <c r="B817" s="4">
        <v>45383</v>
      </c>
      <c r="C817" s="4">
        <v>45390</v>
      </c>
      <c r="D817" s="6">
        <v>7</v>
      </c>
      <c r="E817" t="s">
        <v>2788</v>
      </c>
      <c r="F817" t="s">
        <v>2788</v>
      </c>
      <c r="G817" t="s">
        <v>2788</v>
      </c>
      <c r="H817" t="s">
        <v>2518</v>
      </c>
      <c r="I817" t="s">
        <v>162</v>
      </c>
      <c r="J817" t="s">
        <v>24</v>
      </c>
      <c r="K817" t="s">
        <v>38</v>
      </c>
      <c r="L817" t="s">
        <v>39</v>
      </c>
      <c r="M817" t="s">
        <v>40</v>
      </c>
      <c r="N817" t="s">
        <v>74</v>
      </c>
      <c r="O817" t="s">
        <v>274</v>
      </c>
      <c r="P817" t="s">
        <v>2519</v>
      </c>
      <c r="Q817" t="s">
        <v>59</v>
      </c>
      <c r="R817">
        <v>7</v>
      </c>
      <c r="S817">
        <v>715.81</v>
      </c>
      <c r="T817">
        <v>0.15</v>
      </c>
      <c r="U817">
        <v>4259.07</v>
      </c>
      <c r="V817">
        <v>3130.32</v>
      </c>
      <c r="W817">
        <v>1128.75</v>
      </c>
      <c r="X817" t="s">
        <v>111</v>
      </c>
      <c r="Y817" t="s">
        <v>68</v>
      </c>
      <c r="Z817" t="str">
        <f t="shared" si="168"/>
        <v>Unique</v>
      </c>
      <c r="AA817" t="str">
        <f t="shared" si="169"/>
        <v>Unique</v>
      </c>
      <c r="AB817" t="str">
        <f t="shared" si="173"/>
        <v>OK</v>
      </c>
      <c r="AC817">
        <f t="shared" si="174"/>
        <v>0.15</v>
      </c>
      <c r="AD817" t="str">
        <f t="shared" si="175"/>
        <v>OK</v>
      </c>
      <c r="AE817">
        <f t="shared" si="176"/>
        <v>4259.0694999999996</v>
      </c>
      <c r="AF817">
        <f t="shared" si="177"/>
        <v>1128.7494999999994</v>
      </c>
      <c r="AG817">
        <f t="shared" si="178"/>
        <v>0.26502255950507486</v>
      </c>
      <c r="AH817" t="str">
        <f t="shared" si="170"/>
        <v>April</v>
      </c>
      <c r="AI817">
        <f t="shared" si="171"/>
        <v>2024</v>
      </c>
      <c r="AJ817" t="str">
        <f t="shared" si="179"/>
        <v>OK</v>
      </c>
      <c r="AK817" t="str">
        <f t="shared" si="180"/>
        <v>OK</v>
      </c>
      <c r="AL817" t="str">
        <f t="shared" si="181"/>
        <v>Exclude</v>
      </c>
      <c r="AM817" t="str">
        <f t="shared" si="172"/>
        <v>Clean</v>
      </c>
    </row>
    <row r="818" spans="1:39">
      <c r="A818" t="s">
        <v>2520</v>
      </c>
      <c r="B818" s="4">
        <v>45623</v>
      </c>
      <c r="C818" s="4">
        <v>45626</v>
      </c>
      <c r="D818" s="6">
        <v>3</v>
      </c>
      <c r="E818" t="s">
        <v>2788</v>
      </c>
      <c r="F818" t="s">
        <v>2788</v>
      </c>
      <c r="G818" t="s">
        <v>2788</v>
      </c>
      <c r="H818" t="s">
        <v>2521</v>
      </c>
      <c r="I818" t="s">
        <v>118</v>
      </c>
      <c r="J818" t="s">
        <v>37</v>
      </c>
      <c r="K818" t="s">
        <v>38</v>
      </c>
      <c r="L818" t="s">
        <v>228</v>
      </c>
      <c r="M818" t="s">
        <v>229</v>
      </c>
      <c r="N818" t="s">
        <v>41</v>
      </c>
      <c r="O818" t="s">
        <v>57</v>
      </c>
      <c r="P818" t="s">
        <v>2522</v>
      </c>
      <c r="Q818" t="s">
        <v>50</v>
      </c>
      <c r="R818">
        <v>1</v>
      </c>
      <c r="S818">
        <v>874.3</v>
      </c>
      <c r="T818">
        <v>0.1</v>
      </c>
      <c r="U818">
        <v>786.87</v>
      </c>
      <c r="V818">
        <v>498.5</v>
      </c>
      <c r="W818">
        <v>288.37</v>
      </c>
      <c r="X818" t="s">
        <v>32</v>
      </c>
      <c r="Y818" t="s">
        <v>33</v>
      </c>
      <c r="Z818" t="str">
        <f t="shared" si="168"/>
        <v>Unique</v>
      </c>
      <c r="AA818" t="str">
        <f t="shared" si="169"/>
        <v>Unique</v>
      </c>
      <c r="AB818" t="str">
        <f t="shared" si="173"/>
        <v>OK</v>
      </c>
      <c r="AC818">
        <f t="shared" si="174"/>
        <v>0.1</v>
      </c>
      <c r="AD818" t="str">
        <f t="shared" si="175"/>
        <v>OK</v>
      </c>
      <c r="AE818">
        <f t="shared" si="176"/>
        <v>786.87</v>
      </c>
      <c r="AF818">
        <f t="shared" si="177"/>
        <v>288.37</v>
      </c>
      <c r="AG818">
        <f t="shared" si="178"/>
        <v>0.36647730883119195</v>
      </c>
      <c r="AH818" t="str">
        <f t="shared" si="170"/>
        <v>November</v>
      </c>
      <c r="AI818">
        <f t="shared" si="171"/>
        <v>2024</v>
      </c>
      <c r="AJ818" t="str">
        <f t="shared" si="179"/>
        <v>OK</v>
      </c>
      <c r="AK818" t="str">
        <f t="shared" si="180"/>
        <v>OK</v>
      </c>
      <c r="AL818" t="str">
        <f t="shared" si="181"/>
        <v>Include</v>
      </c>
      <c r="AM818" t="str">
        <f t="shared" si="172"/>
        <v>Clean</v>
      </c>
    </row>
    <row r="819" spans="1:39">
      <c r="A819" t="s">
        <v>2523</v>
      </c>
      <c r="B819" s="4">
        <v>45752</v>
      </c>
      <c r="C819" s="4">
        <v>45752</v>
      </c>
      <c r="D819" s="6">
        <v>0</v>
      </c>
      <c r="E819" t="s">
        <v>2788</v>
      </c>
      <c r="F819" t="s">
        <v>2788</v>
      </c>
      <c r="G819" t="s">
        <v>2788</v>
      </c>
      <c r="H819" t="s">
        <v>2524</v>
      </c>
      <c r="I819" t="s">
        <v>132</v>
      </c>
      <c r="J819" t="s">
        <v>24</v>
      </c>
      <c r="K819" t="s">
        <v>38</v>
      </c>
      <c r="L819" t="s">
        <v>145</v>
      </c>
      <c r="M819" t="s">
        <v>146</v>
      </c>
      <c r="N819" t="s">
        <v>28</v>
      </c>
      <c r="O819" t="s">
        <v>153</v>
      </c>
      <c r="P819" t="s">
        <v>2525</v>
      </c>
      <c r="Q819" t="s">
        <v>59</v>
      </c>
      <c r="R819">
        <v>6</v>
      </c>
      <c r="S819">
        <v>1829.69</v>
      </c>
      <c r="T819">
        <v>0.25</v>
      </c>
      <c r="U819">
        <v>8233.6</v>
      </c>
      <c r="V819">
        <v>4713.79</v>
      </c>
      <c r="W819">
        <v>3519.81</v>
      </c>
      <c r="X819" t="s">
        <v>32</v>
      </c>
      <c r="Y819" t="s">
        <v>33</v>
      </c>
      <c r="Z819" t="str">
        <f t="shared" si="168"/>
        <v>Unique</v>
      </c>
      <c r="AA819" t="str">
        <f t="shared" si="169"/>
        <v>Unique</v>
      </c>
      <c r="AB819" t="str">
        <f t="shared" si="173"/>
        <v>OK</v>
      </c>
      <c r="AC819">
        <f t="shared" si="174"/>
        <v>0.25</v>
      </c>
      <c r="AD819" t="str">
        <f t="shared" si="175"/>
        <v>OK</v>
      </c>
      <c r="AE819">
        <f t="shared" si="176"/>
        <v>8233.6049999999996</v>
      </c>
      <c r="AF819">
        <f t="shared" si="177"/>
        <v>3519.8149999999996</v>
      </c>
      <c r="AG819">
        <f t="shared" si="178"/>
        <v>0.42749378917254349</v>
      </c>
      <c r="AH819" t="str">
        <f t="shared" si="170"/>
        <v>April</v>
      </c>
      <c r="AI819">
        <f t="shared" si="171"/>
        <v>2025</v>
      </c>
      <c r="AJ819" t="str">
        <f t="shared" si="179"/>
        <v>OK</v>
      </c>
      <c r="AK819" t="str">
        <f t="shared" si="180"/>
        <v>OK</v>
      </c>
      <c r="AL819" t="str">
        <f t="shared" si="181"/>
        <v>Include</v>
      </c>
      <c r="AM819" t="str">
        <f t="shared" si="172"/>
        <v>Clean</v>
      </c>
    </row>
    <row r="820" spans="1:39">
      <c r="A820" t="s">
        <v>2526</v>
      </c>
      <c r="B820" s="4">
        <v>45564</v>
      </c>
      <c r="C820" s="4">
        <v>45570</v>
      </c>
      <c r="D820" s="6">
        <v>6</v>
      </c>
      <c r="E820" t="s">
        <v>2788</v>
      </c>
      <c r="F820" t="s">
        <v>2788</v>
      </c>
      <c r="G820" t="s">
        <v>2788</v>
      </c>
      <c r="H820" t="s">
        <v>2527</v>
      </c>
      <c r="I820" t="s">
        <v>114</v>
      </c>
      <c r="J820" t="s">
        <v>37</v>
      </c>
      <c r="K820" t="s">
        <v>63</v>
      </c>
      <c r="L820" t="s">
        <v>64</v>
      </c>
      <c r="M820" t="s">
        <v>65</v>
      </c>
      <c r="N820" t="s">
        <v>28</v>
      </c>
      <c r="O820" t="s">
        <v>91</v>
      </c>
      <c r="P820" t="s">
        <v>2528</v>
      </c>
      <c r="Q820" t="s">
        <v>50</v>
      </c>
      <c r="R820">
        <v>8</v>
      </c>
      <c r="S820">
        <v>1981.04</v>
      </c>
      <c r="T820">
        <v>-0.14000000000000001</v>
      </c>
      <c r="U820">
        <v>12678.66</v>
      </c>
      <c r="V820">
        <v>10088.65</v>
      </c>
      <c r="W820">
        <v>2590.0100000000002</v>
      </c>
      <c r="X820" t="s">
        <v>32</v>
      </c>
      <c r="Y820" t="s">
        <v>33</v>
      </c>
      <c r="Z820" t="str">
        <f t="shared" si="168"/>
        <v>Unique</v>
      </c>
      <c r="AA820" t="str">
        <f t="shared" si="169"/>
        <v>Unique</v>
      </c>
      <c r="AB820" t="str">
        <f t="shared" si="173"/>
        <v>OK</v>
      </c>
      <c r="AC820">
        <f t="shared" si="174"/>
        <v>-0.14000000000000001</v>
      </c>
      <c r="AD820" t="str">
        <f t="shared" si="175"/>
        <v>Invalid Negative Discount</v>
      </c>
      <c r="AE820">
        <f t="shared" si="176"/>
        <v>18067.084800000001</v>
      </c>
      <c r="AF820">
        <f t="shared" si="177"/>
        <v>7978.4348000000009</v>
      </c>
      <c r="AG820">
        <f t="shared" si="178"/>
        <v>0.44160056192352631</v>
      </c>
      <c r="AH820" t="str">
        <f t="shared" si="170"/>
        <v>September</v>
      </c>
      <c r="AI820">
        <f t="shared" si="171"/>
        <v>2024</v>
      </c>
      <c r="AJ820" t="str">
        <f t="shared" si="179"/>
        <v>Sales Mismatch</v>
      </c>
      <c r="AK820" t="str">
        <f t="shared" si="180"/>
        <v>Profit Mismatch</v>
      </c>
      <c r="AL820" t="str">
        <f t="shared" si="181"/>
        <v>Include</v>
      </c>
      <c r="AM820" t="str">
        <f t="shared" si="172"/>
        <v>Invalid</v>
      </c>
    </row>
    <row r="821" spans="1:39">
      <c r="A821" t="s">
        <v>2529</v>
      </c>
      <c r="B821" s="4">
        <v>45504</v>
      </c>
      <c r="C821" s="4">
        <v>45504</v>
      </c>
      <c r="D821" s="6">
        <v>0</v>
      </c>
      <c r="E821" t="s">
        <v>2788</v>
      </c>
      <c r="F821" t="s">
        <v>2788</v>
      </c>
      <c r="G821" t="s">
        <v>2788</v>
      </c>
      <c r="H821" t="s">
        <v>2530</v>
      </c>
      <c r="I821" t="s">
        <v>23</v>
      </c>
      <c r="J821" t="s">
        <v>95</v>
      </c>
      <c r="K821" t="s">
        <v>54</v>
      </c>
      <c r="L821" t="s">
        <v>185</v>
      </c>
      <c r="M821" t="s">
        <v>186</v>
      </c>
      <c r="N821" t="s">
        <v>74</v>
      </c>
      <c r="O821" t="s">
        <v>274</v>
      </c>
      <c r="P821" t="s">
        <v>2531</v>
      </c>
      <c r="Q821" t="s">
        <v>59</v>
      </c>
      <c r="R821">
        <v>8</v>
      </c>
      <c r="S821">
        <v>4246.01</v>
      </c>
      <c r="T821">
        <v>0</v>
      </c>
      <c r="U821">
        <v>33968.080000000002</v>
      </c>
      <c r="V821">
        <v>26902.44</v>
      </c>
      <c r="W821">
        <v>7065.64</v>
      </c>
      <c r="X821" t="s">
        <v>155</v>
      </c>
      <c r="Y821" t="s">
        <v>68</v>
      </c>
      <c r="Z821" t="str">
        <f t="shared" si="168"/>
        <v>Unique</v>
      </c>
      <c r="AA821" t="str">
        <f t="shared" si="169"/>
        <v>Unique</v>
      </c>
      <c r="AB821" t="str">
        <f t="shared" si="173"/>
        <v>OK</v>
      </c>
      <c r="AC821">
        <f t="shared" si="174"/>
        <v>0</v>
      </c>
      <c r="AD821" t="str">
        <f t="shared" si="175"/>
        <v>OK</v>
      </c>
      <c r="AE821">
        <f t="shared" si="176"/>
        <v>33968.080000000002</v>
      </c>
      <c r="AF821">
        <f t="shared" si="177"/>
        <v>7065.6400000000031</v>
      </c>
      <c r="AG821">
        <f t="shared" si="178"/>
        <v>0.20800822419165294</v>
      </c>
      <c r="AH821" t="str">
        <f t="shared" si="170"/>
        <v>July</v>
      </c>
      <c r="AI821">
        <f t="shared" si="171"/>
        <v>2024</v>
      </c>
      <c r="AJ821" t="str">
        <f t="shared" si="179"/>
        <v>OK</v>
      </c>
      <c r="AK821" t="str">
        <f t="shared" si="180"/>
        <v>OK</v>
      </c>
      <c r="AL821" t="str">
        <f t="shared" si="181"/>
        <v>Exclude</v>
      </c>
      <c r="AM821" t="str">
        <f t="shared" si="172"/>
        <v>Clean</v>
      </c>
    </row>
    <row r="822" spans="1:39">
      <c r="A822" t="s">
        <v>2532</v>
      </c>
      <c r="B822" s="4">
        <v>45694</v>
      </c>
      <c r="C822" s="4">
        <v>45698</v>
      </c>
      <c r="D822" s="6">
        <v>4</v>
      </c>
      <c r="E822" t="s">
        <v>2788</v>
      </c>
      <c r="F822" t="s">
        <v>2788</v>
      </c>
      <c r="G822" t="s">
        <v>2788</v>
      </c>
      <c r="H822" t="s">
        <v>2533</v>
      </c>
      <c r="I822" t="s">
        <v>62</v>
      </c>
      <c r="J822" t="s">
        <v>95</v>
      </c>
      <c r="K822" t="s">
        <v>25</v>
      </c>
      <c r="L822" t="s">
        <v>136</v>
      </c>
      <c r="M822" t="s">
        <v>137</v>
      </c>
      <c r="N822" t="s">
        <v>41</v>
      </c>
      <c r="O822" t="s">
        <v>158</v>
      </c>
      <c r="P822" t="s">
        <v>2534</v>
      </c>
      <c r="Q822" t="s">
        <v>59</v>
      </c>
      <c r="R822">
        <v>2</v>
      </c>
      <c r="S822">
        <v>319.57</v>
      </c>
      <c r="T822">
        <v>0.2</v>
      </c>
      <c r="U822">
        <v>511.31</v>
      </c>
      <c r="V822">
        <v>436.43</v>
      </c>
      <c r="W822">
        <v>74.88</v>
      </c>
      <c r="X822" t="s">
        <v>32</v>
      </c>
      <c r="Y822" t="s">
        <v>33</v>
      </c>
      <c r="Z822" t="str">
        <f t="shared" si="168"/>
        <v>Unique</v>
      </c>
      <c r="AA822" t="str">
        <f t="shared" si="169"/>
        <v>Unique</v>
      </c>
      <c r="AB822" t="str">
        <f t="shared" si="173"/>
        <v>OK</v>
      </c>
      <c r="AC822">
        <f t="shared" si="174"/>
        <v>0.2</v>
      </c>
      <c r="AD822" t="str">
        <f t="shared" si="175"/>
        <v>OK</v>
      </c>
      <c r="AE822">
        <f t="shared" si="176"/>
        <v>511.31200000000001</v>
      </c>
      <c r="AF822">
        <f t="shared" si="177"/>
        <v>74.882000000000005</v>
      </c>
      <c r="AG822">
        <f t="shared" si="178"/>
        <v>0.14645069937728825</v>
      </c>
      <c r="AH822" t="str">
        <f t="shared" si="170"/>
        <v>February</v>
      </c>
      <c r="AI822">
        <f t="shared" si="171"/>
        <v>2025</v>
      </c>
      <c r="AJ822" t="str">
        <f t="shared" si="179"/>
        <v>OK</v>
      </c>
      <c r="AK822" t="str">
        <f t="shared" si="180"/>
        <v>OK</v>
      </c>
      <c r="AL822" t="str">
        <f t="shared" si="181"/>
        <v>Include</v>
      </c>
      <c r="AM822" t="str">
        <f t="shared" si="172"/>
        <v>Clean</v>
      </c>
    </row>
    <row r="823" spans="1:39">
      <c r="A823" t="s">
        <v>2535</v>
      </c>
      <c r="B823" s="4">
        <v>45476</v>
      </c>
      <c r="C823" s="4">
        <v>45479</v>
      </c>
      <c r="D823" s="6">
        <v>3</v>
      </c>
      <c r="E823" t="s">
        <v>2788</v>
      </c>
      <c r="F823" t="s">
        <v>2788</v>
      </c>
      <c r="G823" t="s">
        <v>2788</v>
      </c>
      <c r="H823" t="s">
        <v>2536</v>
      </c>
      <c r="I823" t="s">
        <v>128</v>
      </c>
      <c r="J823" t="s">
        <v>90</v>
      </c>
      <c r="K823" t="s">
        <v>54</v>
      </c>
      <c r="L823" t="s">
        <v>175</v>
      </c>
      <c r="M823" t="s">
        <v>176</v>
      </c>
      <c r="N823" t="s">
        <v>74</v>
      </c>
      <c r="O823" t="s">
        <v>75</v>
      </c>
      <c r="P823" t="s">
        <v>2537</v>
      </c>
      <c r="Q823" t="s">
        <v>50</v>
      </c>
      <c r="R823">
        <v>7</v>
      </c>
      <c r="S823">
        <v>1942.49</v>
      </c>
      <c r="T823">
        <v>0.2</v>
      </c>
      <c r="U823">
        <v>10877.94</v>
      </c>
      <c r="V823">
        <v>9110.14</v>
      </c>
      <c r="W823">
        <v>1767.8</v>
      </c>
      <c r="X823" t="s">
        <v>32</v>
      </c>
      <c r="Y823" t="s">
        <v>33</v>
      </c>
      <c r="Z823" t="str">
        <f t="shared" si="168"/>
        <v>Unique</v>
      </c>
      <c r="AA823" t="str">
        <f t="shared" si="169"/>
        <v>Unique</v>
      </c>
      <c r="AB823" t="str">
        <f t="shared" si="173"/>
        <v>OK</v>
      </c>
      <c r="AC823">
        <f t="shared" si="174"/>
        <v>0.2</v>
      </c>
      <c r="AD823" t="str">
        <f t="shared" si="175"/>
        <v>OK</v>
      </c>
      <c r="AE823">
        <f t="shared" si="176"/>
        <v>10877.944000000001</v>
      </c>
      <c r="AF823">
        <f t="shared" si="177"/>
        <v>1767.8040000000019</v>
      </c>
      <c r="AG823">
        <f t="shared" si="178"/>
        <v>0.16251269541376584</v>
      </c>
      <c r="AH823" t="str">
        <f t="shared" si="170"/>
        <v>July</v>
      </c>
      <c r="AI823">
        <f t="shared" si="171"/>
        <v>2024</v>
      </c>
      <c r="AJ823" t="str">
        <f t="shared" si="179"/>
        <v>OK</v>
      </c>
      <c r="AK823" t="str">
        <f t="shared" si="180"/>
        <v>OK</v>
      </c>
      <c r="AL823" t="str">
        <f t="shared" si="181"/>
        <v>Include</v>
      </c>
      <c r="AM823" t="str">
        <f t="shared" si="172"/>
        <v>Clean</v>
      </c>
    </row>
    <row r="824" spans="1:39">
      <c r="A824" t="s">
        <v>2538</v>
      </c>
      <c r="B824" s="4">
        <v>45577</v>
      </c>
      <c r="C824" s="4">
        <v>45573</v>
      </c>
      <c r="D824" s="6">
        <v>-4</v>
      </c>
      <c r="E824" t="s">
        <v>2788</v>
      </c>
      <c r="F824" t="s">
        <v>2788</v>
      </c>
      <c r="G824" t="s">
        <v>2790</v>
      </c>
      <c r="H824" t="s">
        <v>2539</v>
      </c>
      <c r="I824" t="s">
        <v>36</v>
      </c>
      <c r="J824" t="s">
        <v>90</v>
      </c>
      <c r="K824" t="s">
        <v>38</v>
      </c>
      <c r="L824" t="s">
        <v>166</v>
      </c>
      <c r="M824" t="s">
        <v>167</v>
      </c>
      <c r="N824" t="s">
        <v>41</v>
      </c>
      <c r="O824" t="s">
        <v>57</v>
      </c>
      <c r="P824" t="s">
        <v>2540</v>
      </c>
      <c r="Q824" t="s">
        <v>31</v>
      </c>
      <c r="R824">
        <v>4</v>
      </c>
      <c r="S824">
        <v>3202.04</v>
      </c>
      <c r="T824">
        <v>0.2</v>
      </c>
      <c r="U824">
        <v>10246.530000000001</v>
      </c>
      <c r="V824">
        <v>8634.42</v>
      </c>
      <c r="W824">
        <v>1612.11</v>
      </c>
      <c r="X824" t="s">
        <v>111</v>
      </c>
      <c r="Y824" t="s">
        <v>103</v>
      </c>
      <c r="Z824" t="str">
        <f t="shared" si="168"/>
        <v>Unique</v>
      </c>
      <c r="AA824" t="str">
        <f t="shared" si="169"/>
        <v>Unique</v>
      </c>
      <c r="AB824" t="str">
        <f t="shared" si="173"/>
        <v>OK</v>
      </c>
      <c r="AC824">
        <f t="shared" si="174"/>
        <v>0.2</v>
      </c>
      <c r="AD824" t="str">
        <f t="shared" si="175"/>
        <v>OK</v>
      </c>
      <c r="AE824">
        <f t="shared" si="176"/>
        <v>10246.528</v>
      </c>
      <c r="AF824">
        <f t="shared" si="177"/>
        <v>1612.1080000000002</v>
      </c>
      <c r="AG824">
        <f t="shared" si="178"/>
        <v>0.15733212264681268</v>
      </c>
      <c r="AH824" t="str">
        <f t="shared" si="170"/>
        <v>October</v>
      </c>
      <c r="AI824">
        <f t="shared" si="171"/>
        <v>2024</v>
      </c>
      <c r="AJ824" t="str">
        <f t="shared" si="179"/>
        <v>OK</v>
      </c>
      <c r="AK824" t="str">
        <f t="shared" si="180"/>
        <v>OK</v>
      </c>
      <c r="AL824" t="str">
        <f t="shared" si="181"/>
        <v>Exclude</v>
      </c>
      <c r="AM824" t="str">
        <f t="shared" si="172"/>
        <v>Warning</v>
      </c>
    </row>
    <row r="825" spans="1:39">
      <c r="A825" t="s">
        <v>2541</v>
      </c>
      <c r="B825" s="4">
        <v>45663</v>
      </c>
      <c r="C825" s="4">
        <v>45669</v>
      </c>
      <c r="D825" s="6">
        <v>6</v>
      </c>
      <c r="E825" t="s">
        <v>2788</v>
      </c>
      <c r="F825" t="s">
        <v>2788</v>
      </c>
      <c r="G825" t="s">
        <v>2788</v>
      </c>
      <c r="H825" t="s">
        <v>2542</v>
      </c>
      <c r="I825" t="s">
        <v>36</v>
      </c>
      <c r="J825" t="s">
        <v>95</v>
      </c>
      <c r="K825" t="s">
        <v>63</v>
      </c>
      <c r="L825" t="s">
        <v>190</v>
      </c>
      <c r="M825" t="s">
        <v>191</v>
      </c>
      <c r="N825" t="s">
        <v>28</v>
      </c>
      <c r="O825" t="s">
        <v>29</v>
      </c>
      <c r="P825" t="s">
        <v>2543</v>
      </c>
      <c r="Q825" t="s">
        <v>44</v>
      </c>
      <c r="R825">
        <v>3</v>
      </c>
      <c r="S825">
        <v>668.33</v>
      </c>
      <c r="T825">
        <v>0.15</v>
      </c>
      <c r="U825">
        <v>1704.24</v>
      </c>
      <c r="V825">
        <v>957.55</v>
      </c>
      <c r="W825">
        <v>746.69</v>
      </c>
      <c r="X825" t="s">
        <v>32</v>
      </c>
      <c r="Y825" t="s">
        <v>33</v>
      </c>
      <c r="Z825" t="str">
        <f t="shared" si="168"/>
        <v>Unique</v>
      </c>
      <c r="AA825" t="str">
        <f t="shared" si="169"/>
        <v>Unique</v>
      </c>
      <c r="AB825" t="str">
        <f t="shared" si="173"/>
        <v>OK</v>
      </c>
      <c r="AC825">
        <f t="shared" si="174"/>
        <v>0.15</v>
      </c>
      <c r="AD825" t="str">
        <f t="shared" si="175"/>
        <v>OK</v>
      </c>
      <c r="AE825">
        <f t="shared" si="176"/>
        <v>1704.2415000000001</v>
      </c>
      <c r="AF825">
        <f t="shared" si="177"/>
        <v>746.69150000000013</v>
      </c>
      <c r="AG825">
        <f t="shared" si="178"/>
        <v>0.43813714194848563</v>
      </c>
      <c r="AH825" t="str">
        <f t="shared" si="170"/>
        <v>January</v>
      </c>
      <c r="AI825">
        <f t="shared" si="171"/>
        <v>2025</v>
      </c>
      <c r="AJ825" t="str">
        <f t="shared" si="179"/>
        <v>OK</v>
      </c>
      <c r="AK825" t="str">
        <f t="shared" si="180"/>
        <v>OK</v>
      </c>
      <c r="AL825" t="str">
        <f t="shared" si="181"/>
        <v>Include</v>
      </c>
      <c r="AM825" t="str">
        <f t="shared" si="172"/>
        <v>Clean</v>
      </c>
    </row>
    <row r="826" spans="1:39">
      <c r="A826" t="s">
        <v>2544</v>
      </c>
      <c r="B826" s="4">
        <v>45737</v>
      </c>
      <c r="C826" s="4">
        <v>45738</v>
      </c>
      <c r="D826" s="6">
        <v>1</v>
      </c>
      <c r="E826" t="s">
        <v>2788</v>
      </c>
      <c r="F826" t="s">
        <v>2788</v>
      </c>
      <c r="G826" t="s">
        <v>2788</v>
      </c>
      <c r="H826" t="s">
        <v>2545</v>
      </c>
      <c r="I826" t="s">
        <v>114</v>
      </c>
      <c r="J826" t="s">
        <v>24</v>
      </c>
      <c r="K826" t="s">
        <v>63</v>
      </c>
      <c r="L826" t="s">
        <v>190</v>
      </c>
      <c r="M826" t="s">
        <v>191</v>
      </c>
      <c r="N826" t="s">
        <v>28</v>
      </c>
      <c r="O826" t="s">
        <v>29</v>
      </c>
      <c r="P826" t="s">
        <v>2546</v>
      </c>
      <c r="Q826" t="s">
        <v>50</v>
      </c>
      <c r="R826">
        <v>8</v>
      </c>
      <c r="S826">
        <v>4436.74</v>
      </c>
      <c r="T826">
        <v>0.05</v>
      </c>
      <c r="U826">
        <v>33719.22</v>
      </c>
      <c r="V826">
        <v>28924.43</v>
      </c>
      <c r="W826">
        <v>4794.79</v>
      </c>
      <c r="X826" t="s">
        <v>32</v>
      </c>
      <c r="Y826" t="s">
        <v>33</v>
      </c>
      <c r="Z826" t="str">
        <f t="shared" si="168"/>
        <v>Unique</v>
      </c>
      <c r="AA826" t="str">
        <f t="shared" si="169"/>
        <v>Unique</v>
      </c>
      <c r="AB826" t="str">
        <f t="shared" si="173"/>
        <v>OK</v>
      </c>
      <c r="AC826">
        <f t="shared" si="174"/>
        <v>0.05</v>
      </c>
      <c r="AD826" t="str">
        <f t="shared" si="175"/>
        <v>OK</v>
      </c>
      <c r="AE826">
        <f t="shared" si="176"/>
        <v>33719.223999999995</v>
      </c>
      <c r="AF826">
        <f t="shared" si="177"/>
        <v>4794.7939999999944</v>
      </c>
      <c r="AG826">
        <f t="shared" si="178"/>
        <v>0.14219763776295669</v>
      </c>
      <c r="AH826" t="str">
        <f t="shared" si="170"/>
        <v>March</v>
      </c>
      <c r="AI826">
        <f t="shared" si="171"/>
        <v>2025</v>
      </c>
      <c r="AJ826" t="str">
        <f t="shared" si="179"/>
        <v>OK</v>
      </c>
      <c r="AK826" t="str">
        <f t="shared" si="180"/>
        <v>OK</v>
      </c>
      <c r="AL826" t="str">
        <f t="shared" si="181"/>
        <v>Include</v>
      </c>
      <c r="AM826" t="str">
        <f t="shared" si="172"/>
        <v>Clean</v>
      </c>
    </row>
    <row r="827" spans="1:39">
      <c r="A827" t="s">
        <v>2547</v>
      </c>
      <c r="B827" s="4">
        <v>45763</v>
      </c>
      <c r="C827" s="4">
        <v>45764</v>
      </c>
      <c r="D827" s="6">
        <v>1</v>
      </c>
      <c r="E827" t="s">
        <v>2788</v>
      </c>
      <c r="F827" t="s">
        <v>2788</v>
      </c>
      <c r="G827" t="s">
        <v>2788</v>
      </c>
      <c r="H827" t="s">
        <v>2548</v>
      </c>
      <c r="I827" t="s">
        <v>71</v>
      </c>
      <c r="J827" t="s">
        <v>37</v>
      </c>
      <c r="K827" t="s">
        <v>25</v>
      </c>
      <c r="L827" t="s">
        <v>136</v>
      </c>
      <c r="M827" t="s">
        <v>137</v>
      </c>
      <c r="N827" t="s">
        <v>74</v>
      </c>
      <c r="O827" t="s">
        <v>274</v>
      </c>
      <c r="P827" t="s">
        <v>2549</v>
      </c>
      <c r="Q827" t="s">
        <v>50</v>
      </c>
      <c r="R827">
        <v>1</v>
      </c>
      <c r="S827">
        <v>2720.17</v>
      </c>
      <c r="T827">
        <v>0</v>
      </c>
      <c r="U827">
        <v>2720.17</v>
      </c>
      <c r="V827">
        <v>1834.23</v>
      </c>
      <c r="W827">
        <v>885.94</v>
      </c>
      <c r="X827" t="s">
        <v>32</v>
      </c>
      <c r="Y827" t="s">
        <v>33</v>
      </c>
      <c r="Z827" t="str">
        <f t="shared" si="168"/>
        <v>Unique</v>
      </c>
      <c r="AA827" t="str">
        <f t="shared" si="169"/>
        <v>Unique</v>
      </c>
      <c r="AB827" t="str">
        <f t="shared" si="173"/>
        <v>OK</v>
      </c>
      <c r="AC827">
        <f t="shared" si="174"/>
        <v>0</v>
      </c>
      <c r="AD827" t="str">
        <f t="shared" si="175"/>
        <v>OK</v>
      </c>
      <c r="AE827">
        <f t="shared" si="176"/>
        <v>2720.17</v>
      </c>
      <c r="AF827">
        <f t="shared" si="177"/>
        <v>885.94</v>
      </c>
      <c r="AG827">
        <f t="shared" si="178"/>
        <v>0.3256928794891496</v>
      </c>
      <c r="AH827" t="str">
        <f t="shared" si="170"/>
        <v>April</v>
      </c>
      <c r="AI827">
        <f t="shared" si="171"/>
        <v>2025</v>
      </c>
      <c r="AJ827" t="str">
        <f t="shared" si="179"/>
        <v>OK</v>
      </c>
      <c r="AK827" t="str">
        <f t="shared" si="180"/>
        <v>OK</v>
      </c>
      <c r="AL827" t="str">
        <f t="shared" si="181"/>
        <v>Include</v>
      </c>
      <c r="AM827" t="str">
        <f t="shared" si="172"/>
        <v>Clean</v>
      </c>
    </row>
    <row r="828" spans="1:39">
      <c r="A828" t="s">
        <v>2550</v>
      </c>
      <c r="B828" s="4">
        <v>45879</v>
      </c>
      <c r="C828" s="4">
        <v>45883</v>
      </c>
      <c r="D828" s="6">
        <v>4</v>
      </c>
      <c r="E828" t="s">
        <v>2788</v>
      </c>
      <c r="F828" t="s">
        <v>2788</v>
      </c>
      <c r="G828" t="s">
        <v>2788</v>
      </c>
      <c r="H828" t="s">
        <v>2551</v>
      </c>
      <c r="I828" t="s">
        <v>89</v>
      </c>
      <c r="J828" t="s">
        <v>24</v>
      </c>
      <c r="K828" t="s">
        <v>63</v>
      </c>
      <c r="L828" t="s">
        <v>26</v>
      </c>
      <c r="M828" t="s">
        <v>109</v>
      </c>
      <c r="N828" t="s">
        <v>74</v>
      </c>
      <c r="O828" t="s">
        <v>75</v>
      </c>
      <c r="P828" t="s">
        <v>2552</v>
      </c>
      <c r="Q828" t="s">
        <v>59</v>
      </c>
      <c r="R828">
        <v>5</v>
      </c>
      <c r="S828">
        <v>2190.14</v>
      </c>
      <c r="T828">
        <v>0.25</v>
      </c>
      <c r="U828">
        <v>8213.02</v>
      </c>
      <c r="V828">
        <v>5569.3</v>
      </c>
      <c r="W828">
        <v>2643.72</v>
      </c>
      <c r="X828" t="s">
        <v>32</v>
      </c>
      <c r="Y828" t="s">
        <v>33</v>
      </c>
      <c r="Z828" t="str">
        <f t="shared" si="168"/>
        <v>Unique</v>
      </c>
      <c r="AA828" t="str">
        <f t="shared" si="169"/>
        <v>Unique</v>
      </c>
      <c r="AB828" t="str">
        <f t="shared" si="173"/>
        <v>OK</v>
      </c>
      <c r="AC828">
        <f t="shared" si="174"/>
        <v>0.25</v>
      </c>
      <c r="AD828" t="str">
        <f t="shared" si="175"/>
        <v>OK</v>
      </c>
      <c r="AE828">
        <f t="shared" si="176"/>
        <v>8213.0249999999996</v>
      </c>
      <c r="AF828">
        <f t="shared" si="177"/>
        <v>2643.7249999999995</v>
      </c>
      <c r="AG828">
        <f t="shared" si="178"/>
        <v>0.32189418636860345</v>
      </c>
      <c r="AH828" t="str">
        <f t="shared" si="170"/>
        <v>August</v>
      </c>
      <c r="AI828">
        <f t="shared" si="171"/>
        <v>2025</v>
      </c>
      <c r="AJ828" t="str">
        <f t="shared" si="179"/>
        <v>OK</v>
      </c>
      <c r="AK828" t="str">
        <f t="shared" si="180"/>
        <v>OK</v>
      </c>
      <c r="AL828" t="str">
        <f t="shared" si="181"/>
        <v>Include</v>
      </c>
      <c r="AM828" t="str">
        <f t="shared" si="172"/>
        <v>Clean</v>
      </c>
    </row>
    <row r="829" spans="1:39">
      <c r="A829" t="s">
        <v>2553</v>
      </c>
      <c r="B829" s="4">
        <v>45620</v>
      </c>
      <c r="C829" s="4">
        <v>45627</v>
      </c>
      <c r="D829" s="6">
        <v>7</v>
      </c>
      <c r="E829" t="s">
        <v>2788</v>
      </c>
      <c r="F829" t="s">
        <v>2788</v>
      </c>
      <c r="G829" t="s">
        <v>2788</v>
      </c>
      <c r="H829" t="s">
        <v>2554</v>
      </c>
      <c r="I829" t="s">
        <v>114</v>
      </c>
      <c r="J829" t="s">
        <v>95</v>
      </c>
      <c r="K829" t="s">
        <v>54</v>
      </c>
      <c r="L829" t="s">
        <v>247</v>
      </c>
      <c r="M829" t="s">
        <v>248</v>
      </c>
      <c r="N829" t="s">
        <v>28</v>
      </c>
      <c r="O829" t="s">
        <v>29</v>
      </c>
      <c r="P829" t="s">
        <v>2555</v>
      </c>
      <c r="Q829" t="s">
        <v>44</v>
      </c>
      <c r="R829">
        <v>1</v>
      </c>
      <c r="S829">
        <v>844.89</v>
      </c>
      <c r="T829">
        <v>0.25</v>
      </c>
      <c r="U829">
        <v>633.66999999999996</v>
      </c>
      <c r="V829">
        <v>520.47</v>
      </c>
      <c r="W829">
        <v>113.2</v>
      </c>
      <c r="X829" t="s">
        <v>32</v>
      </c>
      <c r="Y829" t="s">
        <v>68</v>
      </c>
      <c r="Z829" t="str">
        <f t="shared" si="168"/>
        <v>Unique</v>
      </c>
      <c r="AA829" t="str">
        <f t="shared" si="169"/>
        <v>Unique</v>
      </c>
      <c r="AB829" t="str">
        <f t="shared" si="173"/>
        <v>OK</v>
      </c>
      <c r="AC829">
        <f t="shared" si="174"/>
        <v>0.25</v>
      </c>
      <c r="AD829" t="str">
        <f t="shared" si="175"/>
        <v>OK</v>
      </c>
      <c r="AE829">
        <f t="shared" si="176"/>
        <v>633.66750000000002</v>
      </c>
      <c r="AF829">
        <f t="shared" si="177"/>
        <v>113.19749999999999</v>
      </c>
      <c r="AG829">
        <f t="shared" si="178"/>
        <v>0.17863863934950111</v>
      </c>
      <c r="AH829" t="str">
        <f t="shared" si="170"/>
        <v>November</v>
      </c>
      <c r="AI829">
        <f t="shared" si="171"/>
        <v>2024</v>
      </c>
      <c r="AJ829" t="str">
        <f t="shared" si="179"/>
        <v>OK</v>
      </c>
      <c r="AK829" t="str">
        <f t="shared" si="180"/>
        <v>OK</v>
      </c>
      <c r="AL829" t="str">
        <f t="shared" si="181"/>
        <v>Exclude</v>
      </c>
      <c r="AM829" t="str">
        <f t="shared" si="172"/>
        <v>Clean</v>
      </c>
    </row>
    <row r="830" spans="1:39">
      <c r="A830" t="s">
        <v>2556</v>
      </c>
      <c r="B830" s="4">
        <v>45940</v>
      </c>
      <c r="C830" s="4">
        <v>45941</v>
      </c>
      <c r="D830" s="6">
        <v>1</v>
      </c>
      <c r="E830" t="s">
        <v>2788</v>
      </c>
      <c r="F830" t="s">
        <v>2788</v>
      </c>
      <c r="G830" t="s">
        <v>2788</v>
      </c>
      <c r="H830" t="s">
        <v>2557</v>
      </c>
      <c r="I830" t="s">
        <v>23</v>
      </c>
      <c r="J830" t="s">
        <v>90</v>
      </c>
      <c r="K830" t="s">
        <v>38</v>
      </c>
      <c r="L830" t="s">
        <v>39</v>
      </c>
      <c r="M830" t="s">
        <v>40</v>
      </c>
      <c r="N830" t="s">
        <v>41</v>
      </c>
      <c r="O830" t="s">
        <v>66</v>
      </c>
      <c r="P830" t="s">
        <v>2558</v>
      </c>
      <c r="Q830" t="s">
        <v>31</v>
      </c>
      <c r="R830">
        <v>7</v>
      </c>
      <c r="S830">
        <v>3791.96</v>
      </c>
      <c r="T830">
        <v>0.05</v>
      </c>
      <c r="U830">
        <v>25216.53</v>
      </c>
      <c r="V830">
        <v>14216.94</v>
      </c>
      <c r="W830">
        <v>10999.59</v>
      </c>
      <c r="X830" t="s">
        <v>155</v>
      </c>
      <c r="Y830" t="s">
        <v>68</v>
      </c>
      <c r="Z830" t="str">
        <f t="shared" si="168"/>
        <v>Unique</v>
      </c>
      <c r="AA830" t="str">
        <f t="shared" si="169"/>
        <v>Unique</v>
      </c>
      <c r="AB830" t="str">
        <f t="shared" si="173"/>
        <v>OK</v>
      </c>
      <c r="AC830">
        <f t="shared" si="174"/>
        <v>0.05</v>
      </c>
      <c r="AD830" t="str">
        <f t="shared" si="175"/>
        <v>OK</v>
      </c>
      <c r="AE830">
        <f t="shared" si="176"/>
        <v>25216.534</v>
      </c>
      <c r="AF830">
        <f t="shared" si="177"/>
        <v>10999.593999999999</v>
      </c>
      <c r="AG830">
        <f t="shared" si="178"/>
        <v>0.4362056260388521</v>
      </c>
      <c r="AH830" t="str">
        <f t="shared" si="170"/>
        <v>October</v>
      </c>
      <c r="AI830">
        <f t="shared" si="171"/>
        <v>2025</v>
      </c>
      <c r="AJ830" t="str">
        <f t="shared" si="179"/>
        <v>OK</v>
      </c>
      <c r="AK830" t="str">
        <f t="shared" si="180"/>
        <v>OK</v>
      </c>
      <c r="AL830" t="str">
        <f t="shared" si="181"/>
        <v>Exclude</v>
      </c>
      <c r="AM830" t="str">
        <f t="shared" si="172"/>
        <v>Clean</v>
      </c>
    </row>
    <row r="831" spans="1:39">
      <c r="A831" t="s">
        <v>2559</v>
      </c>
      <c r="B831" s="4">
        <v>45348</v>
      </c>
      <c r="C831" s="4">
        <v>45350</v>
      </c>
      <c r="D831" s="6">
        <v>2</v>
      </c>
      <c r="E831" t="s">
        <v>2788</v>
      </c>
      <c r="F831" t="s">
        <v>2788</v>
      </c>
      <c r="G831" t="s">
        <v>2788</v>
      </c>
      <c r="H831" t="s">
        <v>2560</v>
      </c>
      <c r="I831" t="s">
        <v>89</v>
      </c>
      <c r="J831" t="s">
        <v>37</v>
      </c>
      <c r="K831" t="s">
        <v>63</v>
      </c>
      <c r="L831" t="s">
        <v>190</v>
      </c>
      <c r="M831" t="s">
        <v>191</v>
      </c>
      <c r="N831" t="s">
        <v>41</v>
      </c>
      <c r="O831" t="s">
        <v>57</v>
      </c>
      <c r="P831" t="s">
        <v>2561</v>
      </c>
      <c r="Q831" t="s">
        <v>31</v>
      </c>
      <c r="R831">
        <v>7</v>
      </c>
      <c r="S831">
        <v>1035.1400000000001</v>
      </c>
      <c r="T831">
        <v>0.1</v>
      </c>
      <c r="U831">
        <v>6521.38</v>
      </c>
      <c r="V831">
        <v>4511.1000000000004</v>
      </c>
      <c r="W831">
        <v>2010.28</v>
      </c>
      <c r="X831" t="s">
        <v>32</v>
      </c>
      <c r="Y831" t="s">
        <v>33</v>
      </c>
      <c r="Z831" t="str">
        <f t="shared" si="168"/>
        <v>Unique</v>
      </c>
      <c r="AA831" t="str">
        <f t="shared" si="169"/>
        <v>Unique</v>
      </c>
      <c r="AB831" t="str">
        <f t="shared" si="173"/>
        <v>OK</v>
      </c>
      <c r="AC831">
        <f t="shared" si="174"/>
        <v>0.1</v>
      </c>
      <c r="AD831" t="str">
        <f t="shared" si="175"/>
        <v>OK</v>
      </c>
      <c r="AE831">
        <f t="shared" si="176"/>
        <v>6521.3820000000005</v>
      </c>
      <c r="AF831">
        <f t="shared" si="177"/>
        <v>2010.2820000000002</v>
      </c>
      <c r="AG831">
        <f t="shared" si="178"/>
        <v>0.30826012032418892</v>
      </c>
      <c r="AH831" t="str">
        <f t="shared" si="170"/>
        <v>February</v>
      </c>
      <c r="AI831">
        <f t="shared" si="171"/>
        <v>2024</v>
      </c>
      <c r="AJ831" t="str">
        <f t="shared" si="179"/>
        <v>OK</v>
      </c>
      <c r="AK831" t="str">
        <f t="shared" si="180"/>
        <v>OK</v>
      </c>
      <c r="AL831" t="str">
        <f t="shared" si="181"/>
        <v>Include</v>
      </c>
      <c r="AM831" t="str">
        <f t="shared" si="172"/>
        <v>Clean</v>
      </c>
    </row>
    <row r="832" spans="1:39">
      <c r="A832" t="s">
        <v>2562</v>
      </c>
      <c r="B832" s="4">
        <v>45853</v>
      </c>
      <c r="C832" s="4">
        <v>45856</v>
      </c>
      <c r="D832" s="6">
        <v>3</v>
      </c>
      <c r="E832" t="s">
        <v>2788</v>
      </c>
      <c r="F832" t="s">
        <v>2788</v>
      </c>
      <c r="G832" t="s">
        <v>2788</v>
      </c>
      <c r="H832" t="s">
        <v>2563</v>
      </c>
      <c r="I832" t="s">
        <v>89</v>
      </c>
      <c r="J832" t="s">
        <v>37</v>
      </c>
      <c r="K832" t="s">
        <v>2783</v>
      </c>
      <c r="L832" t="s">
        <v>247</v>
      </c>
      <c r="M832" t="s">
        <v>248</v>
      </c>
      <c r="N832" t="s">
        <v>74</v>
      </c>
      <c r="O832" t="s">
        <v>274</v>
      </c>
      <c r="P832" t="s">
        <v>2564</v>
      </c>
      <c r="Q832" t="s">
        <v>50</v>
      </c>
      <c r="R832">
        <v>6</v>
      </c>
      <c r="S832">
        <v>2382.88</v>
      </c>
      <c r="T832">
        <v>0.1</v>
      </c>
      <c r="U832">
        <v>12867.55</v>
      </c>
      <c r="V832">
        <v>10068.94</v>
      </c>
      <c r="W832">
        <v>2798.61</v>
      </c>
      <c r="X832" t="s">
        <v>32</v>
      </c>
      <c r="Y832" t="s">
        <v>33</v>
      </c>
      <c r="Z832" t="str">
        <f t="shared" si="168"/>
        <v>Unique</v>
      </c>
      <c r="AA832" t="str">
        <f t="shared" si="169"/>
        <v>Unique</v>
      </c>
      <c r="AB832" t="str">
        <f t="shared" si="173"/>
        <v>OK</v>
      </c>
      <c r="AC832">
        <f t="shared" si="174"/>
        <v>0.1</v>
      </c>
      <c r="AD832" t="str">
        <f t="shared" si="175"/>
        <v>OK</v>
      </c>
      <c r="AE832">
        <f t="shared" si="176"/>
        <v>12867.552000000001</v>
      </c>
      <c r="AF832">
        <f t="shared" si="177"/>
        <v>2798.612000000001</v>
      </c>
      <c r="AG832">
        <f t="shared" si="178"/>
        <v>0.21749373929089236</v>
      </c>
      <c r="AH832" t="str">
        <f t="shared" si="170"/>
        <v>July</v>
      </c>
      <c r="AI832">
        <f t="shared" si="171"/>
        <v>2025</v>
      </c>
      <c r="AJ832" t="str">
        <f t="shared" si="179"/>
        <v>OK</v>
      </c>
      <c r="AK832" t="str">
        <f t="shared" si="180"/>
        <v>OK</v>
      </c>
      <c r="AL832" t="str">
        <f t="shared" si="181"/>
        <v>Include</v>
      </c>
      <c r="AM832" t="str">
        <f t="shared" si="172"/>
        <v>Clean</v>
      </c>
    </row>
    <row r="833" spans="1:39">
      <c r="A833" t="s">
        <v>2565</v>
      </c>
      <c r="B833" s="4">
        <v>45750</v>
      </c>
      <c r="C833" s="4">
        <v>45750</v>
      </c>
      <c r="D833" s="6">
        <v>0</v>
      </c>
      <c r="E833" t="s">
        <v>2788</v>
      </c>
      <c r="F833" t="s">
        <v>2788</v>
      </c>
      <c r="G833" t="s">
        <v>2788</v>
      </c>
      <c r="H833" t="s">
        <v>2566</v>
      </c>
      <c r="I833" t="s">
        <v>162</v>
      </c>
      <c r="J833" t="s">
        <v>95</v>
      </c>
      <c r="K833" t="s">
        <v>2783</v>
      </c>
      <c r="L833" t="s">
        <v>236</v>
      </c>
      <c r="M833" t="s">
        <v>237</v>
      </c>
      <c r="N833" t="s">
        <v>41</v>
      </c>
      <c r="O833" t="s">
        <v>66</v>
      </c>
      <c r="P833" t="s">
        <v>2567</v>
      </c>
      <c r="Q833" t="s">
        <v>50</v>
      </c>
      <c r="R833">
        <v>9</v>
      </c>
      <c r="S833">
        <v>3462.7</v>
      </c>
      <c r="T833">
        <v>0.15</v>
      </c>
      <c r="U833">
        <v>26489.65</v>
      </c>
      <c r="V833">
        <v>15818.46</v>
      </c>
      <c r="W833">
        <v>10671.19</v>
      </c>
      <c r="X833" t="s">
        <v>155</v>
      </c>
      <c r="Y833" t="s">
        <v>103</v>
      </c>
      <c r="Z833" t="str">
        <f t="shared" si="168"/>
        <v>Unique</v>
      </c>
      <c r="AA833" t="str">
        <f t="shared" si="169"/>
        <v>Unique</v>
      </c>
      <c r="AB833" t="str">
        <f t="shared" si="173"/>
        <v>OK</v>
      </c>
      <c r="AC833">
        <f t="shared" si="174"/>
        <v>0.15</v>
      </c>
      <c r="AD833" t="str">
        <f t="shared" si="175"/>
        <v>OK</v>
      </c>
      <c r="AE833">
        <f t="shared" si="176"/>
        <v>26489.654999999999</v>
      </c>
      <c r="AF833">
        <f t="shared" si="177"/>
        <v>10671.195</v>
      </c>
      <c r="AG833">
        <f t="shared" si="178"/>
        <v>0.40284386489744772</v>
      </c>
      <c r="AH833" t="str">
        <f t="shared" si="170"/>
        <v>April</v>
      </c>
      <c r="AI833">
        <f t="shared" si="171"/>
        <v>2025</v>
      </c>
      <c r="AJ833" t="str">
        <f t="shared" si="179"/>
        <v>OK</v>
      </c>
      <c r="AK833" t="str">
        <f t="shared" si="180"/>
        <v>OK</v>
      </c>
      <c r="AL833" t="str">
        <f t="shared" si="181"/>
        <v>Exclude</v>
      </c>
      <c r="AM833" t="str">
        <f t="shared" si="172"/>
        <v>Clean</v>
      </c>
    </row>
    <row r="834" spans="1:39">
      <c r="A834" t="s">
        <v>2568</v>
      </c>
      <c r="B834" s="4">
        <v>45803</v>
      </c>
      <c r="C834" s="4">
        <v>45805</v>
      </c>
      <c r="D834" s="6">
        <v>2</v>
      </c>
      <c r="E834" t="s">
        <v>2788</v>
      </c>
      <c r="F834" t="s">
        <v>2788</v>
      </c>
      <c r="G834" t="s">
        <v>2788</v>
      </c>
      <c r="H834" t="s">
        <v>2569</v>
      </c>
      <c r="I834" t="s">
        <v>264</v>
      </c>
      <c r="J834" t="s">
        <v>37</v>
      </c>
      <c r="K834" t="s">
        <v>54</v>
      </c>
      <c r="L834" t="s">
        <v>84</v>
      </c>
      <c r="M834" t="s">
        <v>85</v>
      </c>
      <c r="N834" t="s">
        <v>74</v>
      </c>
      <c r="O834" t="s">
        <v>171</v>
      </c>
      <c r="P834" t="s">
        <v>2570</v>
      </c>
      <c r="Q834" t="s">
        <v>31</v>
      </c>
      <c r="R834">
        <v>9</v>
      </c>
      <c r="S834">
        <v>4302.0200000000004</v>
      </c>
      <c r="T834">
        <v>0.05</v>
      </c>
      <c r="U834">
        <v>36782.269999999997</v>
      </c>
      <c r="V834">
        <v>25902.81</v>
      </c>
      <c r="W834">
        <v>10879.46</v>
      </c>
      <c r="X834" t="s">
        <v>32</v>
      </c>
      <c r="Y834" t="s">
        <v>33</v>
      </c>
      <c r="Z834" t="str">
        <f t="shared" ref="Z834:Z897" si="182">IF(COUNTIFS($A:$A,A834,$B:$B,B834,$C:$C,C834,$H:$H,H834,$U:$U,U834,$W:$W,W834)&gt;1,"Exact Duplicate","Unique")</f>
        <v>Unique</v>
      </c>
      <c r="AA834" t="str">
        <f t="shared" ref="AA834:AA897" si="183">IF(COUNTIF($A:$A,A834)&gt;1,"Duplicate Order ID","Unique")</f>
        <v>Unique</v>
      </c>
      <c r="AB834" t="str">
        <f t="shared" si="173"/>
        <v>OK</v>
      </c>
      <c r="AC834">
        <f t="shared" si="174"/>
        <v>0.05</v>
      </c>
      <c r="AD834" t="str">
        <f t="shared" si="175"/>
        <v>OK</v>
      </c>
      <c r="AE834">
        <f t="shared" si="176"/>
        <v>36782.271000000008</v>
      </c>
      <c r="AF834">
        <f t="shared" si="177"/>
        <v>10879.461000000007</v>
      </c>
      <c r="AG834">
        <f t="shared" si="178"/>
        <v>0.29578002402298664</v>
      </c>
      <c r="AH834" t="str">
        <f t="shared" ref="AH834:AH897" si="184">IFERROR(TEXT(B834,"mmmm"),"")</f>
        <v>May</v>
      </c>
      <c r="AI834">
        <f t="shared" ref="AI834:AI897" si="185">IFERROR(YEAR(B834),"")</f>
        <v>2025</v>
      </c>
      <c r="AJ834" t="str">
        <f t="shared" si="179"/>
        <v>OK</v>
      </c>
      <c r="AK834" t="str">
        <f t="shared" si="180"/>
        <v>OK</v>
      </c>
      <c r="AL834" t="str">
        <f t="shared" si="181"/>
        <v>Include</v>
      </c>
      <c r="AM834" t="str">
        <f t="shared" ref="AM834:AM897" si="186">IF(OR(E834&lt;&gt;"OK",F834&lt;&gt;"OK",AD834&lt;&gt;"OK",AB834="Conflicting Duplicate"),"Invalid",IF(OR(G834&lt;&gt;"OK",AJ834&lt;&gt;"OK",AK834&lt;&gt;"OK"),"Warning","Clean"))</f>
        <v>Clean</v>
      </c>
    </row>
    <row r="835" spans="1:39">
      <c r="A835" t="s">
        <v>2571</v>
      </c>
      <c r="B835" s="4">
        <v>45447</v>
      </c>
      <c r="C835" s="4">
        <v>45447</v>
      </c>
      <c r="D835" s="6">
        <v>0</v>
      </c>
      <c r="E835" t="s">
        <v>2788</v>
      </c>
      <c r="F835" t="s">
        <v>2788</v>
      </c>
      <c r="G835" t="s">
        <v>2788</v>
      </c>
      <c r="H835" t="s">
        <v>2572</v>
      </c>
      <c r="I835" t="s">
        <v>118</v>
      </c>
      <c r="J835" t="s">
        <v>95</v>
      </c>
      <c r="K835" t="s">
        <v>38</v>
      </c>
      <c r="L835" t="s">
        <v>99</v>
      </c>
      <c r="M835" t="s">
        <v>100</v>
      </c>
      <c r="N835" t="s">
        <v>41</v>
      </c>
      <c r="O835" t="s">
        <v>158</v>
      </c>
      <c r="P835" t="s">
        <v>2573</v>
      </c>
      <c r="Q835" t="s">
        <v>50</v>
      </c>
      <c r="R835">
        <v>6</v>
      </c>
      <c r="S835">
        <v>3949.4</v>
      </c>
      <c r="T835">
        <v>0</v>
      </c>
      <c r="U835">
        <v>23696.400000000001</v>
      </c>
      <c r="V835">
        <v>18109.77</v>
      </c>
      <c r="W835">
        <v>5586.63</v>
      </c>
      <c r="X835" t="s">
        <v>32</v>
      </c>
      <c r="Y835" t="s">
        <v>33</v>
      </c>
      <c r="Z835" t="str">
        <f t="shared" si="182"/>
        <v>Unique</v>
      </c>
      <c r="AA835" t="str">
        <f t="shared" si="183"/>
        <v>Unique</v>
      </c>
      <c r="AB835" t="str">
        <f t="shared" ref="AB835:AB898" si="187">IF(AND(AA835="Duplicate Order ID",Z835&lt;&gt;"Exact Duplicate"),"Conflicting Duplicate","OK")</f>
        <v>OK</v>
      </c>
      <c r="AC835">
        <f t="shared" ref="AC835:AC898" si="188">IF(OR(T835="",ISBLANK(T835)),0,T835)</f>
        <v>0</v>
      </c>
      <c r="AD835" t="str">
        <f t="shared" ref="AD835:AD898" si="189">IF(AC835&lt;0,"Invalid Negative Discount",IF(AC835&gt;1,"Invalid High Discount","OK"))</f>
        <v>OK</v>
      </c>
      <c r="AE835">
        <f t="shared" ref="AE835:AE898" si="190">R835*S835*(1-AC835)</f>
        <v>23696.400000000001</v>
      </c>
      <c r="AF835">
        <f t="shared" ref="AF835:AF898" si="191">AE835-V835</f>
        <v>5586.630000000001</v>
      </c>
      <c r="AG835">
        <f t="shared" ref="AG835:AG898" si="192">IF(AE835=0,0,AF835/AE835)</f>
        <v>0.23575859624246723</v>
      </c>
      <c r="AH835" t="str">
        <f t="shared" si="184"/>
        <v>June</v>
      </c>
      <c r="AI835">
        <f t="shared" si="185"/>
        <v>2024</v>
      </c>
      <c r="AJ835" t="str">
        <f t="shared" ref="AJ835:AJ898" si="193">IF(ABS(U835-AE835)&gt;1,"Sales Mismatch","OK")</f>
        <v>OK</v>
      </c>
      <c r="AK835" t="str">
        <f t="shared" ref="AK835:AK898" si="194">IF(ABS(W835-AF835)&gt;1,"Profit Mismatch","OK")</f>
        <v>OK</v>
      </c>
      <c r="AL835" t="str">
        <f t="shared" ref="AL835:AL898" si="195">IF(AND(X835="Paid",Y835="Completed"),"Include","Exclude")</f>
        <v>Include</v>
      </c>
      <c r="AM835" t="str">
        <f t="shared" si="186"/>
        <v>Clean</v>
      </c>
    </row>
    <row r="836" spans="1:39">
      <c r="A836" t="s">
        <v>2574</v>
      </c>
      <c r="B836" s="4">
        <v>45583</v>
      </c>
      <c r="C836" s="4">
        <v>45587</v>
      </c>
      <c r="D836" s="6">
        <v>4</v>
      </c>
      <c r="E836" t="s">
        <v>2788</v>
      </c>
      <c r="F836" t="s">
        <v>2788</v>
      </c>
      <c r="G836" t="s">
        <v>2788</v>
      </c>
      <c r="H836" t="s">
        <v>2575</v>
      </c>
      <c r="I836" t="s">
        <v>128</v>
      </c>
      <c r="J836" t="s">
        <v>95</v>
      </c>
      <c r="K836" t="s">
        <v>54</v>
      </c>
      <c r="L836" t="s">
        <v>55</v>
      </c>
      <c r="M836" t="s">
        <v>56</v>
      </c>
      <c r="N836" t="s">
        <v>28</v>
      </c>
      <c r="O836" t="s">
        <v>48</v>
      </c>
      <c r="P836" t="s">
        <v>2576</v>
      </c>
      <c r="Q836" t="s">
        <v>50</v>
      </c>
      <c r="R836">
        <v>6</v>
      </c>
      <c r="S836">
        <v>674.61</v>
      </c>
      <c r="T836">
        <v>0</v>
      </c>
      <c r="U836">
        <v>4047.66</v>
      </c>
      <c r="V836">
        <v>3078.93</v>
      </c>
      <c r="W836">
        <v>1279.79</v>
      </c>
      <c r="X836" t="s">
        <v>32</v>
      </c>
      <c r="Y836" t="s">
        <v>33</v>
      </c>
      <c r="Z836" t="str">
        <f t="shared" si="182"/>
        <v>Unique</v>
      </c>
      <c r="AA836" t="str">
        <f t="shared" si="183"/>
        <v>Unique</v>
      </c>
      <c r="AB836" t="str">
        <f t="shared" si="187"/>
        <v>OK</v>
      </c>
      <c r="AC836">
        <f t="shared" si="188"/>
        <v>0</v>
      </c>
      <c r="AD836" t="str">
        <f t="shared" si="189"/>
        <v>OK</v>
      </c>
      <c r="AE836">
        <f t="shared" si="190"/>
        <v>4047.66</v>
      </c>
      <c r="AF836">
        <f t="shared" si="191"/>
        <v>968.73</v>
      </c>
      <c r="AG836">
        <f t="shared" si="192"/>
        <v>0.23933087265234729</v>
      </c>
      <c r="AH836" t="str">
        <f t="shared" si="184"/>
        <v>October</v>
      </c>
      <c r="AI836">
        <f t="shared" si="185"/>
        <v>2024</v>
      </c>
      <c r="AJ836" t="str">
        <f t="shared" si="193"/>
        <v>OK</v>
      </c>
      <c r="AK836" t="str">
        <f t="shared" si="194"/>
        <v>Profit Mismatch</v>
      </c>
      <c r="AL836" t="str">
        <f t="shared" si="195"/>
        <v>Include</v>
      </c>
      <c r="AM836" t="str">
        <f t="shared" si="186"/>
        <v>Warning</v>
      </c>
    </row>
    <row r="837" spans="1:39">
      <c r="A837" t="s">
        <v>2577</v>
      </c>
      <c r="B837" s="4">
        <v>45926</v>
      </c>
      <c r="C837" s="4">
        <v>45934</v>
      </c>
      <c r="D837" s="6">
        <v>8</v>
      </c>
      <c r="E837" t="s">
        <v>2788</v>
      </c>
      <c r="F837" t="s">
        <v>2788</v>
      </c>
      <c r="G837" t="s">
        <v>2788</v>
      </c>
      <c r="H837" t="s">
        <v>2578</v>
      </c>
      <c r="I837" t="s">
        <v>114</v>
      </c>
      <c r="J837" t="s">
        <v>37</v>
      </c>
      <c r="K837" t="s">
        <v>38</v>
      </c>
      <c r="L837" t="s">
        <v>166</v>
      </c>
      <c r="M837" t="s">
        <v>167</v>
      </c>
      <c r="N837" t="s">
        <v>74</v>
      </c>
      <c r="O837" t="s">
        <v>171</v>
      </c>
      <c r="P837" t="s">
        <v>2579</v>
      </c>
      <c r="Q837" t="s">
        <v>31</v>
      </c>
      <c r="R837">
        <v>7</v>
      </c>
      <c r="S837">
        <v>1509.59</v>
      </c>
      <c r="T837">
        <v>0.05</v>
      </c>
      <c r="U837">
        <v>10038.77</v>
      </c>
      <c r="V837">
        <v>5673.1</v>
      </c>
      <c r="W837">
        <v>4365.67</v>
      </c>
      <c r="X837" t="s">
        <v>32</v>
      </c>
      <c r="Y837" t="s">
        <v>33</v>
      </c>
      <c r="Z837" t="str">
        <f t="shared" si="182"/>
        <v>Unique</v>
      </c>
      <c r="AA837" t="str">
        <f t="shared" si="183"/>
        <v>Unique</v>
      </c>
      <c r="AB837" t="str">
        <f t="shared" si="187"/>
        <v>OK</v>
      </c>
      <c r="AC837">
        <f t="shared" si="188"/>
        <v>0.05</v>
      </c>
      <c r="AD837" t="str">
        <f t="shared" si="189"/>
        <v>OK</v>
      </c>
      <c r="AE837">
        <f t="shared" si="190"/>
        <v>10038.773499999999</v>
      </c>
      <c r="AF837">
        <f t="shared" si="191"/>
        <v>4365.673499999999</v>
      </c>
      <c r="AG837">
        <f t="shared" si="192"/>
        <v>0.43488116352062323</v>
      </c>
      <c r="AH837" t="str">
        <f t="shared" si="184"/>
        <v>September</v>
      </c>
      <c r="AI837">
        <f t="shared" si="185"/>
        <v>2025</v>
      </c>
      <c r="AJ837" t="str">
        <f t="shared" si="193"/>
        <v>OK</v>
      </c>
      <c r="AK837" t="str">
        <f t="shared" si="194"/>
        <v>OK</v>
      </c>
      <c r="AL837" t="str">
        <f t="shared" si="195"/>
        <v>Include</v>
      </c>
      <c r="AM837" t="str">
        <f t="shared" si="186"/>
        <v>Clean</v>
      </c>
    </row>
    <row r="838" spans="1:39">
      <c r="A838" t="s">
        <v>2580</v>
      </c>
      <c r="B838" s="4">
        <v>45641</v>
      </c>
      <c r="C838" s="4">
        <v>45644</v>
      </c>
      <c r="D838" s="6">
        <v>3</v>
      </c>
      <c r="E838" t="s">
        <v>2788</v>
      </c>
      <c r="F838" t="s">
        <v>2788</v>
      </c>
      <c r="G838" t="s">
        <v>2788</v>
      </c>
      <c r="H838" t="s">
        <v>2581</v>
      </c>
      <c r="I838" t="s">
        <v>47</v>
      </c>
      <c r="J838" t="s">
        <v>37</v>
      </c>
      <c r="K838" t="s">
        <v>25</v>
      </c>
      <c r="L838" t="s">
        <v>26</v>
      </c>
      <c r="M838" t="s">
        <v>27</v>
      </c>
      <c r="N838" t="s">
        <v>28</v>
      </c>
      <c r="O838" t="s">
        <v>91</v>
      </c>
      <c r="P838" t="s">
        <v>2582</v>
      </c>
      <c r="Q838" t="s">
        <v>31</v>
      </c>
      <c r="R838">
        <v>2</v>
      </c>
      <c r="S838">
        <v>537.11</v>
      </c>
      <c r="T838">
        <v>0</v>
      </c>
      <c r="U838">
        <v>1074.22</v>
      </c>
      <c r="V838">
        <v>850.86</v>
      </c>
      <c r="W838">
        <v>223.36</v>
      </c>
      <c r="X838" t="s">
        <v>32</v>
      </c>
      <c r="Y838" t="s">
        <v>33</v>
      </c>
      <c r="Z838" t="str">
        <f t="shared" si="182"/>
        <v>Unique</v>
      </c>
      <c r="AA838" t="str">
        <f t="shared" si="183"/>
        <v>Unique</v>
      </c>
      <c r="AB838" t="str">
        <f t="shared" si="187"/>
        <v>OK</v>
      </c>
      <c r="AC838">
        <f t="shared" si="188"/>
        <v>0</v>
      </c>
      <c r="AD838" t="str">
        <f t="shared" si="189"/>
        <v>OK</v>
      </c>
      <c r="AE838">
        <f t="shared" si="190"/>
        <v>1074.22</v>
      </c>
      <c r="AF838">
        <f t="shared" si="191"/>
        <v>223.36</v>
      </c>
      <c r="AG838">
        <f t="shared" si="192"/>
        <v>0.20792761259332354</v>
      </c>
      <c r="AH838" t="str">
        <f t="shared" si="184"/>
        <v>December</v>
      </c>
      <c r="AI838">
        <f t="shared" si="185"/>
        <v>2024</v>
      </c>
      <c r="AJ838" t="str">
        <f t="shared" si="193"/>
        <v>OK</v>
      </c>
      <c r="AK838" t="str">
        <f t="shared" si="194"/>
        <v>OK</v>
      </c>
      <c r="AL838" t="str">
        <f t="shared" si="195"/>
        <v>Include</v>
      </c>
      <c r="AM838" t="str">
        <f t="shared" si="186"/>
        <v>Clean</v>
      </c>
    </row>
    <row r="839" spans="1:39">
      <c r="A839" t="s">
        <v>2583</v>
      </c>
      <c r="B839" s="4">
        <v>45927</v>
      </c>
      <c r="C839" s="4">
        <v>45928</v>
      </c>
      <c r="D839" s="6">
        <v>1</v>
      </c>
      <c r="E839" t="s">
        <v>2788</v>
      </c>
      <c r="F839" t="s">
        <v>2788</v>
      </c>
      <c r="G839" t="s">
        <v>2788</v>
      </c>
      <c r="H839" t="s">
        <v>2584</v>
      </c>
      <c r="I839" t="s">
        <v>23</v>
      </c>
      <c r="J839" t="s">
        <v>95</v>
      </c>
      <c r="K839" t="s">
        <v>63</v>
      </c>
      <c r="L839" t="s">
        <v>64</v>
      </c>
      <c r="M839" t="s">
        <v>65</v>
      </c>
      <c r="N839" t="s">
        <v>28</v>
      </c>
      <c r="O839" t="s">
        <v>29</v>
      </c>
      <c r="P839" t="s">
        <v>2585</v>
      </c>
      <c r="Q839" t="s">
        <v>50</v>
      </c>
      <c r="R839">
        <v>3</v>
      </c>
      <c r="S839">
        <v>4177.63</v>
      </c>
      <c r="T839">
        <v>0.25</v>
      </c>
      <c r="U839">
        <v>9399.67</v>
      </c>
      <c r="V839">
        <v>6540.37</v>
      </c>
      <c r="W839">
        <v>2859.3</v>
      </c>
      <c r="X839" t="s">
        <v>32</v>
      </c>
      <c r="Y839" t="s">
        <v>33</v>
      </c>
      <c r="Z839" t="str">
        <f t="shared" si="182"/>
        <v>Unique</v>
      </c>
      <c r="AA839" t="str">
        <f t="shared" si="183"/>
        <v>Unique</v>
      </c>
      <c r="AB839" t="str">
        <f t="shared" si="187"/>
        <v>OK</v>
      </c>
      <c r="AC839">
        <f t="shared" si="188"/>
        <v>0.25</v>
      </c>
      <c r="AD839" t="str">
        <f t="shared" si="189"/>
        <v>OK</v>
      </c>
      <c r="AE839">
        <f t="shared" si="190"/>
        <v>9399.6674999999996</v>
      </c>
      <c r="AF839">
        <f t="shared" si="191"/>
        <v>2859.2974999999997</v>
      </c>
      <c r="AG839">
        <f t="shared" si="192"/>
        <v>0.30419134506619516</v>
      </c>
      <c r="AH839" t="str">
        <f t="shared" si="184"/>
        <v>September</v>
      </c>
      <c r="AI839">
        <f t="shared" si="185"/>
        <v>2025</v>
      </c>
      <c r="AJ839" t="str">
        <f t="shared" si="193"/>
        <v>OK</v>
      </c>
      <c r="AK839" t="str">
        <f t="shared" si="194"/>
        <v>OK</v>
      </c>
      <c r="AL839" t="str">
        <f t="shared" si="195"/>
        <v>Include</v>
      </c>
      <c r="AM839" t="str">
        <f t="shared" si="186"/>
        <v>Clean</v>
      </c>
    </row>
    <row r="840" spans="1:39">
      <c r="A840" t="s">
        <v>2586</v>
      </c>
      <c r="B840" s="4">
        <v>45750</v>
      </c>
      <c r="C840" s="4">
        <v>45754</v>
      </c>
      <c r="D840" s="6">
        <v>4</v>
      </c>
      <c r="E840" t="s">
        <v>2788</v>
      </c>
      <c r="F840" t="s">
        <v>2788</v>
      </c>
      <c r="G840" t="s">
        <v>2788</v>
      </c>
      <c r="H840" t="s">
        <v>2587</v>
      </c>
      <c r="I840" t="s">
        <v>62</v>
      </c>
      <c r="J840" t="s">
        <v>37</v>
      </c>
      <c r="K840" t="s">
        <v>63</v>
      </c>
      <c r="L840" t="s">
        <v>190</v>
      </c>
      <c r="M840" t="s">
        <v>191</v>
      </c>
      <c r="N840" t="s">
        <v>28</v>
      </c>
      <c r="O840" t="s">
        <v>29</v>
      </c>
      <c r="P840" t="s">
        <v>2588</v>
      </c>
      <c r="Q840" t="s">
        <v>44</v>
      </c>
      <c r="R840">
        <v>1</v>
      </c>
      <c r="S840">
        <v>1470.57</v>
      </c>
      <c r="T840">
        <v>0</v>
      </c>
      <c r="U840">
        <v>1470.57</v>
      </c>
      <c r="V840">
        <v>834.02</v>
      </c>
      <c r="W840">
        <v>636.54999999999995</v>
      </c>
      <c r="X840" t="s">
        <v>32</v>
      </c>
      <c r="Y840" t="s">
        <v>103</v>
      </c>
      <c r="Z840" t="str">
        <f t="shared" si="182"/>
        <v>Unique</v>
      </c>
      <c r="AA840" t="str">
        <f t="shared" si="183"/>
        <v>Unique</v>
      </c>
      <c r="AB840" t="str">
        <f t="shared" si="187"/>
        <v>OK</v>
      </c>
      <c r="AC840">
        <f t="shared" si="188"/>
        <v>0</v>
      </c>
      <c r="AD840" t="str">
        <f t="shared" si="189"/>
        <v>OK</v>
      </c>
      <c r="AE840">
        <f t="shared" si="190"/>
        <v>1470.57</v>
      </c>
      <c r="AF840">
        <f t="shared" si="191"/>
        <v>636.54999999999995</v>
      </c>
      <c r="AG840">
        <f t="shared" si="192"/>
        <v>0.43285936745615644</v>
      </c>
      <c r="AH840" t="str">
        <f t="shared" si="184"/>
        <v>April</v>
      </c>
      <c r="AI840">
        <f t="shared" si="185"/>
        <v>2025</v>
      </c>
      <c r="AJ840" t="str">
        <f t="shared" si="193"/>
        <v>OK</v>
      </c>
      <c r="AK840" t="str">
        <f t="shared" si="194"/>
        <v>OK</v>
      </c>
      <c r="AL840" t="str">
        <f t="shared" si="195"/>
        <v>Exclude</v>
      </c>
      <c r="AM840" t="str">
        <f t="shared" si="186"/>
        <v>Clean</v>
      </c>
    </row>
    <row r="841" spans="1:39">
      <c r="A841" t="s">
        <v>2589</v>
      </c>
      <c r="B841" s="4">
        <v>45555</v>
      </c>
      <c r="C841" s="4">
        <v>45557</v>
      </c>
      <c r="D841" s="6">
        <v>2</v>
      </c>
      <c r="E841" t="s">
        <v>2788</v>
      </c>
      <c r="F841" t="s">
        <v>2788</v>
      </c>
      <c r="G841" t="s">
        <v>2788</v>
      </c>
      <c r="H841" t="s">
        <v>2590</v>
      </c>
      <c r="I841" t="s">
        <v>141</v>
      </c>
      <c r="J841" t="s">
        <v>95</v>
      </c>
      <c r="K841" t="s">
        <v>38</v>
      </c>
      <c r="L841" t="s">
        <v>39</v>
      </c>
      <c r="M841" t="s">
        <v>40</v>
      </c>
      <c r="N841" t="s">
        <v>74</v>
      </c>
      <c r="O841" t="s">
        <v>171</v>
      </c>
      <c r="P841" t="s">
        <v>2591</v>
      </c>
      <c r="Q841" t="s">
        <v>59</v>
      </c>
      <c r="R841">
        <v>8</v>
      </c>
      <c r="S841">
        <v>531.42999999999995</v>
      </c>
      <c r="T841">
        <v>0.1</v>
      </c>
      <c r="U841">
        <v>3826.3</v>
      </c>
      <c r="V841">
        <v>2194.12</v>
      </c>
      <c r="W841">
        <v>1632.18</v>
      </c>
      <c r="X841" t="s">
        <v>32</v>
      </c>
      <c r="Y841" t="s">
        <v>33</v>
      </c>
      <c r="Z841" t="str">
        <f t="shared" si="182"/>
        <v>Unique</v>
      </c>
      <c r="AA841" t="str">
        <f t="shared" si="183"/>
        <v>Unique</v>
      </c>
      <c r="AB841" t="str">
        <f t="shared" si="187"/>
        <v>OK</v>
      </c>
      <c r="AC841">
        <f t="shared" si="188"/>
        <v>0.1</v>
      </c>
      <c r="AD841" t="str">
        <f t="shared" si="189"/>
        <v>OK</v>
      </c>
      <c r="AE841">
        <f t="shared" si="190"/>
        <v>3826.2959999999998</v>
      </c>
      <c r="AF841">
        <f t="shared" si="191"/>
        <v>1632.1759999999999</v>
      </c>
      <c r="AG841">
        <f t="shared" si="192"/>
        <v>0.42656814841298218</v>
      </c>
      <c r="AH841" t="str">
        <f t="shared" si="184"/>
        <v>September</v>
      </c>
      <c r="AI841">
        <f t="shared" si="185"/>
        <v>2024</v>
      </c>
      <c r="AJ841" t="str">
        <f t="shared" si="193"/>
        <v>OK</v>
      </c>
      <c r="AK841" t="str">
        <f t="shared" si="194"/>
        <v>OK</v>
      </c>
      <c r="AL841" t="str">
        <f t="shared" si="195"/>
        <v>Include</v>
      </c>
      <c r="AM841" t="str">
        <f t="shared" si="186"/>
        <v>Clean</v>
      </c>
    </row>
    <row r="842" spans="1:39">
      <c r="A842" t="s">
        <v>2592</v>
      </c>
      <c r="B842" s="4">
        <v>45919</v>
      </c>
      <c r="C842" s="4">
        <v>45919</v>
      </c>
      <c r="D842" s="6">
        <v>0</v>
      </c>
      <c r="E842" t="s">
        <v>2788</v>
      </c>
      <c r="F842" t="s">
        <v>2788</v>
      </c>
      <c r="G842" t="s">
        <v>2788</v>
      </c>
      <c r="H842" t="s">
        <v>2593</v>
      </c>
      <c r="I842" t="s">
        <v>79</v>
      </c>
      <c r="J842" t="s">
        <v>95</v>
      </c>
      <c r="K842" t="s">
        <v>25</v>
      </c>
      <c r="L842" t="s">
        <v>350</v>
      </c>
      <c r="M842" t="s">
        <v>351</v>
      </c>
      <c r="N842" t="s">
        <v>41</v>
      </c>
      <c r="O842" t="s">
        <v>66</v>
      </c>
      <c r="P842" t="s">
        <v>2594</v>
      </c>
      <c r="Q842" t="s">
        <v>44</v>
      </c>
      <c r="R842">
        <v>4</v>
      </c>
      <c r="S842">
        <v>1584.11</v>
      </c>
      <c r="T842">
        <v>0</v>
      </c>
      <c r="U842">
        <v>6336.44</v>
      </c>
      <c r="V842">
        <v>4680.68</v>
      </c>
      <c r="W842">
        <v>1655.76</v>
      </c>
      <c r="X842" t="s">
        <v>32</v>
      </c>
      <c r="Y842" t="s">
        <v>33</v>
      </c>
      <c r="Z842" t="str">
        <f t="shared" si="182"/>
        <v>Unique</v>
      </c>
      <c r="AA842" t="str">
        <f t="shared" si="183"/>
        <v>Unique</v>
      </c>
      <c r="AB842" t="str">
        <f t="shared" si="187"/>
        <v>OK</v>
      </c>
      <c r="AC842">
        <f t="shared" si="188"/>
        <v>0</v>
      </c>
      <c r="AD842" t="str">
        <f t="shared" si="189"/>
        <v>OK</v>
      </c>
      <c r="AE842">
        <f t="shared" si="190"/>
        <v>6336.44</v>
      </c>
      <c r="AF842">
        <f t="shared" si="191"/>
        <v>1655.7599999999993</v>
      </c>
      <c r="AG842">
        <f t="shared" si="192"/>
        <v>0.26130761121386764</v>
      </c>
      <c r="AH842" t="str">
        <f t="shared" si="184"/>
        <v>September</v>
      </c>
      <c r="AI842">
        <f t="shared" si="185"/>
        <v>2025</v>
      </c>
      <c r="AJ842" t="str">
        <f t="shared" si="193"/>
        <v>OK</v>
      </c>
      <c r="AK842" t="str">
        <f t="shared" si="194"/>
        <v>OK</v>
      </c>
      <c r="AL842" t="str">
        <f t="shared" si="195"/>
        <v>Include</v>
      </c>
      <c r="AM842" t="str">
        <f t="shared" si="186"/>
        <v>Clean</v>
      </c>
    </row>
    <row r="843" spans="1:39">
      <c r="A843" t="s">
        <v>2595</v>
      </c>
      <c r="B843" s="4">
        <v>45694</v>
      </c>
      <c r="C843" s="4">
        <v>45700</v>
      </c>
      <c r="D843" s="6">
        <v>6</v>
      </c>
      <c r="E843" t="s">
        <v>2788</v>
      </c>
      <c r="F843" t="s">
        <v>2788</v>
      </c>
      <c r="G843" t="s">
        <v>2788</v>
      </c>
      <c r="H843" t="s">
        <v>2596</v>
      </c>
      <c r="I843" t="s">
        <v>62</v>
      </c>
      <c r="J843" t="s">
        <v>37</v>
      </c>
      <c r="K843" t="s">
        <v>38</v>
      </c>
      <c r="L843" t="s">
        <v>145</v>
      </c>
      <c r="M843" t="s">
        <v>146</v>
      </c>
      <c r="N843" t="s">
        <v>28</v>
      </c>
      <c r="O843" t="s">
        <v>48</v>
      </c>
      <c r="P843" t="s">
        <v>2597</v>
      </c>
      <c r="Q843" t="s">
        <v>59</v>
      </c>
      <c r="R843">
        <v>9</v>
      </c>
      <c r="S843">
        <v>3237.16</v>
      </c>
      <c r="T843">
        <v>0.25</v>
      </c>
      <c r="U843">
        <v>21850.83</v>
      </c>
      <c r="V843">
        <v>16600.13</v>
      </c>
      <c r="W843">
        <v>5250.7</v>
      </c>
      <c r="X843" t="s">
        <v>32</v>
      </c>
      <c r="Y843" t="s">
        <v>33</v>
      </c>
      <c r="Z843" t="str">
        <f t="shared" si="182"/>
        <v>Unique</v>
      </c>
      <c r="AA843" t="str">
        <f t="shared" si="183"/>
        <v>Unique</v>
      </c>
      <c r="AB843" t="str">
        <f t="shared" si="187"/>
        <v>OK</v>
      </c>
      <c r="AC843">
        <f t="shared" si="188"/>
        <v>0.25</v>
      </c>
      <c r="AD843" t="str">
        <f t="shared" si="189"/>
        <v>OK</v>
      </c>
      <c r="AE843">
        <f t="shared" si="190"/>
        <v>21850.829999999998</v>
      </c>
      <c r="AF843">
        <f t="shared" si="191"/>
        <v>5250.6999999999971</v>
      </c>
      <c r="AG843">
        <f t="shared" si="192"/>
        <v>0.2402975081495759</v>
      </c>
      <c r="AH843" t="str">
        <f t="shared" si="184"/>
        <v>February</v>
      </c>
      <c r="AI843">
        <f t="shared" si="185"/>
        <v>2025</v>
      </c>
      <c r="AJ843" t="str">
        <f t="shared" si="193"/>
        <v>OK</v>
      </c>
      <c r="AK843" t="str">
        <f t="shared" si="194"/>
        <v>OK</v>
      </c>
      <c r="AL843" t="str">
        <f t="shared" si="195"/>
        <v>Include</v>
      </c>
      <c r="AM843" t="str">
        <f t="shared" si="186"/>
        <v>Clean</v>
      </c>
    </row>
    <row r="844" spans="1:39">
      <c r="A844" t="s">
        <v>2598</v>
      </c>
      <c r="B844" s="4">
        <v>45382</v>
      </c>
      <c r="C844" s="4">
        <v>45381</v>
      </c>
      <c r="D844" s="6">
        <v>-1</v>
      </c>
      <c r="E844" t="s">
        <v>2788</v>
      </c>
      <c r="F844" t="s">
        <v>2788</v>
      </c>
      <c r="G844" t="s">
        <v>2790</v>
      </c>
      <c r="H844" t="s">
        <v>2599</v>
      </c>
      <c r="I844" t="s">
        <v>264</v>
      </c>
      <c r="J844" t="s">
        <v>24</v>
      </c>
      <c r="K844" t="s">
        <v>25</v>
      </c>
      <c r="L844" t="s">
        <v>236</v>
      </c>
      <c r="M844" t="s">
        <v>237</v>
      </c>
      <c r="N844" t="s">
        <v>74</v>
      </c>
      <c r="O844" t="s">
        <v>274</v>
      </c>
      <c r="P844" t="s">
        <v>2600</v>
      </c>
      <c r="Q844" t="s">
        <v>50</v>
      </c>
      <c r="R844">
        <v>4</v>
      </c>
      <c r="S844">
        <v>2192.08</v>
      </c>
      <c r="T844">
        <v>0.15</v>
      </c>
      <c r="U844">
        <v>7453.07</v>
      </c>
      <c r="V844">
        <v>5133.78</v>
      </c>
      <c r="W844">
        <v>2319.29</v>
      </c>
      <c r="X844" t="s">
        <v>32</v>
      </c>
      <c r="Y844" t="s">
        <v>103</v>
      </c>
      <c r="Z844" t="str">
        <f t="shared" si="182"/>
        <v>Unique</v>
      </c>
      <c r="AA844" t="str">
        <f t="shared" si="183"/>
        <v>Unique</v>
      </c>
      <c r="AB844" t="str">
        <f t="shared" si="187"/>
        <v>OK</v>
      </c>
      <c r="AC844">
        <f t="shared" si="188"/>
        <v>0.15</v>
      </c>
      <c r="AD844" t="str">
        <f t="shared" si="189"/>
        <v>OK</v>
      </c>
      <c r="AE844">
        <f t="shared" si="190"/>
        <v>7453.0719999999992</v>
      </c>
      <c r="AF844">
        <f t="shared" si="191"/>
        <v>2319.2919999999995</v>
      </c>
      <c r="AG844">
        <f t="shared" si="192"/>
        <v>0.31118604516365866</v>
      </c>
      <c r="AH844" t="str">
        <f t="shared" si="184"/>
        <v>March</v>
      </c>
      <c r="AI844">
        <f t="shared" si="185"/>
        <v>2024</v>
      </c>
      <c r="AJ844" t="str">
        <f t="shared" si="193"/>
        <v>OK</v>
      </c>
      <c r="AK844" t="str">
        <f t="shared" si="194"/>
        <v>OK</v>
      </c>
      <c r="AL844" t="str">
        <f t="shared" si="195"/>
        <v>Exclude</v>
      </c>
      <c r="AM844" t="str">
        <f t="shared" si="186"/>
        <v>Warning</v>
      </c>
    </row>
    <row r="845" spans="1:39">
      <c r="A845" t="s">
        <v>2601</v>
      </c>
      <c r="B845" s="4">
        <v>45856</v>
      </c>
      <c r="C845" s="4">
        <v>45863</v>
      </c>
      <c r="D845" s="6">
        <v>7</v>
      </c>
      <c r="E845" t="s">
        <v>2788</v>
      </c>
      <c r="F845" t="s">
        <v>2788</v>
      </c>
      <c r="G845" t="s">
        <v>2788</v>
      </c>
      <c r="H845" t="s">
        <v>2602</v>
      </c>
      <c r="I845" t="s">
        <v>114</v>
      </c>
      <c r="J845" t="s">
        <v>37</v>
      </c>
      <c r="K845" t="s">
        <v>25</v>
      </c>
      <c r="L845" t="s">
        <v>136</v>
      </c>
      <c r="M845" t="s">
        <v>137</v>
      </c>
      <c r="N845" t="s">
        <v>74</v>
      </c>
      <c r="O845" t="s">
        <v>171</v>
      </c>
      <c r="P845" t="s">
        <v>2603</v>
      </c>
      <c r="Q845" t="s">
        <v>50</v>
      </c>
      <c r="R845">
        <v>9</v>
      </c>
      <c r="S845">
        <v>3989.52</v>
      </c>
      <c r="T845">
        <v>-0.02</v>
      </c>
      <c r="U845">
        <v>35905.68</v>
      </c>
      <c r="V845">
        <v>23916.1</v>
      </c>
      <c r="W845">
        <v>11989.58</v>
      </c>
      <c r="X845" t="s">
        <v>32</v>
      </c>
      <c r="Y845" t="s">
        <v>33</v>
      </c>
      <c r="Z845" t="str">
        <f t="shared" si="182"/>
        <v>Unique</v>
      </c>
      <c r="AA845" t="str">
        <f t="shared" si="183"/>
        <v>Unique</v>
      </c>
      <c r="AB845" t="str">
        <f t="shared" si="187"/>
        <v>OK</v>
      </c>
      <c r="AC845">
        <f t="shared" si="188"/>
        <v>-0.02</v>
      </c>
      <c r="AD845" t="str">
        <f t="shared" si="189"/>
        <v>Invalid Negative Discount</v>
      </c>
      <c r="AE845">
        <f t="shared" si="190"/>
        <v>36623.793600000005</v>
      </c>
      <c r="AF845">
        <f t="shared" si="191"/>
        <v>12707.693600000006</v>
      </c>
      <c r="AG845">
        <f t="shared" si="192"/>
        <v>0.34697917257812433</v>
      </c>
      <c r="AH845" t="str">
        <f t="shared" si="184"/>
        <v>July</v>
      </c>
      <c r="AI845">
        <f t="shared" si="185"/>
        <v>2025</v>
      </c>
      <c r="AJ845" t="str">
        <f t="shared" si="193"/>
        <v>Sales Mismatch</v>
      </c>
      <c r="AK845" t="str">
        <f t="shared" si="194"/>
        <v>Profit Mismatch</v>
      </c>
      <c r="AL845" t="str">
        <f t="shared" si="195"/>
        <v>Include</v>
      </c>
      <c r="AM845" t="str">
        <f t="shared" si="186"/>
        <v>Invalid</v>
      </c>
    </row>
    <row r="846" spans="1:39">
      <c r="A846" t="s">
        <v>2604</v>
      </c>
      <c r="B846" s="4">
        <v>45677</v>
      </c>
      <c r="C846" s="4">
        <v>45682</v>
      </c>
      <c r="D846" s="6">
        <v>5</v>
      </c>
      <c r="E846" t="s">
        <v>2788</v>
      </c>
      <c r="F846" t="s">
        <v>2788</v>
      </c>
      <c r="G846" t="s">
        <v>2788</v>
      </c>
      <c r="H846" t="s">
        <v>2605</v>
      </c>
      <c r="I846" t="s">
        <v>89</v>
      </c>
      <c r="J846" t="s">
        <v>95</v>
      </c>
      <c r="K846" t="s">
        <v>63</v>
      </c>
      <c r="L846" t="s">
        <v>190</v>
      </c>
      <c r="M846" t="s">
        <v>191</v>
      </c>
      <c r="N846" t="s">
        <v>28</v>
      </c>
      <c r="O846" t="s">
        <v>48</v>
      </c>
      <c r="P846" t="s">
        <v>2606</v>
      </c>
      <c r="Q846" t="s">
        <v>50</v>
      </c>
      <c r="R846">
        <v>1</v>
      </c>
      <c r="S846">
        <v>3515.15</v>
      </c>
      <c r="T846">
        <v>0</v>
      </c>
      <c r="U846">
        <v>3515.15</v>
      </c>
      <c r="V846">
        <v>2216.34</v>
      </c>
      <c r="W846">
        <v>1298.81</v>
      </c>
      <c r="X846" t="s">
        <v>32</v>
      </c>
      <c r="Y846" t="s">
        <v>33</v>
      </c>
      <c r="Z846" t="str">
        <f t="shared" si="182"/>
        <v>Unique</v>
      </c>
      <c r="AA846" t="str">
        <f t="shared" si="183"/>
        <v>Unique</v>
      </c>
      <c r="AB846" t="str">
        <f t="shared" si="187"/>
        <v>OK</v>
      </c>
      <c r="AC846">
        <f t="shared" si="188"/>
        <v>0</v>
      </c>
      <c r="AD846" t="str">
        <f t="shared" si="189"/>
        <v>OK</v>
      </c>
      <c r="AE846">
        <f t="shared" si="190"/>
        <v>3515.15</v>
      </c>
      <c r="AF846">
        <f t="shared" si="191"/>
        <v>1298.81</v>
      </c>
      <c r="AG846">
        <f t="shared" si="192"/>
        <v>0.36948921098672882</v>
      </c>
      <c r="AH846" t="str">
        <f t="shared" si="184"/>
        <v>January</v>
      </c>
      <c r="AI846">
        <f t="shared" si="185"/>
        <v>2025</v>
      </c>
      <c r="AJ846" t="str">
        <f t="shared" si="193"/>
        <v>OK</v>
      </c>
      <c r="AK846" t="str">
        <f t="shared" si="194"/>
        <v>OK</v>
      </c>
      <c r="AL846" t="str">
        <f t="shared" si="195"/>
        <v>Include</v>
      </c>
      <c r="AM846" t="str">
        <f t="shared" si="186"/>
        <v>Clean</v>
      </c>
    </row>
    <row r="847" spans="1:39">
      <c r="A847" t="s">
        <v>2607</v>
      </c>
      <c r="B847" s="4">
        <v>45345</v>
      </c>
      <c r="C847" s="4">
        <v>45349</v>
      </c>
      <c r="D847" s="6">
        <v>4</v>
      </c>
      <c r="E847" t="s">
        <v>2788</v>
      </c>
      <c r="F847" t="s">
        <v>2788</v>
      </c>
      <c r="G847" t="s">
        <v>2788</v>
      </c>
      <c r="H847" t="s">
        <v>593</v>
      </c>
      <c r="I847" t="s">
        <v>23</v>
      </c>
      <c r="J847" t="s">
        <v>24</v>
      </c>
      <c r="K847" t="s">
        <v>38</v>
      </c>
      <c r="L847" t="s">
        <v>39</v>
      </c>
      <c r="M847" t="s">
        <v>40</v>
      </c>
      <c r="N847" t="s">
        <v>41</v>
      </c>
      <c r="O847" t="s">
        <v>42</v>
      </c>
      <c r="P847" t="s">
        <v>2608</v>
      </c>
      <c r="Q847" t="s">
        <v>50</v>
      </c>
      <c r="R847">
        <v>9</v>
      </c>
      <c r="S847">
        <v>3616.23</v>
      </c>
      <c r="T847">
        <v>0.25</v>
      </c>
      <c r="U847">
        <v>24409.55</v>
      </c>
      <c r="V847">
        <v>17157.580000000002</v>
      </c>
      <c r="W847">
        <v>7251.97</v>
      </c>
      <c r="X847" t="s">
        <v>111</v>
      </c>
      <c r="Y847" t="s">
        <v>103</v>
      </c>
      <c r="Z847" t="str">
        <f t="shared" si="182"/>
        <v>Unique</v>
      </c>
      <c r="AA847" t="str">
        <f t="shared" si="183"/>
        <v>Unique</v>
      </c>
      <c r="AB847" t="str">
        <f t="shared" si="187"/>
        <v>OK</v>
      </c>
      <c r="AC847">
        <f t="shared" si="188"/>
        <v>0.25</v>
      </c>
      <c r="AD847" t="str">
        <f t="shared" si="189"/>
        <v>OK</v>
      </c>
      <c r="AE847">
        <f t="shared" si="190"/>
        <v>24409.552499999998</v>
      </c>
      <c r="AF847">
        <f t="shared" si="191"/>
        <v>7251.9724999999962</v>
      </c>
      <c r="AG847">
        <f t="shared" si="192"/>
        <v>0.29709567596538267</v>
      </c>
      <c r="AH847" t="str">
        <f t="shared" si="184"/>
        <v>February</v>
      </c>
      <c r="AI847">
        <f t="shared" si="185"/>
        <v>2024</v>
      </c>
      <c r="AJ847" t="str">
        <f t="shared" si="193"/>
        <v>OK</v>
      </c>
      <c r="AK847" t="str">
        <f t="shared" si="194"/>
        <v>OK</v>
      </c>
      <c r="AL847" t="str">
        <f t="shared" si="195"/>
        <v>Exclude</v>
      </c>
      <c r="AM847" t="str">
        <f t="shared" si="186"/>
        <v>Clean</v>
      </c>
    </row>
    <row r="848" spans="1:39">
      <c r="A848" t="s">
        <v>2609</v>
      </c>
      <c r="B848" s="4">
        <v>45396</v>
      </c>
      <c r="C848" s="4">
        <v>45404</v>
      </c>
      <c r="D848" s="6">
        <v>8</v>
      </c>
      <c r="E848" t="s">
        <v>2788</v>
      </c>
      <c r="F848" t="s">
        <v>2788</v>
      </c>
      <c r="G848" t="s">
        <v>2788</v>
      </c>
      <c r="H848" t="s">
        <v>2610</v>
      </c>
      <c r="I848" t="s">
        <v>114</v>
      </c>
      <c r="J848" t="s">
        <v>37</v>
      </c>
      <c r="K848" t="s">
        <v>63</v>
      </c>
      <c r="L848" t="s">
        <v>180</v>
      </c>
      <c r="M848" t="s">
        <v>181</v>
      </c>
      <c r="N848" t="s">
        <v>41</v>
      </c>
      <c r="O848" t="s">
        <v>158</v>
      </c>
      <c r="P848" t="s">
        <v>2611</v>
      </c>
      <c r="Q848" t="s">
        <v>59</v>
      </c>
      <c r="R848">
        <v>2</v>
      </c>
      <c r="S848">
        <v>3977.52</v>
      </c>
      <c r="T848">
        <v>0</v>
      </c>
      <c r="U848">
        <v>7955.04</v>
      </c>
      <c r="V848">
        <v>5580.68</v>
      </c>
      <c r="W848">
        <v>2374.36</v>
      </c>
      <c r="X848" t="s">
        <v>111</v>
      </c>
      <c r="Y848" t="s">
        <v>103</v>
      </c>
      <c r="Z848" t="str">
        <f t="shared" si="182"/>
        <v>Unique</v>
      </c>
      <c r="AA848" t="str">
        <f t="shared" si="183"/>
        <v>Unique</v>
      </c>
      <c r="AB848" t="str">
        <f t="shared" si="187"/>
        <v>OK</v>
      </c>
      <c r="AC848">
        <f t="shared" si="188"/>
        <v>0</v>
      </c>
      <c r="AD848" t="str">
        <f t="shared" si="189"/>
        <v>OK</v>
      </c>
      <c r="AE848">
        <f t="shared" si="190"/>
        <v>7955.04</v>
      </c>
      <c r="AF848">
        <f t="shared" si="191"/>
        <v>2374.3599999999997</v>
      </c>
      <c r="AG848">
        <f t="shared" si="192"/>
        <v>0.29847241497214339</v>
      </c>
      <c r="AH848" t="str">
        <f t="shared" si="184"/>
        <v>April</v>
      </c>
      <c r="AI848">
        <f t="shared" si="185"/>
        <v>2024</v>
      </c>
      <c r="AJ848" t="str">
        <f t="shared" si="193"/>
        <v>OK</v>
      </c>
      <c r="AK848" t="str">
        <f t="shared" si="194"/>
        <v>OK</v>
      </c>
      <c r="AL848" t="str">
        <f t="shared" si="195"/>
        <v>Exclude</v>
      </c>
      <c r="AM848" t="str">
        <f t="shared" si="186"/>
        <v>Clean</v>
      </c>
    </row>
    <row r="849" spans="1:39">
      <c r="A849" t="s">
        <v>2612</v>
      </c>
      <c r="B849" s="4">
        <v>45797</v>
      </c>
      <c r="C849" s="4">
        <v>45799</v>
      </c>
      <c r="D849" s="6">
        <v>2</v>
      </c>
      <c r="E849" t="s">
        <v>2788</v>
      </c>
      <c r="F849" t="s">
        <v>2788</v>
      </c>
      <c r="G849" t="s">
        <v>2788</v>
      </c>
      <c r="H849" t="s">
        <v>2613</v>
      </c>
      <c r="I849" t="s">
        <v>162</v>
      </c>
      <c r="J849" t="s">
        <v>95</v>
      </c>
      <c r="K849" t="s">
        <v>38</v>
      </c>
      <c r="L849" t="s">
        <v>39</v>
      </c>
      <c r="M849" t="s">
        <v>40</v>
      </c>
      <c r="N849" t="s">
        <v>41</v>
      </c>
      <c r="O849" t="s">
        <v>42</v>
      </c>
      <c r="P849" t="s">
        <v>2614</v>
      </c>
      <c r="Q849" t="s">
        <v>31</v>
      </c>
      <c r="R849">
        <v>2</v>
      </c>
      <c r="S849">
        <v>210.08</v>
      </c>
      <c r="T849">
        <v>0.2</v>
      </c>
      <c r="U849">
        <v>336.13</v>
      </c>
      <c r="V849">
        <v>242.19</v>
      </c>
      <c r="W849">
        <v>93.94</v>
      </c>
      <c r="X849" t="s">
        <v>32</v>
      </c>
      <c r="Y849" t="s">
        <v>33</v>
      </c>
      <c r="Z849" t="str">
        <f t="shared" si="182"/>
        <v>Unique</v>
      </c>
      <c r="AA849" t="str">
        <f t="shared" si="183"/>
        <v>Unique</v>
      </c>
      <c r="AB849" t="str">
        <f t="shared" si="187"/>
        <v>OK</v>
      </c>
      <c r="AC849">
        <f t="shared" si="188"/>
        <v>0.2</v>
      </c>
      <c r="AD849" t="str">
        <f t="shared" si="189"/>
        <v>OK</v>
      </c>
      <c r="AE849">
        <f t="shared" si="190"/>
        <v>336.12800000000004</v>
      </c>
      <c r="AF849">
        <f t="shared" si="191"/>
        <v>93.938000000000045</v>
      </c>
      <c r="AG849">
        <f t="shared" si="192"/>
        <v>0.27947091584158423</v>
      </c>
      <c r="AH849" t="str">
        <f t="shared" si="184"/>
        <v>May</v>
      </c>
      <c r="AI849">
        <f t="shared" si="185"/>
        <v>2025</v>
      </c>
      <c r="AJ849" t="str">
        <f t="shared" si="193"/>
        <v>OK</v>
      </c>
      <c r="AK849" t="str">
        <f t="shared" si="194"/>
        <v>OK</v>
      </c>
      <c r="AL849" t="str">
        <f t="shared" si="195"/>
        <v>Include</v>
      </c>
      <c r="AM849" t="str">
        <f t="shared" si="186"/>
        <v>Clean</v>
      </c>
    </row>
    <row r="850" spans="1:39">
      <c r="A850" t="s">
        <v>2615</v>
      </c>
      <c r="B850" s="4">
        <v>45804</v>
      </c>
      <c r="C850" s="4">
        <v>45806</v>
      </c>
      <c r="D850" s="6">
        <v>2</v>
      </c>
      <c r="E850" t="s">
        <v>2788</v>
      </c>
      <c r="F850" t="s">
        <v>2788</v>
      </c>
      <c r="G850" t="s">
        <v>2788</v>
      </c>
      <c r="H850" t="s">
        <v>2616</v>
      </c>
      <c r="I850" t="s">
        <v>118</v>
      </c>
      <c r="J850" t="s">
        <v>95</v>
      </c>
      <c r="K850" t="s">
        <v>54</v>
      </c>
      <c r="L850" t="s">
        <v>247</v>
      </c>
      <c r="M850" t="s">
        <v>248</v>
      </c>
      <c r="N850" t="s">
        <v>41</v>
      </c>
      <c r="O850" t="s">
        <v>57</v>
      </c>
      <c r="P850" t="s">
        <v>2617</v>
      </c>
      <c r="Q850" t="s">
        <v>31</v>
      </c>
      <c r="R850">
        <v>1</v>
      </c>
      <c r="S850">
        <v>1744.35</v>
      </c>
      <c r="T850">
        <v>0.25</v>
      </c>
      <c r="U850">
        <v>1308.26</v>
      </c>
      <c r="V850">
        <v>1083.56</v>
      </c>
      <c r="W850">
        <v>224.7</v>
      </c>
      <c r="X850" t="s">
        <v>32</v>
      </c>
      <c r="Y850" t="s">
        <v>33</v>
      </c>
      <c r="Z850" t="str">
        <f t="shared" si="182"/>
        <v>Unique</v>
      </c>
      <c r="AA850" t="str">
        <f t="shared" si="183"/>
        <v>Unique</v>
      </c>
      <c r="AB850" t="str">
        <f t="shared" si="187"/>
        <v>OK</v>
      </c>
      <c r="AC850">
        <f t="shared" si="188"/>
        <v>0.25</v>
      </c>
      <c r="AD850" t="str">
        <f t="shared" si="189"/>
        <v>OK</v>
      </c>
      <c r="AE850">
        <f t="shared" si="190"/>
        <v>1308.2624999999998</v>
      </c>
      <c r="AF850">
        <f t="shared" si="191"/>
        <v>224.70249999999987</v>
      </c>
      <c r="AG850">
        <f t="shared" si="192"/>
        <v>0.17175643267310645</v>
      </c>
      <c r="AH850" t="str">
        <f t="shared" si="184"/>
        <v>May</v>
      </c>
      <c r="AI850">
        <f t="shared" si="185"/>
        <v>2025</v>
      </c>
      <c r="AJ850" t="str">
        <f t="shared" si="193"/>
        <v>OK</v>
      </c>
      <c r="AK850" t="str">
        <f t="shared" si="194"/>
        <v>OK</v>
      </c>
      <c r="AL850" t="str">
        <f t="shared" si="195"/>
        <v>Include</v>
      </c>
      <c r="AM850" t="str">
        <f t="shared" si="186"/>
        <v>Clean</v>
      </c>
    </row>
    <row r="851" spans="1:39">
      <c r="A851" t="s">
        <v>2618</v>
      </c>
      <c r="B851" s="4">
        <v>45357</v>
      </c>
      <c r="C851" s="4">
        <v>45363</v>
      </c>
      <c r="D851" s="6">
        <v>6</v>
      </c>
      <c r="E851" t="s">
        <v>2788</v>
      </c>
      <c r="F851" t="s">
        <v>2788</v>
      </c>
      <c r="G851" t="s">
        <v>2788</v>
      </c>
      <c r="H851" t="s">
        <v>2619</v>
      </c>
      <c r="I851" t="s">
        <v>47</v>
      </c>
      <c r="J851" t="s">
        <v>95</v>
      </c>
      <c r="K851" t="s">
        <v>63</v>
      </c>
      <c r="L851" t="s">
        <v>180</v>
      </c>
      <c r="M851" t="s">
        <v>181</v>
      </c>
      <c r="N851" t="s">
        <v>41</v>
      </c>
      <c r="O851" t="s">
        <v>158</v>
      </c>
      <c r="P851" t="s">
        <v>2620</v>
      </c>
      <c r="Q851" t="s">
        <v>59</v>
      </c>
      <c r="R851">
        <v>3</v>
      </c>
      <c r="S851">
        <v>679.63</v>
      </c>
      <c r="T851">
        <v>0.2</v>
      </c>
      <c r="U851">
        <v>1631.11</v>
      </c>
      <c r="V851">
        <v>898.73</v>
      </c>
      <c r="W851">
        <v>396.58</v>
      </c>
      <c r="X851" t="s">
        <v>32</v>
      </c>
      <c r="Y851" t="s">
        <v>33</v>
      </c>
      <c r="Z851" t="str">
        <f t="shared" si="182"/>
        <v>Exact Duplicate</v>
      </c>
      <c r="AA851" t="str">
        <f t="shared" si="183"/>
        <v>Duplicate Order ID</v>
      </c>
      <c r="AB851" t="str">
        <f t="shared" si="187"/>
        <v>OK</v>
      </c>
      <c r="AC851">
        <f t="shared" si="188"/>
        <v>0.2</v>
      </c>
      <c r="AD851" t="str">
        <f t="shared" si="189"/>
        <v>OK</v>
      </c>
      <c r="AE851">
        <f t="shared" si="190"/>
        <v>1631.1120000000001</v>
      </c>
      <c r="AF851">
        <f t="shared" si="191"/>
        <v>732.38200000000006</v>
      </c>
      <c r="AG851">
        <f t="shared" si="192"/>
        <v>0.44900779345624336</v>
      </c>
      <c r="AH851" t="str">
        <f t="shared" si="184"/>
        <v>March</v>
      </c>
      <c r="AI851">
        <f t="shared" si="185"/>
        <v>2024</v>
      </c>
      <c r="AJ851" t="str">
        <f t="shared" si="193"/>
        <v>OK</v>
      </c>
      <c r="AK851" t="str">
        <f t="shared" si="194"/>
        <v>Profit Mismatch</v>
      </c>
      <c r="AL851" t="str">
        <f t="shared" si="195"/>
        <v>Include</v>
      </c>
      <c r="AM851" t="str">
        <f t="shared" si="186"/>
        <v>Warning</v>
      </c>
    </row>
    <row r="852" spans="1:39">
      <c r="A852" t="s">
        <v>2621</v>
      </c>
      <c r="B852" s="4">
        <v>45473</v>
      </c>
      <c r="C852" s="4">
        <v>45476</v>
      </c>
      <c r="D852" s="6">
        <v>3</v>
      </c>
      <c r="E852" t="s">
        <v>2788</v>
      </c>
      <c r="F852" t="s">
        <v>2788</v>
      </c>
      <c r="G852" t="s">
        <v>2788</v>
      </c>
      <c r="H852" t="s">
        <v>2622</v>
      </c>
      <c r="I852" t="s">
        <v>114</v>
      </c>
      <c r="J852" t="s">
        <v>95</v>
      </c>
      <c r="K852" t="s">
        <v>38</v>
      </c>
      <c r="L852" t="s">
        <v>99</v>
      </c>
      <c r="M852" t="s">
        <v>100</v>
      </c>
      <c r="N852" t="s">
        <v>28</v>
      </c>
      <c r="O852" t="s">
        <v>29</v>
      </c>
      <c r="P852" t="s">
        <v>2623</v>
      </c>
      <c r="Q852" t="s">
        <v>50</v>
      </c>
      <c r="R852">
        <v>6</v>
      </c>
      <c r="S852">
        <v>1211.01</v>
      </c>
      <c r="T852">
        <v>0</v>
      </c>
      <c r="U852">
        <v>7266.06</v>
      </c>
      <c r="V852">
        <v>6216.89</v>
      </c>
      <c r="W852">
        <v>1049.17</v>
      </c>
      <c r="X852" t="s">
        <v>32</v>
      </c>
      <c r="Y852" t="s">
        <v>33</v>
      </c>
      <c r="Z852" t="str">
        <f t="shared" si="182"/>
        <v>Unique</v>
      </c>
      <c r="AA852" t="str">
        <f t="shared" si="183"/>
        <v>Unique</v>
      </c>
      <c r="AB852" t="str">
        <f t="shared" si="187"/>
        <v>OK</v>
      </c>
      <c r="AC852">
        <f t="shared" si="188"/>
        <v>0</v>
      </c>
      <c r="AD852" t="str">
        <f t="shared" si="189"/>
        <v>OK</v>
      </c>
      <c r="AE852">
        <f t="shared" si="190"/>
        <v>7266.0599999999995</v>
      </c>
      <c r="AF852">
        <f t="shared" si="191"/>
        <v>1049.1699999999992</v>
      </c>
      <c r="AG852">
        <f t="shared" si="192"/>
        <v>0.14439324750965438</v>
      </c>
      <c r="AH852" t="str">
        <f t="shared" si="184"/>
        <v>June</v>
      </c>
      <c r="AI852">
        <f t="shared" si="185"/>
        <v>2024</v>
      </c>
      <c r="AJ852" t="str">
        <f t="shared" si="193"/>
        <v>OK</v>
      </c>
      <c r="AK852" t="str">
        <f t="shared" si="194"/>
        <v>OK</v>
      </c>
      <c r="AL852" t="str">
        <f t="shared" si="195"/>
        <v>Include</v>
      </c>
      <c r="AM852" t="str">
        <f t="shared" si="186"/>
        <v>Clean</v>
      </c>
    </row>
    <row r="853" spans="1:39">
      <c r="A853" t="s">
        <v>2624</v>
      </c>
      <c r="B853" s="4">
        <v>45377</v>
      </c>
      <c r="C853" s="4">
        <v>45383</v>
      </c>
      <c r="D853" s="6">
        <v>6</v>
      </c>
      <c r="E853" t="s">
        <v>2788</v>
      </c>
      <c r="F853" t="s">
        <v>2788</v>
      </c>
      <c r="G853" t="s">
        <v>2788</v>
      </c>
      <c r="H853" t="s">
        <v>2625</v>
      </c>
      <c r="I853" t="s">
        <v>23</v>
      </c>
      <c r="J853" t="s">
        <v>37</v>
      </c>
      <c r="K853" t="s">
        <v>63</v>
      </c>
      <c r="L853" t="s">
        <v>180</v>
      </c>
      <c r="M853" t="s">
        <v>181</v>
      </c>
      <c r="N853" t="s">
        <v>74</v>
      </c>
      <c r="O853" t="s">
        <v>75</v>
      </c>
      <c r="P853" t="s">
        <v>2626</v>
      </c>
      <c r="Q853" t="s">
        <v>50</v>
      </c>
      <c r="R853">
        <v>2</v>
      </c>
      <c r="S853">
        <v>1161.3</v>
      </c>
      <c r="T853">
        <v>0.2</v>
      </c>
      <c r="U853">
        <v>1858.08</v>
      </c>
      <c r="V853">
        <v>1590.75</v>
      </c>
      <c r="W853">
        <v>267.33</v>
      </c>
      <c r="X853" t="s">
        <v>32</v>
      </c>
      <c r="Y853" t="s">
        <v>33</v>
      </c>
      <c r="Z853" t="str">
        <f t="shared" si="182"/>
        <v>Unique</v>
      </c>
      <c r="AA853" t="str">
        <f t="shared" si="183"/>
        <v>Unique</v>
      </c>
      <c r="AB853" t="str">
        <f t="shared" si="187"/>
        <v>OK</v>
      </c>
      <c r="AC853">
        <f t="shared" si="188"/>
        <v>0.2</v>
      </c>
      <c r="AD853" t="str">
        <f t="shared" si="189"/>
        <v>OK</v>
      </c>
      <c r="AE853">
        <f t="shared" si="190"/>
        <v>1858.08</v>
      </c>
      <c r="AF853">
        <f t="shared" si="191"/>
        <v>267.32999999999993</v>
      </c>
      <c r="AG853">
        <f t="shared" si="192"/>
        <v>0.14387432188065097</v>
      </c>
      <c r="AH853" t="str">
        <f t="shared" si="184"/>
        <v>March</v>
      </c>
      <c r="AI853">
        <f t="shared" si="185"/>
        <v>2024</v>
      </c>
      <c r="AJ853" t="str">
        <f t="shared" si="193"/>
        <v>OK</v>
      </c>
      <c r="AK853" t="str">
        <f t="shared" si="194"/>
        <v>OK</v>
      </c>
      <c r="AL853" t="str">
        <f t="shared" si="195"/>
        <v>Include</v>
      </c>
      <c r="AM853" t="str">
        <f t="shared" si="186"/>
        <v>Clean</v>
      </c>
    </row>
    <row r="854" spans="1:39">
      <c r="A854" t="s">
        <v>2627</v>
      </c>
      <c r="B854" s="4">
        <v>45383</v>
      </c>
      <c r="C854" s="4">
        <v>45390</v>
      </c>
      <c r="D854" s="6">
        <v>7</v>
      </c>
      <c r="E854" t="s">
        <v>2788</v>
      </c>
      <c r="F854" t="s">
        <v>2788</v>
      </c>
      <c r="G854" t="s">
        <v>2788</v>
      </c>
      <c r="H854" t="s">
        <v>2628</v>
      </c>
      <c r="I854" t="s">
        <v>62</v>
      </c>
      <c r="J854" t="s">
        <v>24</v>
      </c>
      <c r="K854" t="s">
        <v>38</v>
      </c>
      <c r="L854" t="s">
        <v>166</v>
      </c>
      <c r="M854" t="s">
        <v>167</v>
      </c>
      <c r="N854" t="s">
        <v>41</v>
      </c>
      <c r="O854" t="s">
        <v>42</v>
      </c>
      <c r="P854" t="s">
        <v>2629</v>
      </c>
      <c r="Q854" t="s">
        <v>31</v>
      </c>
      <c r="R854">
        <v>7</v>
      </c>
      <c r="S854">
        <v>4205.3500000000004</v>
      </c>
      <c r="T854">
        <v>0.15</v>
      </c>
      <c r="U854">
        <v>25021.83</v>
      </c>
      <c r="V854">
        <v>15544.44</v>
      </c>
      <c r="W854">
        <v>9477.39</v>
      </c>
      <c r="X854" t="s">
        <v>111</v>
      </c>
      <c r="Y854" t="s">
        <v>68</v>
      </c>
      <c r="Z854" t="str">
        <f t="shared" si="182"/>
        <v>Unique</v>
      </c>
      <c r="AA854" t="str">
        <f t="shared" si="183"/>
        <v>Unique</v>
      </c>
      <c r="AB854" t="str">
        <f t="shared" si="187"/>
        <v>OK</v>
      </c>
      <c r="AC854">
        <f t="shared" si="188"/>
        <v>0.15</v>
      </c>
      <c r="AD854" t="str">
        <f t="shared" si="189"/>
        <v>OK</v>
      </c>
      <c r="AE854">
        <f t="shared" si="190"/>
        <v>25021.832500000004</v>
      </c>
      <c r="AF854">
        <f t="shared" si="191"/>
        <v>9477.3925000000036</v>
      </c>
      <c r="AG854">
        <f t="shared" si="192"/>
        <v>0.37876492459135447</v>
      </c>
      <c r="AH854" t="str">
        <f t="shared" si="184"/>
        <v>April</v>
      </c>
      <c r="AI854">
        <f t="shared" si="185"/>
        <v>2024</v>
      </c>
      <c r="AJ854" t="str">
        <f t="shared" si="193"/>
        <v>OK</v>
      </c>
      <c r="AK854" t="str">
        <f t="shared" si="194"/>
        <v>OK</v>
      </c>
      <c r="AL854" t="str">
        <f t="shared" si="195"/>
        <v>Exclude</v>
      </c>
      <c r="AM854" t="str">
        <f t="shared" si="186"/>
        <v>Clean</v>
      </c>
    </row>
    <row r="855" spans="1:39">
      <c r="A855" t="s">
        <v>2630</v>
      </c>
      <c r="B855" s="4">
        <v>45793</v>
      </c>
      <c r="C855" s="4">
        <v>45799</v>
      </c>
      <c r="D855" s="6">
        <v>6</v>
      </c>
      <c r="E855" t="s">
        <v>2788</v>
      </c>
      <c r="F855" t="s">
        <v>2788</v>
      </c>
      <c r="G855" t="s">
        <v>2788</v>
      </c>
      <c r="H855" t="s">
        <v>2631</v>
      </c>
      <c r="I855" t="s">
        <v>53</v>
      </c>
      <c r="J855" t="s">
        <v>90</v>
      </c>
      <c r="K855" t="s">
        <v>54</v>
      </c>
      <c r="L855" t="s">
        <v>247</v>
      </c>
      <c r="M855" t="s">
        <v>248</v>
      </c>
      <c r="N855" t="s">
        <v>74</v>
      </c>
      <c r="O855" t="s">
        <v>75</v>
      </c>
      <c r="P855" t="s">
        <v>2632</v>
      </c>
      <c r="Q855" t="s">
        <v>44</v>
      </c>
      <c r="R855">
        <v>8</v>
      </c>
      <c r="S855">
        <v>579.79999999999995</v>
      </c>
      <c r="T855">
        <v>0.2</v>
      </c>
      <c r="U855">
        <v>3710.72</v>
      </c>
      <c r="V855">
        <v>3115.29</v>
      </c>
      <c r="W855">
        <v>595.42999999999995</v>
      </c>
      <c r="X855" t="s">
        <v>32</v>
      </c>
      <c r="Y855" t="s">
        <v>33</v>
      </c>
      <c r="Z855" t="str">
        <f t="shared" si="182"/>
        <v>Unique</v>
      </c>
      <c r="AA855" t="str">
        <f t="shared" si="183"/>
        <v>Unique</v>
      </c>
      <c r="AB855" t="str">
        <f t="shared" si="187"/>
        <v>OK</v>
      </c>
      <c r="AC855">
        <f t="shared" si="188"/>
        <v>0.2</v>
      </c>
      <c r="AD855" t="str">
        <f t="shared" si="189"/>
        <v>OK</v>
      </c>
      <c r="AE855">
        <f t="shared" si="190"/>
        <v>3710.72</v>
      </c>
      <c r="AF855">
        <f t="shared" si="191"/>
        <v>595.42999999999984</v>
      </c>
      <c r="AG855">
        <f t="shared" si="192"/>
        <v>0.16046212055881334</v>
      </c>
      <c r="AH855" t="str">
        <f t="shared" si="184"/>
        <v>May</v>
      </c>
      <c r="AI855">
        <f t="shared" si="185"/>
        <v>2025</v>
      </c>
      <c r="AJ855" t="str">
        <f t="shared" si="193"/>
        <v>OK</v>
      </c>
      <c r="AK855" t="str">
        <f t="shared" si="194"/>
        <v>OK</v>
      </c>
      <c r="AL855" t="str">
        <f t="shared" si="195"/>
        <v>Include</v>
      </c>
      <c r="AM855" t="str">
        <f t="shared" si="186"/>
        <v>Clean</v>
      </c>
    </row>
    <row r="856" spans="1:39">
      <c r="A856" t="s">
        <v>2633</v>
      </c>
      <c r="B856" s="4">
        <v>45741</v>
      </c>
      <c r="C856" s="4">
        <v>45749</v>
      </c>
      <c r="D856" s="6">
        <v>8</v>
      </c>
      <c r="E856" t="s">
        <v>2788</v>
      </c>
      <c r="F856" t="s">
        <v>2788</v>
      </c>
      <c r="G856" t="s">
        <v>2788</v>
      </c>
      <c r="H856" t="s">
        <v>2634</v>
      </c>
      <c r="I856" t="s">
        <v>114</v>
      </c>
      <c r="J856" t="s">
        <v>24</v>
      </c>
      <c r="K856" t="s">
        <v>54</v>
      </c>
      <c r="L856" t="s">
        <v>175</v>
      </c>
      <c r="M856" t="s">
        <v>176</v>
      </c>
      <c r="N856" t="s">
        <v>41</v>
      </c>
      <c r="O856" t="s">
        <v>158</v>
      </c>
      <c r="P856" t="s">
        <v>2635</v>
      </c>
      <c r="Q856" t="s">
        <v>31</v>
      </c>
      <c r="R856">
        <v>4</v>
      </c>
      <c r="S856">
        <v>2233.64</v>
      </c>
      <c r="T856">
        <v>0.05</v>
      </c>
      <c r="U856">
        <v>8487.83</v>
      </c>
      <c r="V856">
        <v>5245.72</v>
      </c>
      <c r="W856">
        <v>3242.11</v>
      </c>
      <c r="X856" t="s">
        <v>32</v>
      </c>
      <c r="Y856" t="s">
        <v>33</v>
      </c>
      <c r="Z856" t="str">
        <f t="shared" si="182"/>
        <v>Unique</v>
      </c>
      <c r="AA856" t="str">
        <f t="shared" si="183"/>
        <v>Unique</v>
      </c>
      <c r="AB856" t="str">
        <f t="shared" si="187"/>
        <v>OK</v>
      </c>
      <c r="AC856">
        <f t="shared" si="188"/>
        <v>0.05</v>
      </c>
      <c r="AD856" t="str">
        <f t="shared" si="189"/>
        <v>OK</v>
      </c>
      <c r="AE856">
        <f t="shared" si="190"/>
        <v>8487.8319999999985</v>
      </c>
      <c r="AF856">
        <f t="shared" si="191"/>
        <v>3242.1119999999983</v>
      </c>
      <c r="AG856">
        <f t="shared" si="192"/>
        <v>0.38197174496384928</v>
      </c>
      <c r="AH856" t="str">
        <f t="shared" si="184"/>
        <v>March</v>
      </c>
      <c r="AI856">
        <f t="shared" si="185"/>
        <v>2025</v>
      </c>
      <c r="AJ856" t="str">
        <f t="shared" si="193"/>
        <v>OK</v>
      </c>
      <c r="AK856" t="str">
        <f t="shared" si="194"/>
        <v>OK</v>
      </c>
      <c r="AL856" t="str">
        <f t="shared" si="195"/>
        <v>Include</v>
      </c>
      <c r="AM856" t="str">
        <f t="shared" si="186"/>
        <v>Clean</v>
      </c>
    </row>
    <row r="857" spans="1:39">
      <c r="A857" t="s">
        <v>2636</v>
      </c>
      <c r="B857" s="4">
        <v>45498</v>
      </c>
      <c r="C857" s="4">
        <v>45506</v>
      </c>
      <c r="D857" s="6">
        <v>8</v>
      </c>
      <c r="E857" t="s">
        <v>2788</v>
      </c>
      <c r="F857" t="s">
        <v>2788</v>
      </c>
      <c r="G857" t="s">
        <v>2788</v>
      </c>
      <c r="H857" t="s">
        <v>1122</v>
      </c>
      <c r="I857" t="s">
        <v>118</v>
      </c>
      <c r="J857" t="s">
        <v>24</v>
      </c>
      <c r="K857" t="s">
        <v>25</v>
      </c>
      <c r="L857" t="s">
        <v>26</v>
      </c>
      <c r="M857" t="s">
        <v>27</v>
      </c>
      <c r="N857" t="s">
        <v>28</v>
      </c>
      <c r="O857" t="s">
        <v>91</v>
      </c>
      <c r="P857" t="s">
        <v>2637</v>
      </c>
      <c r="Q857" t="s">
        <v>31</v>
      </c>
      <c r="R857">
        <v>2</v>
      </c>
      <c r="S857">
        <v>2073.5300000000002</v>
      </c>
      <c r="T857">
        <v>0.25</v>
      </c>
      <c r="U857">
        <v>3110.3</v>
      </c>
      <c r="V857">
        <v>2101.0300000000002</v>
      </c>
      <c r="W857">
        <v>1009.27</v>
      </c>
      <c r="X857" t="s">
        <v>32</v>
      </c>
      <c r="Y857" t="s">
        <v>33</v>
      </c>
      <c r="Z857" t="str">
        <f t="shared" si="182"/>
        <v>Unique</v>
      </c>
      <c r="AA857" t="str">
        <f t="shared" si="183"/>
        <v>Unique</v>
      </c>
      <c r="AB857" t="str">
        <f t="shared" si="187"/>
        <v>OK</v>
      </c>
      <c r="AC857">
        <f t="shared" si="188"/>
        <v>0.25</v>
      </c>
      <c r="AD857" t="str">
        <f t="shared" si="189"/>
        <v>OK</v>
      </c>
      <c r="AE857">
        <f t="shared" si="190"/>
        <v>3110.2950000000001</v>
      </c>
      <c r="AF857">
        <f t="shared" si="191"/>
        <v>1009.2649999999999</v>
      </c>
      <c r="AG857">
        <f t="shared" si="192"/>
        <v>0.32449172827657824</v>
      </c>
      <c r="AH857" t="str">
        <f t="shared" si="184"/>
        <v>July</v>
      </c>
      <c r="AI857">
        <f t="shared" si="185"/>
        <v>2024</v>
      </c>
      <c r="AJ857" t="str">
        <f t="shared" si="193"/>
        <v>OK</v>
      </c>
      <c r="AK857" t="str">
        <f t="shared" si="194"/>
        <v>OK</v>
      </c>
      <c r="AL857" t="str">
        <f t="shared" si="195"/>
        <v>Include</v>
      </c>
      <c r="AM857" t="str">
        <f t="shared" si="186"/>
        <v>Clean</v>
      </c>
    </row>
    <row r="858" spans="1:39">
      <c r="A858" t="s">
        <v>2638</v>
      </c>
      <c r="B858" s="4">
        <v>45455</v>
      </c>
      <c r="C858" s="4">
        <v>45462</v>
      </c>
      <c r="D858" s="6">
        <v>7</v>
      </c>
      <c r="E858" t="s">
        <v>2788</v>
      </c>
      <c r="F858" t="s">
        <v>2788</v>
      </c>
      <c r="G858" t="s">
        <v>2788</v>
      </c>
      <c r="H858" t="s">
        <v>1300</v>
      </c>
      <c r="I858" t="s">
        <v>141</v>
      </c>
      <c r="J858" t="s">
        <v>95</v>
      </c>
      <c r="K858" t="s">
        <v>54</v>
      </c>
      <c r="L858" t="s">
        <v>247</v>
      </c>
      <c r="M858" t="s">
        <v>248</v>
      </c>
      <c r="N858" t="s">
        <v>28</v>
      </c>
      <c r="O858" t="s">
        <v>124</v>
      </c>
      <c r="P858" t="s">
        <v>2639</v>
      </c>
      <c r="Q858" t="s">
        <v>59</v>
      </c>
      <c r="R858">
        <v>4</v>
      </c>
      <c r="S858">
        <v>395.1</v>
      </c>
      <c r="T858">
        <v>-0.16</v>
      </c>
      <c r="U858">
        <v>1185.3</v>
      </c>
      <c r="V858">
        <v>966.55</v>
      </c>
      <c r="W858">
        <v>218.75</v>
      </c>
      <c r="X858" t="s">
        <v>155</v>
      </c>
      <c r="Y858" t="s">
        <v>68</v>
      </c>
      <c r="Z858" t="str">
        <f t="shared" si="182"/>
        <v>Unique</v>
      </c>
      <c r="AA858" t="str">
        <f t="shared" si="183"/>
        <v>Unique</v>
      </c>
      <c r="AB858" t="str">
        <f t="shared" si="187"/>
        <v>OK</v>
      </c>
      <c r="AC858">
        <f t="shared" si="188"/>
        <v>-0.16</v>
      </c>
      <c r="AD858" t="str">
        <f t="shared" si="189"/>
        <v>Invalid Negative Discount</v>
      </c>
      <c r="AE858">
        <f t="shared" si="190"/>
        <v>1833.2639999999999</v>
      </c>
      <c r="AF858">
        <f t="shared" si="191"/>
        <v>866.71399999999994</v>
      </c>
      <c r="AG858">
        <f t="shared" si="192"/>
        <v>0.47277097024760206</v>
      </c>
      <c r="AH858" t="str">
        <f t="shared" si="184"/>
        <v>June</v>
      </c>
      <c r="AI858">
        <f t="shared" si="185"/>
        <v>2024</v>
      </c>
      <c r="AJ858" t="str">
        <f t="shared" si="193"/>
        <v>Sales Mismatch</v>
      </c>
      <c r="AK858" t="str">
        <f t="shared" si="194"/>
        <v>Profit Mismatch</v>
      </c>
      <c r="AL858" t="str">
        <f t="shared" si="195"/>
        <v>Exclude</v>
      </c>
      <c r="AM858" t="str">
        <f t="shared" si="186"/>
        <v>Invalid</v>
      </c>
    </row>
    <row r="859" spans="1:39">
      <c r="A859" t="s">
        <v>2640</v>
      </c>
      <c r="B859" s="4">
        <v>45447</v>
      </c>
      <c r="C859" s="4">
        <v>45447</v>
      </c>
      <c r="D859" s="6">
        <v>0</v>
      </c>
      <c r="E859" t="s">
        <v>2788</v>
      </c>
      <c r="F859" t="s">
        <v>2788</v>
      </c>
      <c r="G859" t="s">
        <v>2788</v>
      </c>
      <c r="H859" t="s">
        <v>2147</v>
      </c>
      <c r="I859" t="s">
        <v>132</v>
      </c>
      <c r="J859" t="s">
        <v>95</v>
      </c>
      <c r="K859" t="s">
        <v>54</v>
      </c>
      <c r="L859" t="s">
        <v>185</v>
      </c>
      <c r="M859" t="s">
        <v>186</v>
      </c>
      <c r="N859" t="s">
        <v>28</v>
      </c>
      <c r="O859" t="s">
        <v>124</v>
      </c>
      <c r="P859" t="s">
        <v>2641</v>
      </c>
      <c r="Q859" t="s">
        <v>50</v>
      </c>
      <c r="R859">
        <v>6</v>
      </c>
      <c r="S859">
        <v>2708.97</v>
      </c>
      <c r="T859">
        <v>0.25</v>
      </c>
      <c r="U859">
        <v>12190.36</v>
      </c>
      <c r="V859">
        <v>10176.99</v>
      </c>
      <c r="W859">
        <v>2013.37</v>
      </c>
      <c r="X859" t="s">
        <v>32</v>
      </c>
      <c r="Y859" t="s">
        <v>33</v>
      </c>
      <c r="Z859" t="str">
        <f t="shared" si="182"/>
        <v>Unique</v>
      </c>
      <c r="AA859" t="str">
        <f t="shared" si="183"/>
        <v>Unique</v>
      </c>
      <c r="AB859" t="str">
        <f t="shared" si="187"/>
        <v>OK</v>
      </c>
      <c r="AC859">
        <f t="shared" si="188"/>
        <v>0.25</v>
      </c>
      <c r="AD859" t="str">
        <f t="shared" si="189"/>
        <v>OK</v>
      </c>
      <c r="AE859">
        <f t="shared" si="190"/>
        <v>12190.365</v>
      </c>
      <c r="AF859">
        <f t="shared" si="191"/>
        <v>2013.375</v>
      </c>
      <c r="AG859">
        <f t="shared" si="192"/>
        <v>0.16516117441930575</v>
      </c>
      <c r="AH859" t="str">
        <f t="shared" si="184"/>
        <v>June</v>
      </c>
      <c r="AI859">
        <f t="shared" si="185"/>
        <v>2024</v>
      </c>
      <c r="AJ859" t="str">
        <f t="shared" si="193"/>
        <v>OK</v>
      </c>
      <c r="AK859" t="str">
        <f t="shared" si="194"/>
        <v>OK</v>
      </c>
      <c r="AL859" t="str">
        <f t="shared" si="195"/>
        <v>Include</v>
      </c>
      <c r="AM859" t="str">
        <f t="shared" si="186"/>
        <v>Clean</v>
      </c>
    </row>
    <row r="860" spans="1:39">
      <c r="A860" t="s">
        <v>2642</v>
      </c>
      <c r="B860" s="4">
        <v>45414</v>
      </c>
      <c r="C860" s="4">
        <v>45421</v>
      </c>
      <c r="D860" s="6">
        <v>7</v>
      </c>
      <c r="E860" t="s">
        <v>2788</v>
      </c>
      <c r="F860" t="s">
        <v>2788</v>
      </c>
      <c r="G860" t="s">
        <v>2788</v>
      </c>
      <c r="H860" t="s">
        <v>2643</v>
      </c>
      <c r="I860" t="s">
        <v>53</v>
      </c>
      <c r="J860" t="s">
        <v>24</v>
      </c>
      <c r="K860" t="s">
        <v>38</v>
      </c>
      <c r="L860" t="s">
        <v>39</v>
      </c>
      <c r="M860" t="s">
        <v>40</v>
      </c>
      <c r="N860" t="s">
        <v>74</v>
      </c>
      <c r="O860" t="s">
        <v>75</v>
      </c>
      <c r="P860" t="s">
        <v>2644</v>
      </c>
      <c r="Q860" t="s">
        <v>31</v>
      </c>
      <c r="R860">
        <v>4</v>
      </c>
      <c r="S860">
        <v>2904.86</v>
      </c>
      <c r="T860">
        <v>0</v>
      </c>
      <c r="U860">
        <v>11619.44</v>
      </c>
      <c r="V860">
        <v>7184.32</v>
      </c>
      <c r="W860">
        <v>4494.6400000000003</v>
      </c>
      <c r="X860" t="s">
        <v>32</v>
      </c>
      <c r="Y860" t="s">
        <v>33</v>
      </c>
      <c r="Z860" t="str">
        <f t="shared" si="182"/>
        <v>Unique</v>
      </c>
      <c r="AA860" t="str">
        <f t="shared" si="183"/>
        <v>Unique</v>
      </c>
      <c r="AB860" t="str">
        <f t="shared" si="187"/>
        <v>OK</v>
      </c>
      <c r="AC860">
        <f t="shared" si="188"/>
        <v>0</v>
      </c>
      <c r="AD860" t="str">
        <f t="shared" si="189"/>
        <v>OK</v>
      </c>
      <c r="AE860">
        <f t="shared" si="190"/>
        <v>11619.44</v>
      </c>
      <c r="AF860">
        <f t="shared" si="191"/>
        <v>4435.1200000000008</v>
      </c>
      <c r="AG860">
        <f t="shared" si="192"/>
        <v>0.3816982574031107</v>
      </c>
      <c r="AH860" t="str">
        <f t="shared" si="184"/>
        <v>May</v>
      </c>
      <c r="AI860">
        <f t="shared" si="185"/>
        <v>2024</v>
      </c>
      <c r="AJ860" t="str">
        <f t="shared" si="193"/>
        <v>OK</v>
      </c>
      <c r="AK860" t="str">
        <f t="shared" si="194"/>
        <v>Profit Mismatch</v>
      </c>
      <c r="AL860" t="str">
        <f t="shared" si="195"/>
        <v>Include</v>
      </c>
      <c r="AM860" t="str">
        <f t="shared" si="186"/>
        <v>Warning</v>
      </c>
    </row>
    <row r="861" spans="1:39">
      <c r="A861" t="s">
        <v>2645</v>
      </c>
      <c r="B861" s="4">
        <v>45592</v>
      </c>
      <c r="C861" s="4">
        <v>45597</v>
      </c>
      <c r="D861" s="6">
        <v>5</v>
      </c>
      <c r="E861" t="s">
        <v>2788</v>
      </c>
      <c r="F861" t="s">
        <v>2788</v>
      </c>
      <c r="G861" t="s">
        <v>2788</v>
      </c>
      <c r="H861" t="s">
        <v>2646</v>
      </c>
      <c r="I861" t="s">
        <v>89</v>
      </c>
      <c r="J861" t="s">
        <v>90</v>
      </c>
      <c r="K861" t="s">
        <v>54</v>
      </c>
      <c r="L861" t="s">
        <v>247</v>
      </c>
      <c r="M861" t="s">
        <v>248</v>
      </c>
      <c r="N861" t="s">
        <v>74</v>
      </c>
      <c r="O861" t="s">
        <v>171</v>
      </c>
      <c r="P861" t="s">
        <v>2647</v>
      </c>
      <c r="Q861" t="s">
        <v>59</v>
      </c>
      <c r="R861">
        <v>6</v>
      </c>
      <c r="S861">
        <v>4399.2</v>
      </c>
      <c r="T861">
        <v>0.05</v>
      </c>
      <c r="U861">
        <v>25075.439999999999</v>
      </c>
      <c r="V861">
        <v>16282.74</v>
      </c>
      <c r="W861">
        <v>8792.7000000000007</v>
      </c>
      <c r="X861" t="s">
        <v>32</v>
      </c>
      <c r="Y861" t="s">
        <v>33</v>
      </c>
      <c r="Z861" t="str">
        <f t="shared" si="182"/>
        <v>Unique</v>
      </c>
      <c r="AA861" t="str">
        <f t="shared" si="183"/>
        <v>Unique</v>
      </c>
      <c r="AB861" t="str">
        <f t="shared" si="187"/>
        <v>OK</v>
      </c>
      <c r="AC861">
        <f t="shared" si="188"/>
        <v>0.05</v>
      </c>
      <c r="AD861" t="str">
        <f t="shared" si="189"/>
        <v>OK</v>
      </c>
      <c r="AE861">
        <f t="shared" si="190"/>
        <v>25075.439999999995</v>
      </c>
      <c r="AF861">
        <f t="shared" si="191"/>
        <v>8792.6999999999953</v>
      </c>
      <c r="AG861">
        <f t="shared" si="192"/>
        <v>0.35064987892535471</v>
      </c>
      <c r="AH861" t="str">
        <f t="shared" si="184"/>
        <v>October</v>
      </c>
      <c r="AI861">
        <f t="shared" si="185"/>
        <v>2024</v>
      </c>
      <c r="AJ861" t="str">
        <f t="shared" si="193"/>
        <v>OK</v>
      </c>
      <c r="AK861" t="str">
        <f t="shared" si="194"/>
        <v>OK</v>
      </c>
      <c r="AL861" t="str">
        <f t="shared" si="195"/>
        <v>Include</v>
      </c>
      <c r="AM861" t="str">
        <f t="shared" si="186"/>
        <v>Clean</v>
      </c>
    </row>
    <row r="862" spans="1:39">
      <c r="A862" t="s">
        <v>2648</v>
      </c>
      <c r="B862" s="4">
        <v>45324</v>
      </c>
      <c r="C862" s="4">
        <v>45326</v>
      </c>
      <c r="D862" s="6">
        <v>2</v>
      </c>
      <c r="E862" t="s">
        <v>2788</v>
      </c>
      <c r="F862" t="s">
        <v>2788</v>
      </c>
      <c r="G862" t="s">
        <v>2788</v>
      </c>
      <c r="H862" t="s">
        <v>2649</v>
      </c>
      <c r="I862" t="s">
        <v>71</v>
      </c>
      <c r="J862" t="s">
        <v>95</v>
      </c>
      <c r="K862" t="s">
        <v>25</v>
      </c>
      <c r="L862" t="s">
        <v>136</v>
      </c>
      <c r="M862" t="s">
        <v>137</v>
      </c>
      <c r="N862" t="s">
        <v>28</v>
      </c>
      <c r="O862" t="s">
        <v>124</v>
      </c>
      <c r="P862" t="s">
        <v>2650</v>
      </c>
      <c r="Q862" t="s">
        <v>31</v>
      </c>
      <c r="R862">
        <v>1</v>
      </c>
      <c r="S862">
        <v>4397.32</v>
      </c>
      <c r="T862">
        <v>0.05</v>
      </c>
      <c r="U862">
        <v>4177.45</v>
      </c>
      <c r="V862">
        <v>2299.5</v>
      </c>
      <c r="W862">
        <v>1877.95</v>
      </c>
      <c r="X862" t="s">
        <v>32</v>
      </c>
      <c r="Y862" t="s">
        <v>33</v>
      </c>
      <c r="Z862" t="str">
        <f t="shared" si="182"/>
        <v>Unique</v>
      </c>
      <c r="AA862" t="str">
        <f t="shared" si="183"/>
        <v>Unique</v>
      </c>
      <c r="AB862" t="str">
        <f t="shared" si="187"/>
        <v>OK</v>
      </c>
      <c r="AC862">
        <f t="shared" si="188"/>
        <v>0.05</v>
      </c>
      <c r="AD862" t="str">
        <f t="shared" si="189"/>
        <v>OK</v>
      </c>
      <c r="AE862">
        <f t="shared" si="190"/>
        <v>4177.4539999999997</v>
      </c>
      <c r="AF862">
        <f t="shared" si="191"/>
        <v>1877.9539999999997</v>
      </c>
      <c r="AG862">
        <f t="shared" si="192"/>
        <v>0.44954510570313877</v>
      </c>
      <c r="AH862" t="str">
        <f t="shared" si="184"/>
        <v>February</v>
      </c>
      <c r="AI862">
        <f t="shared" si="185"/>
        <v>2024</v>
      </c>
      <c r="AJ862" t="str">
        <f t="shared" si="193"/>
        <v>OK</v>
      </c>
      <c r="AK862" t="str">
        <f t="shared" si="194"/>
        <v>OK</v>
      </c>
      <c r="AL862" t="str">
        <f t="shared" si="195"/>
        <v>Include</v>
      </c>
      <c r="AM862" t="str">
        <f t="shared" si="186"/>
        <v>Clean</v>
      </c>
    </row>
    <row r="863" spans="1:39">
      <c r="A863" t="s">
        <v>2651</v>
      </c>
      <c r="B863" s="4">
        <v>45724</v>
      </c>
      <c r="C863" s="4">
        <v>45725</v>
      </c>
      <c r="D863" s="6">
        <v>1</v>
      </c>
      <c r="E863" t="s">
        <v>2788</v>
      </c>
      <c r="F863" t="s">
        <v>2788</v>
      </c>
      <c r="G863" t="s">
        <v>2788</v>
      </c>
      <c r="H863" t="s">
        <v>2652</v>
      </c>
      <c r="I863" t="s">
        <v>114</v>
      </c>
      <c r="J863" t="s">
        <v>95</v>
      </c>
      <c r="K863" t="s">
        <v>25</v>
      </c>
      <c r="L863" t="s">
        <v>350</v>
      </c>
      <c r="M863" t="s">
        <v>351</v>
      </c>
      <c r="N863" t="s">
        <v>41</v>
      </c>
      <c r="O863" t="s">
        <v>57</v>
      </c>
      <c r="P863" t="s">
        <v>2653</v>
      </c>
      <c r="Q863" t="s">
        <v>44</v>
      </c>
      <c r="R863">
        <v>4</v>
      </c>
      <c r="S863">
        <v>3405.68</v>
      </c>
      <c r="T863">
        <v>0.2</v>
      </c>
      <c r="U863">
        <v>10898.18</v>
      </c>
      <c r="V863">
        <v>6231.41</v>
      </c>
      <c r="W863">
        <v>4666.7700000000004</v>
      </c>
      <c r="X863" t="s">
        <v>32</v>
      </c>
      <c r="Y863" t="s">
        <v>33</v>
      </c>
      <c r="Z863" t="str">
        <f t="shared" si="182"/>
        <v>Unique</v>
      </c>
      <c r="AA863" t="str">
        <f t="shared" si="183"/>
        <v>Unique</v>
      </c>
      <c r="AB863" t="str">
        <f t="shared" si="187"/>
        <v>OK</v>
      </c>
      <c r="AC863">
        <f t="shared" si="188"/>
        <v>0.2</v>
      </c>
      <c r="AD863" t="str">
        <f t="shared" si="189"/>
        <v>OK</v>
      </c>
      <c r="AE863">
        <f t="shared" si="190"/>
        <v>10898.175999999999</v>
      </c>
      <c r="AF863">
        <f t="shared" si="191"/>
        <v>4666.7659999999996</v>
      </c>
      <c r="AG863">
        <f t="shared" si="192"/>
        <v>0.42821532704188298</v>
      </c>
      <c r="AH863" t="str">
        <f t="shared" si="184"/>
        <v>March</v>
      </c>
      <c r="AI863">
        <f t="shared" si="185"/>
        <v>2025</v>
      </c>
      <c r="AJ863" t="str">
        <f t="shared" si="193"/>
        <v>OK</v>
      </c>
      <c r="AK863" t="str">
        <f t="shared" si="194"/>
        <v>OK</v>
      </c>
      <c r="AL863" t="str">
        <f t="shared" si="195"/>
        <v>Include</v>
      </c>
      <c r="AM863" t="str">
        <f t="shared" si="186"/>
        <v>Clean</v>
      </c>
    </row>
    <row r="864" spans="1:39">
      <c r="A864" t="s">
        <v>2654</v>
      </c>
      <c r="B864" s="4">
        <v>45742</v>
      </c>
      <c r="C864" s="4">
        <v>45747</v>
      </c>
      <c r="D864" s="6">
        <v>5</v>
      </c>
      <c r="E864" t="s">
        <v>2788</v>
      </c>
      <c r="F864" t="s">
        <v>2788</v>
      </c>
      <c r="G864" t="s">
        <v>2788</v>
      </c>
      <c r="H864" t="s">
        <v>2655</v>
      </c>
      <c r="I864" t="s">
        <v>114</v>
      </c>
      <c r="J864" t="s">
        <v>37</v>
      </c>
      <c r="K864" t="s">
        <v>38</v>
      </c>
      <c r="L864" t="s">
        <v>228</v>
      </c>
      <c r="M864" t="s">
        <v>229</v>
      </c>
      <c r="N864" t="s">
        <v>28</v>
      </c>
      <c r="O864" t="s">
        <v>153</v>
      </c>
      <c r="P864" t="s">
        <v>2656</v>
      </c>
      <c r="Q864" t="s">
        <v>50</v>
      </c>
      <c r="R864">
        <v>5</v>
      </c>
      <c r="S864">
        <v>1395.14</v>
      </c>
      <c r="T864">
        <v>0</v>
      </c>
      <c r="U864">
        <v>6975.7</v>
      </c>
      <c r="V864">
        <v>4797.88</v>
      </c>
      <c r="W864">
        <v>2177.8200000000002</v>
      </c>
      <c r="X864" t="s">
        <v>32</v>
      </c>
      <c r="Y864" t="s">
        <v>68</v>
      </c>
      <c r="Z864" t="str">
        <f t="shared" si="182"/>
        <v>Unique</v>
      </c>
      <c r="AA864" t="str">
        <f t="shared" si="183"/>
        <v>Unique</v>
      </c>
      <c r="AB864" t="str">
        <f t="shared" si="187"/>
        <v>OK</v>
      </c>
      <c r="AC864">
        <f t="shared" si="188"/>
        <v>0</v>
      </c>
      <c r="AD864" t="str">
        <f t="shared" si="189"/>
        <v>OK</v>
      </c>
      <c r="AE864">
        <f t="shared" si="190"/>
        <v>6975.7000000000007</v>
      </c>
      <c r="AF864">
        <f t="shared" si="191"/>
        <v>2177.8200000000006</v>
      </c>
      <c r="AG864">
        <f t="shared" si="192"/>
        <v>0.3122009260719355</v>
      </c>
      <c r="AH864" t="str">
        <f t="shared" si="184"/>
        <v>March</v>
      </c>
      <c r="AI864">
        <f t="shared" si="185"/>
        <v>2025</v>
      </c>
      <c r="AJ864" t="str">
        <f t="shared" si="193"/>
        <v>OK</v>
      </c>
      <c r="AK864" t="str">
        <f t="shared" si="194"/>
        <v>OK</v>
      </c>
      <c r="AL864" t="str">
        <f t="shared" si="195"/>
        <v>Exclude</v>
      </c>
      <c r="AM864" t="str">
        <f t="shared" si="186"/>
        <v>Clean</v>
      </c>
    </row>
    <row r="865" spans="1:39">
      <c r="A865" t="s">
        <v>2657</v>
      </c>
      <c r="B865" s="4">
        <v>45906</v>
      </c>
      <c r="C865" s="4">
        <v>45908</v>
      </c>
      <c r="D865" s="6">
        <v>2</v>
      </c>
      <c r="E865" t="s">
        <v>2788</v>
      </c>
      <c r="F865" t="s">
        <v>2788</v>
      </c>
      <c r="G865" t="s">
        <v>2788</v>
      </c>
      <c r="H865" t="s">
        <v>2658</v>
      </c>
      <c r="I865" t="s">
        <v>128</v>
      </c>
      <c r="J865" t="s">
        <v>95</v>
      </c>
      <c r="K865" t="s">
        <v>63</v>
      </c>
      <c r="L865" t="s">
        <v>72</v>
      </c>
      <c r="M865" t="s">
        <v>73</v>
      </c>
      <c r="N865" t="s">
        <v>41</v>
      </c>
      <c r="O865" t="s">
        <v>57</v>
      </c>
      <c r="P865" t="s">
        <v>2659</v>
      </c>
      <c r="Q865" t="s">
        <v>44</v>
      </c>
      <c r="R865">
        <v>3</v>
      </c>
      <c r="S865">
        <v>2937.23</v>
      </c>
      <c r="T865">
        <v>0</v>
      </c>
      <c r="U865">
        <v>8811.69</v>
      </c>
      <c r="V865">
        <v>6765.91</v>
      </c>
      <c r="W865">
        <v>2045.78</v>
      </c>
      <c r="X865" t="s">
        <v>32</v>
      </c>
      <c r="Y865" t="s">
        <v>33</v>
      </c>
      <c r="Z865" t="str">
        <f t="shared" si="182"/>
        <v>Unique</v>
      </c>
      <c r="AA865" t="str">
        <f t="shared" si="183"/>
        <v>Unique</v>
      </c>
      <c r="AB865" t="str">
        <f t="shared" si="187"/>
        <v>OK</v>
      </c>
      <c r="AC865">
        <f t="shared" si="188"/>
        <v>0</v>
      </c>
      <c r="AD865" t="str">
        <f t="shared" si="189"/>
        <v>OK</v>
      </c>
      <c r="AE865">
        <f t="shared" si="190"/>
        <v>8811.69</v>
      </c>
      <c r="AF865">
        <f t="shared" si="191"/>
        <v>2045.7800000000007</v>
      </c>
      <c r="AG865">
        <f t="shared" si="192"/>
        <v>0.23216658779416893</v>
      </c>
      <c r="AH865" t="str">
        <f t="shared" si="184"/>
        <v>September</v>
      </c>
      <c r="AI865">
        <f t="shared" si="185"/>
        <v>2025</v>
      </c>
      <c r="AJ865" t="str">
        <f t="shared" si="193"/>
        <v>OK</v>
      </c>
      <c r="AK865" t="str">
        <f t="shared" si="194"/>
        <v>OK</v>
      </c>
      <c r="AL865" t="str">
        <f t="shared" si="195"/>
        <v>Include</v>
      </c>
      <c r="AM865" t="str">
        <f t="shared" si="186"/>
        <v>Clean</v>
      </c>
    </row>
    <row r="866" spans="1:39">
      <c r="A866" t="s">
        <v>2660</v>
      </c>
      <c r="B866" s="4">
        <v>45902</v>
      </c>
      <c r="C866" s="4">
        <v>45905</v>
      </c>
      <c r="D866" s="6">
        <v>3</v>
      </c>
      <c r="E866" t="s">
        <v>2788</v>
      </c>
      <c r="F866" t="s">
        <v>2788</v>
      </c>
      <c r="G866" t="s">
        <v>2788</v>
      </c>
      <c r="H866" t="s">
        <v>2661</v>
      </c>
      <c r="I866" t="s">
        <v>71</v>
      </c>
      <c r="J866" t="s">
        <v>24</v>
      </c>
      <c r="K866" t="s">
        <v>54</v>
      </c>
      <c r="L866" t="s">
        <v>247</v>
      </c>
      <c r="M866" t="s">
        <v>248</v>
      </c>
      <c r="N866" t="s">
        <v>74</v>
      </c>
      <c r="O866" t="s">
        <v>171</v>
      </c>
      <c r="P866" t="s">
        <v>2662</v>
      </c>
      <c r="Q866" t="s">
        <v>50</v>
      </c>
      <c r="R866">
        <v>5</v>
      </c>
      <c r="S866">
        <v>3406.87</v>
      </c>
      <c r="T866">
        <v>0</v>
      </c>
      <c r="U866">
        <v>17034.349999999999</v>
      </c>
      <c r="V866">
        <v>14631.36</v>
      </c>
      <c r="W866">
        <v>2402.9899999999998</v>
      </c>
      <c r="X866" t="s">
        <v>32</v>
      </c>
      <c r="Y866" t="s">
        <v>33</v>
      </c>
      <c r="Z866" t="str">
        <f t="shared" si="182"/>
        <v>Unique</v>
      </c>
      <c r="AA866" t="str">
        <f t="shared" si="183"/>
        <v>Unique</v>
      </c>
      <c r="AB866" t="str">
        <f t="shared" si="187"/>
        <v>OK</v>
      </c>
      <c r="AC866">
        <f t="shared" si="188"/>
        <v>0</v>
      </c>
      <c r="AD866" t="str">
        <f t="shared" si="189"/>
        <v>OK</v>
      </c>
      <c r="AE866">
        <f t="shared" si="190"/>
        <v>17034.349999999999</v>
      </c>
      <c r="AF866">
        <f t="shared" si="191"/>
        <v>2402.989999999998</v>
      </c>
      <c r="AG866">
        <f t="shared" si="192"/>
        <v>0.14106731398615141</v>
      </c>
      <c r="AH866" t="str">
        <f t="shared" si="184"/>
        <v>September</v>
      </c>
      <c r="AI866">
        <f t="shared" si="185"/>
        <v>2025</v>
      </c>
      <c r="AJ866" t="str">
        <f t="shared" si="193"/>
        <v>OK</v>
      </c>
      <c r="AK866" t="str">
        <f t="shared" si="194"/>
        <v>OK</v>
      </c>
      <c r="AL866" t="str">
        <f t="shared" si="195"/>
        <v>Include</v>
      </c>
      <c r="AM866" t="str">
        <f t="shared" si="186"/>
        <v>Clean</v>
      </c>
    </row>
    <row r="867" spans="1:39">
      <c r="A867" t="s">
        <v>2663</v>
      </c>
      <c r="B867" s="4">
        <v>45694</v>
      </c>
      <c r="C867" s="4">
        <v>45702</v>
      </c>
      <c r="D867" s="6">
        <v>8</v>
      </c>
      <c r="E867" t="s">
        <v>2788</v>
      </c>
      <c r="F867" t="s">
        <v>2788</v>
      </c>
      <c r="G867" t="s">
        <v>2788</v>
      </c>
      <c r="H867" t="s">
        <v>2664</v>
      </c>
      <c r="I867" t="s">
        <v>264</v>
      </c>
      <c r="J867" t="s">
        <v>24</v>
      </c>
      <c r="K867" t="s">
        <v>63</v>
      </c>
      <c r="L867" t="s">
        <v>64</v>
      </c>
      <c r="M867" t="s">
        <v>65</v>
      </c>
      <c r="N867" t="s">
        <v>28</v>
      </c>
      <c r="O867" t="s">
        <v>91</v>
      </c>
      <c r="P867" t="s">
        <v>2665</v>
      </c>
      <c r="Q867" t="s">
        <v>31</v>
      </c>
      <c r="R867">
        <v>2</v>
      </c>
      <c r="S867">
        <v>3992.04</v>
      </c>
      <c r="T867">
        <v>0</v>
      </c>
      <c r="U867">
        <v>7984.08</v>
      </c>
      <c r="V867">
        <v>5658.05</v>
      </c>
      <c r="W867">
        <v>2326.0300000000002</v>
      </c>
      <c r="X867" t="s">
        <v>32</v>
      </c>
      <c r="Y867" t="s">
        <v>33</v>
      </c>
      <c r="Z867" t="str">
        <f t="shared" si="182"/>
        <v>Unique</v>
      </c>
      <c r="AA867" t="str">
        <f t="shared" si="183"/>
        <v>Unique</v>
      </c>
      <c r="AB867" t="str">
        <f t="shared" si="187"/>
        <v>OK</v>
      </c>
      <c r="AC867">
        <f t="shared" si="188"/>
        <v>0</v>
      </c>
      <c r="AD867" t="str">
        <f t="shared" si="189"/>
        <v>OK</v>
      </c>
      <c r="AE867">
        <f t="shared" si="190"/>
        <v>7984.08</v>
      </c>
      <c r="AF867">
        <f t="shared" si="191"/>
        <v>2326.0299999999997</v>
      </c>
      <c r="AG867">
        <f t="shared" si="192"/>
        <v>0.29133350367230787</v>
      </c>
      <c r="AH867" t="str">
        <f t="shared" si="184"/>
        <v>February</v>
      </c>
      <c r="AI867">
        <f t="shared" si="185"/>
        <v>2025</v>
      </c>
      <c r="AJ867" t="str">
        <f t="shared" si="193"/>
        <v>OK</v>
      </c>
      <c r="AK867" t="str">
        <f t="shared" si="194"/>
        <v>OK</v>
      </c>
      <c r="AL867" t="str">
        <f t="shared" si="195"/>
        <v>Include</v>
      </c>
      <c r="AM867" t="str">
        <f t="shared" si="186"/>
        <v>Clean</v>
      </c>
    </row>
    <row r="868" spans="1:39">
      <c r="A868" t="s">
        <v>2666</v>
      </c>
      <c r="B868" s="4">
        <v>45714</v>
      </c>
      <c r="C868" s="4">
        <v>45722</v>
      </c>
      <c r="D868" s="6">
        <v>8</v>
      </c>
      <c r="E868" t="s">
        <v>2788</v>
      </c>
      <c r="F868" t="s">
        <v>2788</v>
      </c>
      <c r="G868" t="s">
        <v>2788</v>
      </c>
      <c r="H868" t="s">
        <v>2667</v>
      </c>
      <c r="I868" t="s">
        <v>114</v>
      </c>
      <c r="J868" t="s">
        <v>24</v>
      </c>
      <c r="K868" t="s">
        <v>38</v>
      </c>
      <c r="L868" t="s">
        <v>145</v>
      </c>
      <c r="M868" t="s">
        <v>146</v>
      </c>
      <c r="N868" t="s">
        <v>41</v>
      </c>
      <c r="O868" t="s">
        <v>158</v>
      </c>
      <c r="P868" t="s">
        <v>2668</v>
      </c>
      <c r="Q868" t="s">
        <v>50</v>
      </c>
      <c r="R868">
        <v>9</v>
      </c>
      <c r="S868">
        <v>3043.37</v>
      </c>
      <c r="T868">
        <v>0.2</v>
      </c>
      <c r="U868">
        <v>21912.26</v>
      </c>
      <c r="V868">
        <v>16367.78</v>
      </c>
      <c r="W868">
        <v>5544.48</v>
      </c>
      <c r="X868" t="s">
        <v>111</v>
      </c>
      <c r="Y868" t="s">
        <v>68</v>
      </c>
      <c r="Z868" t="str">
        <f t="shared" si="182"/>
        <v>Unique</v>
      </c>
      <c r="AA868" t="str">
        <f t="shared" si="183"/>
        <v>Unique</v>
      </c>
      <c r="AB868" t="str">
        <f t="shared" si="187"/>
        <v>OK</v>
      </c>
      <c r="AC868">
        <f t="shared" si="188"/>
        <v>0.2</v>
      </c>
      <c r="AD868" t="str">
        <f t="shared" si="189"/>
        <v>OK</v>
      </c>
      <c r="AE868">
        <f t="shared" si="190"/>
        <v>21912.263999999999</v>
      </c>
      <c r="AF868">
        <f t="shared" si="191"/>
        <v>5544.4839999999986</v>
      </c>
      <c r="AG868">
        <f t="shared" si="192"/>
        <v>0.25303108797885965</v>
      </c>
      <c r="AH868" t="str">
        <f t="shared" si="184"/>
        <v>February</v>
      </c>
      <c r="AI868">
        <f t="shared" si="185"/>
        <v>2025</v>
      </c>
      <c r="AJ868" t="str">
        <f t="shared" si="193"/>
        <v>OK</v>
      </c>
      <c r="AK868" t="str">
        <f t="shared" si="194"/>
        <v>OK</v>
      </c>
      <c r="AL868" t="str">
        <f t="shared" si="195"/>
        <v>Exclude</v>
      </c>
      <c r="AM868" t="str">
        <f t="shared" si="186"/>
        <v>Clean</v>
      </c>
    </row>
    <row r="869" spans="1:39">
      <c r="A869" t="s">
        <v>2669</v>
      </c>
      <c r="B869" s="4">
        <v>45617</v>
      </c>
      <c r="C869" s="4">
        <v>45618</v>
      </c>
      <c r="D869" s="6">
        <v>1</v>
      </c>
      <c r="E869" t="s">
        <v>2788</v>
      </c>
      <c r="F869" t="s">
        <v>2788</v>
      </c>
      <c r="G869" t="s">
        <v>2788</v>
      </c>
      <c r="H869" t="s">
        <v>2670</v>
      </c>
      <c r="I869" t="s">
        <v>118</v>
      </c>
      <c r="J869" t="s">
        <v>95</v>
      </c>
      <c r="K869" t="s">
        <v>54</v>
      </c>
      <c r="L869" t="s">
        <v>84</v>
      </c>
      <c r="M869" t="s">
        <v>85</v>
      </c>
      <c r="N869" t="s">
        <v>74</v>
      </c>
      <c r="O869" t="s">
        <v>75</v>
      </c>
      <c r="P869" t="s">
        <v>2671</v>
      </c>
      <c r="Q869" t="s">
        <v>44</v>
      </c>
      <c r="R869">
        <v>6</v>
      </c>
      <c r="S869">
        <v>1043.49</v>
      </c>
      <c r="T869">
        <v>0.25</v>
      </c>
      <c r="U869">
        <v>4695.7</v>
      </c>
      <c r="V869">
        <v>3871.69</v>
      </c>
      <c r="W869">
        <v>824.01</v>
      </c>
      <c r="X869" t="s">
        <v>155</v>
      </c>
      <c r="Y869" t="s">
        <v>68</v>
      </c>
      <c r="Z869" t="str">
        <f t="shared" si="182"/>
        <v>Unique</v>
      </c>
      <c r="AA869" t="str">
        <f t="shared" si="183"/>
        <v>Unique</v>
      </c>
      <c r="AB869" t="str">
        <f t="shared" si="187"/>
        <v>OK</v>
      </c>
      <c r="AC869">
        <f t="shared" si="188"/>
        <v>0.25</v>
      </c>
      <c r="AD869" t="str">
        <f t="shared" si="189"/>
        <v>OK</v>
      </c>
      <c r="AE869">
        <f t="shared" si="190"/>
        <v>4695.7049999999999</v>
      </c>
      <c r="AF869">
        <f t="shared" si="191"/>
        <v>824.01499999999987</v>
      </c>
      <c r="AG869">
        <f t="shared" si="192"/>
        <v>0.17548270174553127</v>
      </c>
      <c r="AH869" t="str">
        <f t="shared" si="184"/>
        <v>November</v>
      </c>
      <c r="AI869">
        <f t="shared" si="185"/>
        <v>2024</v>
      </c>
      <c r="AJ869" t="str">
        <f t="shared" si="193"/>
        <v>OK</v>
      </c>
      <c r="AK869" t="str">
        <f t="shared" si="194"/>
        <v>OK</v>
      </c>
      <c r="AL869" t="str">
        <f t="shared" si="195"/>
        <v>Exclude</v>
      </c>
      <c r="AM869" t="str">
        <f t="shared" si="186"/>
        <v>Clean</v>
      </c>
    </row>
    <row r="870" spans="1:39">
      <c r="A870" t="s">
        <v>2672</v>
      </c>
      <c r="B870" s="4">
        <v>45758</v>
      </c>
      <c r="C870" s="4">
        <v>45762</v>
      </c>
      <c r="D870" s="6">
        <v>4</v>
      </c>
      <c r="E870" t="s">
        <v>2788</v>
      </c>
      <c r="F870" t="s">
        <v>2788</v>
      </c>
      <c r="G870" t="s">
        <v>2788</v>
      </c>
      <c r="H870" t="s">
        <v>2673</v>
      </c>
      <c r="I870" t="s">
        <v>71</v>
      </c>
      <c r="J870" t="s">
        <v>95</v>
      </c>
      <c r="K870" t="s">
        <v>54</v>
      </c>
      <c r="L870" t="s">
        <v>175</v>
      </c>
      <c r="M870" t="s">
        <v>176</v>
      </c>
      <c r="N870" t="s">
        <v>28</v>
      </c>
      <c r="O870" t="s">
        <v>124</v>
      </c>
      <c r="P870" t="s">
        <v>2674</v>
      </c>
      <c r="Q870" t="s">
        <v>44</v>
      </c>
      <c r="R870">
        <v>9</v>
      </c>
      <c r="S870">
        <v>224.94</v>
      </c>
      <c r="T870">
        <v>0.05</v>
      </c>
      <c r="U870">
        <v>1923.24</v>
      </c>
      <c r="V870">
        <v>1093.6600000000001</v>
      </c>
      <c r="W870">
        <v>829.58</v>
      </c>
      <c r="X870" t="s">
        <v>32</v>
      </c>
      <c r="Y870" t="s">
        <v>33</v>
      </c>
      <c r="Z870" t="str">
        <f t="shared" si="182"/>
        <v>Unique</v>
      </c>
      <c r="AA870" t="str">
        <f t="shared" si="183"/>
        <v>Unique</v>
      </c>
      <c r="AB870" t="str">
        <f t="shared" si="187"/>
        <v>OK</v>
      </c>
      <c r="AC870">
        <f t="shared" si="188"/>
        <v>0.05</v>
      </c>
      <c r="AD870" t="str">
        <f t="shared" si="189"/>
        <v>OK</v>
      </c>
      <c r="AE870">
        <f t="shared" si="190"/>
        <v>1923.2369999999999</v>
      </c>
      <c r="AF870">
        <f t="shared" si="191"/>
        <v>829.57699999999977</v>
      </c>
      <c r="AG870">
        <f t="shared" si="192"/>
        <v>0.43134413491420964</v>
      </c>
      <c r="AH870" t="str">
        <f t="shared" si="184"/>
        <v>April</v>
      </c>
      <c r="AI870">
        <f t="shared" si="185"/>
        <v>2025</v>
      </c>
      <c r="AJ870" t="str">
        <f t="shared" si="193"/>
        <v>OK</v>
      </c>
      <c r="AK870" t="str">
        <f t="shared" si="194"/>
        <v>OK</v>
      </c>
      <c r="AL870" t="str">
        <f t="shared" si="195"/>
        <v>Include</v>
      </c>
      <c r="AM870" t="str">
        <f t="shared" si="186"/>
        <v>Clean</v>
      </c>
    </row>
    <row r="871" spans="1:39">
      <c r="A871" t="s">
        <v>2675</v>
      </c>
      <c r="B871" s="4">
        <v>45722</v>
      </c>
      <c r="C871" s="4">
        <v>45723</v>
      </c>
      <c r="D871" s="6">
        <v>1</v>
      </c>
      <c r="E871" t="s">
        <v>2788</v>
      </c>
      <c r="F871" t="s">
        <v>2788</v>
      </c>
      <c r="G871" t="s">
        <v>2788</v>
      </c>
      <c r="H871" t="s">
        <v>2676</v>
      </c>
      <c r="I871" t="s">
        <v>141</v>
      </c>
      <c r="J871" t="s">
        <v>95</v>
      </c>
      <c r="K871" t="s">
        <v>2783</v>
      </c>
      <c r="L871" t="s">
        <v>350</v>
      </c>
      <c r="M871" t="s">
        <v>351</v>
      </c>
      <c r="N871" t="s">
        <v>41</v>
      </c>
      <c r="O871" t="s">
        <v>66</v>
      </c>
      <c r="P871" t="s">
        <v>1147</v>
      </c>
      <c r="Q871" t="s">
        <v>44</v>
      </c>
      <c r="R871">
        <v>6</v>
      </c>
      <c r="S871">
        <v>796.65</v>
      </c>
      <c r="T871">
        <v>0.1</v>
      </c>
      <c r="U871">
        <v>4301.91</v>
      </c>
      <c r="V871">
        <v>2374.4</v>
      </c>
      <c r="W871">
        <v>1927.51</v>
      </c>
      <c r="X871" t="s">
        <v>32</v>
      </c>
      <c r="Y871" t="s">
        <v>33</v>
      </c>
      <c r="Z871" t="str">
        <f t="shared" si="182"/>
        <v>Unique</v>
      </c>
      <c r="AA871" t="str">
        <f t="shared" si="183"/>
        <v>Unique</v>
      </c>
      <c r="AB871" t="str">
        <f t="shared" si="187"/>
        <v>OK</v>
      </c>
      <c r="AC871">
        <f t="shared" si="188"/>
        <v>0.1</v>
      </c>
      <c r="AD871" t="str">
        <f t="shared" si="189"/>
        <v>OK</v>
      </c>
      <c r="AE871">
        <f t="shared" si="190"/>
        <v>4301.91</v>
      </c>
      <c r="AF871">
        <f t="shared" si="191"/>
        <v>1927.5099999999998</v>
      </c>
      <c r="AG871">
        <f t="shared" si="192"/>
        <v>0.44805911792668834</v>
      </c>
      <c r="AH871" t="str">
        <f t="shared" si="184"/>
        <v>March</v>
      </c>
      <c r="AI871">
        <f t="shared" si="185"/>
        <v>2025</v>
      </c>
      <c r="AJ871" t="str">
        <f t="shared" si="193"/>
        <v>OK</v>
      </c>
      <c r="AK871" t="str">
        <f t="shared" si="194"/>
        <v>OK</v>
      </c>
      <c r="AL871" t="str">
        <f t="shared" si="195"/>
        <v>Include</v>
      </c>
      <c r="AM871" t="str">
        <f t="shared" si="186"/>
        <v>Clean</v>
      </c>
    </row>
    <row r="872" spans="1:39">
      <c r="A872" t="s">
        <v>2677</v>
      </c>
      <c r="B872" s="4">
        <v>45814</v>
      </c>
      <c r="C872" s="4">
        <v>45815</v>
      </c>
      <c r="D872" s="6">
        <v>1</v>
      </c>
      <c r="E872" t="s">
        <v>2788</v>
      </c>
      <c r="F872" t="s">
        <v>2788</v>
      </c>
      <c r="G872" t="s">
        <v>2788</v>
      </c>
      <c r="H872" t="s">
        <v>2678</v>
      </c>
      <c r="I872" t="s">
        <v>71</v>
      </c>
      <c r="J872" t="s">
        <v>90</v>
      </c>
      <c r="K872" t="s">
        <v>63</v>
      </c>
      <c r="L872" t="s">
        <v>190</v>
      </c>
      <c r="M872" t="s">
        <v>191</v>
      </c>
      <c r="N872" t="s">
        <v>41</v>
      </c>
      <c r="O872" t="s">
        <v>42</v>
      </c>
      <c r="P872" t="s">
        <v>2679</v>
      </c>
      <c r="Q872" t="s">
        <v>59</v>
      </c>
      <c r="R872">
        <v>9</v>
      </c>
      <c r="S872">
        <v>2932.92</v>
      </c>
      <c r="T872">
        <v>0.15</v>
      </c>
      <c r="U872">
        <v>22436.84</v>
      </c>
      <c r="V872">
        <v>17454.669999999998</v>
      </c>
      <c r="W872">
        <v>4982.17</v>
      </c>
      <c r="X872" t="s">
        <v>32</v>
      </c>
      <c r="Y872" t="s">
        <v>68</v>
      </c>
      <c r="Z872" t="str">
        <f t="shared" si="182"/>
        <v>Unique</v>
      </c>
      <c r="AA872" t="str">
        <f t="shared" si="183"/>
        <v>Unique</v>
      </c>
      <c r="AB872" t="str">
        <f t="shared" si="187"/>
        <v>OK</v>
      </c>
      <c r="AC872">
        <f t="shared" si="188"/>
        <v>0.15</v>
      </c>
      <c r="AD872" t="str">
        <f t="shared" si="189"/>
        <v>OK</v>
      </c>
      <c r="AE872">
        <f t="shared" si="190"/>
        <v>22436.838</v>
      </c>
      <c r="AF872">
        <f t="shared" si="191"/>
        <v>4982.1680000000015</v>
      </c>
      <c r="AG872">
        <f t="shared" si="192"/>
        <v>0.22205303617203109</v>
      </c>
      <c r="AH872" t="str">
        <f t="shared" si="184"/>
        <v>June</v>
      </c>
      <c r="AI872">
        <f t="shared" si="185"/>
        <v>2025</v>
      </c>
      <c r="AJ872" t="str">
        <f t="shared" si="193"/>
        <v>OK</v>
      </c>
      <c r="AK872" t="str">
        <f t="shared" si="194"/>
        <v>OK</v>
      </c>
      <c r="AL872" t="str">
        <f t="shared" si="195"/>
        <v>Exclude</v>
      </c>
      <c r="AM872" t="str">
        <f t="shared" si="186"/>
        <v>Clean</v>
      </c>
    </row>
    <row r="873" spans="1:39">
      <c r="A873" t="s">
        <v>2680</v>
      </c>
      <c r="B873" s="4">
        <v>45342</v>
      </c>
      <c r="C873" s="4">
        <v>45344</v>
      </c>
      <c r="D873" s="6">
        <v>2</v>
      </c>
      <c r="E873" t="s">
        <v>2788</v>
      </c>
      <c r="F873" t="s">
        <v>2788</v>
      </c>
      <c r="G873" t="s">
        <v>2788</v>
      </c>
      <c r="H873" t="s">
        <v>2551</v>
      </c>
      <c r="I873" t="s">
        <v>79</v>
      </c>
      <c r="J873" t="s">
        <v>37</v>
      </c>
      <c r="K873" t="s">
        <v>54</v>
      </c>
      <c r="L873" t="s">
        <v>55</v>
      </c>
      <c r="M873" t="s">
        <v>56</v>
      </c>
      <c r="N873" t="s">
        <v>74</v>
      </c>
      <c r="O873" t="s">
        <v>75</v>
      </c>
      <c r="P873" t="s">
        <v>2681</v>
      </c>
      <c r="Q873" t="s">
        <v>50</v>
      </c>
      <c r="R873">
        <v>9</v>
      </c>
      <c r="S873">
        <v>2186.23</v>
      </c>
      <c r="T873">
        <v>0</v>
      </c>
      <c r="U873">
        <v>19676.07</v>
      </c>
      <c r="V873">
        <v>12458.62</v>
      </c>
      <c r="W873">
        <v>7217.45</v>
      </c>
      <c r="X873" t="s">
        <v>102</v>
      </c>
      <c r="Y873" t="s">
        <v>68</v>
      </c>
      <c r="Z873" t="str">
        <f t="shared" si="182"/>
        <v>Unique</v>
      </c>
      <c r="AA873" t="str">
        <f t="shared" si="183"/>
        <v>Unique</v>
      </c>
      <c r="AB873" t="str">
        <f t="shared" si="187"/>
        <v>OK</v>
      </c>
      <c r="AC873">
        <f t="shared" si="188"/>
        <v>0</v>
      </c>
      <c r="AD873" t="str">
        <f t="shared" si="189"/>
        <v>OK</v>
      </c>
      <c r="AE873">
        <f t="shared" si="190"/>
        <v>19676.07</v>
      </c>
      <c r="AF873">
        <f t="shared" si="191"/>
        <v>7217.4499999999989</v>
      </c>
      <c r="AG873">
        <f t="shared" si="192"/>
        <v>0.36681359641432454</v>
      </c>
      <c r="AH873" t="str">
        <f t="shared" si="184"/>
        <v>February</v>
      </c>
      <c r="AI873">
        <f t="shared" si="185"/>
        <v>2024</v>
      </c>
      <c r="AJ873" t="str">
        <f t="shared" si="193"/>
        <v>OK</v>
      </c>
      <c r="AK873" t="str">
        <f t="shared" si="194"/>
        <v>OK</v>
      </c>
      <c r="AL873" t="str">
        <f t="shared" si="195"/>
        <v>Exclude</v>
      </c>
      <c r="AM873" t="str">
        <f t="shared" si="186"/>
        <v>Clean</v>
      </c>
    </row>
    <row r="874" spans="1:39">
      <c r="A874" t="s">
        <v>2682</v>
      </c>
      <c r="B874" s="4">
        <v>45597</v>
      </c>
      <c r="C874" s="4">
        <v>45598</v>
      </c>
      <c r="D874" s="6">
        <v>1</v>
      </c>
      <c r="E874" t="s">
        <v>2788</v>
      </c>
      <c r="F874" t="s">
        <v>2788</v>
      </c>
      <c r="G874" t="s">
        <v>2788</v>
      </c>
      <c r="H874" t="s">
        <v>1960</v>
      </c>
      <c r="I874" t="s">
        <v>23</v>
      </c>
      <c r="J874" t="s">
        <v>90</v>
      </c>
      <c r="K874" t="s">
        <v>38</v>
      </c>
      <c r="L874" t="s">
        <v>99</v>
      </c>
      <c r="M874" t="s">
        <v>100</v>
      </c>
      <c r="N874" t="s">
        <v>41</v>
      </c>
      <c r="O874" t="s">
        <v>57</v>
      </c>
      <c r="P874" t="s">
        <v>2683</v>
      </c>
      <c r="Q874" t="s">
        <v>59</v>
      </c>
      <c r="R874">
        <v>5</v>
      </c>
      <c r="S874">
        <v>2212.02</v>
      </c>
      <c r="T874">
        <v>0.2</v>
      </c>
      <c r="U874">
        <v>8848.08</v>
      </c>
      <c r="V874">
        <v>5691.56</v>
      </c>
      <c r="W874">
        <v>3156.52</v>
      </c>
      <c r="X874" t="s">
        <v>32</v>
      </c>
      <c r="Y874" t="s">
        <v>33</v>
      </c>
      <c r="Z874" t="str">
        <f t="shared" si="182"/>
        <v>Unique</v>
      </c>
      <c r="AA874" t="str">
        <f t="shared" si="183"/>
        <v>Unique</v>
      </c>
      <c r="AB874" t="str">
        <f t="shared" si="187"/>
        <v>OK</v>
      </c>
      <c r="AC874">
        <f t="shared" si="188"/>
        <v>0.2</v>
      </c>
      <c r="AD874" t="str">
        <f t="shared" si="189"/>
        <v>OK</v>
      </c>
      <c r="AE874">
        <f t="shared" si="190"/>
        <v>8848.08</v>
      </c>
      <c r="AF874">
        <f t="shared" si="191"/>
        <v>3156.5199999999995</v>
      </c>
      <c r="AG874">
        <f t="shared" si="192"/>
        <v>0.35674632236598219</v>
      </c>
      <c r="AH874" t="str">
        <f t="shared" si="184"/>
        <v>November</v>
      </c>
      <c r="AI874">
        <f t="shared" si="185"/>
        <v>2024</v>
      </c>
      <c r="AJ874" t="str">
        <f t="shared" si="193"/>
        <v>OK</v>
      </c>
      <c r="AK874" t="str">
        <f t="shared" si="194"/>
        <v>OK</v>
      </c>
      <c r="AL874" t="str">
        <f t="shared" si="195"/>
        <v>Include</v>
      </c>
      <c r="AM874" t="str">
        <f t="shared" si="186"/>
        <v>Clean</v>
      </c>
    </row>
    <row r="875" spans="1:39">
      <c r="A875" t="s">
        <v>2684</v>
      </c>
      <c r="B875" s="4">
        <v>45689</v>
      </c>
      <c r="C875" s="4">
        <v>45696</v>
      </c>
      <c r="D875" s="6">
        <v>7</v>
      </c>
      <c r="E875" t="s">
        <v>2788</v>
      </c>
      <c r="F875" t="s">
        <v>2788</v>
      </c>
      <c r="G875" t="s">
        <v>2788</v>
      </c>
      <c r="H875" t="s">
        <v>2685</v>
      </c>
      <c r="I875" t="s">
        <v>89</v>
      </c>
      <c r="J875" t="s">
        <v>95</v>
      </c>
      <c r="K875" t="s">
        <v>63</v>
      </c>
      <c r="L875" t="s">
        <v>180</v>
      </c>
      <c r="M875" t="s">
        <v>181</v>
      </c>
      <c r="N875" t="s">
        <v>28</v>
      </c>
      <c r="O875" t="s">
        <v>124</v>
      </c>
      <c r="P875" t="s">
        <v>2686</v>
      </c>
      <c r="Q875" t="s">
        <v>31</v>
      </c>
      <c r="R875">
        <v>8</v>
      </c>
      <c r="S875">
        <v>623.30999999999995</v>
      </c>
      <c r="T875">
        <v>0.1</v>
      </c>
      <c r="U875">
        <v>4487.83</v>
      </c>
      <c r="V875">
        <v>2633.78</v>
      </c>
      <c r="W875">
        <v>1854.05</v>
      </c>
      <c r="X875" t="s">
        <v>32</v>
      </c>
      <c r="Y875" t="s">
        <v>33</v>
      </c>
      <c r="Z875" t="str">
        <f t="shared" si="182"/>
        <v>Unique</v>
      </c>
      <c r="AA875" t="str">
        <f t="shared" si="183"/>
        <v>Unique</v>
      </c>
      <c r="AB875" t="str">
        <f t="shared" si="187"/>
        <v>OK</v>
      </c>
      <c r="AC875">
        <f t="shared" si="188"/>
        <v>0.1</v>
      </c>
      <c r="AD875" t="str">
        <f t="shared" si="189"/>
        <v>OK</v>
      </c>
      <c r="AE875">
        <f t="shared" si="190"/>
        <v>4487.8319999999994</v>
      </c>
      <c r="AF875">
        <f t="shared" si="191"/>
        <v>1854.0519999999992</v>
      </c>
      <c r="AG875">
        <f t="shared" si="192"/>
        <v>0.41312865543986482</v>
      </c>
      <c r="AH875" t="str">
        <f t="shared" si="184"/>
        <v>February</v>
      </c>
      <c r="AI875">
        <f t="shared" si="185"/>
        <v>2025</v>
      </c>
      <c r="AJ875" t="str">
        <f t="shared" si="193"/>
        <v>OK</v>
      </c>
      <c r="AK875" t="str">
        <f t="shared" si="194"/>
        <v>OK</v>
      </c>
      <c r="AL875" t="str">
        <f t="shared" si="195"/>
        <v>Include</v>
      </c>
      <c r="AM875" t="str">
        <f t="shared" si="186"/>
        <v>Clean</v>
      </c>
    </row>
    <row r="876" spans="1:39">
      <c r="A876" t="s">
        <v>2687</v>
      </c>
      <c r="B876" s="4">
        <v>45853</v>
      </c>
      <c r="C876" s="4">
        <v>45854</v>
      </c>
      <c r="D876" s="6">
        <v>1</v>
      </c>
      <c r="E876" t="s">
        <v>2788</v>
      </c>
      <c r="F876" t="s">
        <v>2788</v>
      </c>
      <c r="G876" t="s">
        <v>2788</v>
      </c>
      <c r="H876" t="s">
        <v>2688</v>
      </c>
      <c r="I876" t="s">
        <v>71</v>
      </c>
      <c r="J876" t="s">
        <v>37</v>
      </c>
      <c r="K876" t="s">
        <v>63</v>
      </c>
      <c r="L876" t="s">
        <v>64</v>
      </c>
      <c r="M876" t="s">
        <v>65</v>
      </c>
      <c r="N876" t="s">
        <v>28</v>
      </c>
      <c r="O876" t="s">
        <v>29</v>
      </c>
      <c r="P876" t="s">
        <v>2689</v>
      </c>
      <c r="Q876" t="s">
        <v>59</v>
      </c>
      <c r="R876">
        <v>8</v>
      </c>
      <c r="S876">
        <v>3924.88</v>
      </c>
      <c r="T876">
        <v>0.05</v>
      </c>
      <c r="U876">
        <v>29829.09</v>
      </c>
      <c r="V876">
        <v>20710.18</v>
      </c>
      <c r="W876">
        <v>9118.91</v>
      </c>
      <c r="X876" t="s">
        <v>32</v>
      </c>
      <c r="Y876" t="s">
        <v>33</v>
      </c>
      <c r="Z876" t="str">
        <f t="shared" si="182"/>
        <v>Unique</v>
      </c>
      <c r="AA876" t="str">
        <f t="shared" si="183"/>
        <v>Unique</v>
      </c>
      <c r="AB876" t="str">
        <f t="shared" si="187"/>
        <v>OK</v>
      </c>
      <c r="AC876">
        <f t="shared" si="188"/>
        <v>0.05</v>
      </c>
      <c r="AD876" t="str">
        <f t="shared" si="189"/>
        <v>OK</v>
      </c>
      <c r="AE876">
        <f t="shared" si="190"/>
        <v>29829.088</v>
      </c>
      <c r="AF876">
        <f t="shared" si="191"/>
        <v>9118.9079999999994</v>
      </c>
      <c r="AG876">
        <f t="shared" si="192"/>
        <v>0.30570522303598419</v>
      </c>
      <c r="AH876" t="str">
        <f t="shared" si="184"/>
        <v>July</v>
      </c>
      <c r="AI876">
        <f t="shared" si="185"/>
        <v>2025</v>
      </c>
      <c r="AJ876" t="str">
        <f t="shared" si="193"/>
        <v>OK</v>
      </c>
      <c r="AK876" t="str">
        <f t="shared" si="194"/>
        <v>OK</v>
      </c>
      <c r="AL876" t="str">
        <f t="shared" si="195"/>
        <v>Include</v>
      </c>
      <c r="AM876" t="str">
        <f t="shared" si="186"/>
        <v>Clean</v>
      </c>
    </row>
    <row r="877" spans="1:39">
      <c r="A877" t="s">
        <v>2690</v>
      </c>
      <c r="B877" s="4">
        <v>45514</v>
      </c>
      <c r="C877" s="4">
        <v>45515</v>
      </c>
      <c r="D877" s="6">
        <v>1</v>
      </c>
      <c r="E877" t="s">
        <v>2788</v>
      </c>
      <c r="F877" t="s">
        <v>2788</v>
      </c>
      <c r="G877" t="s">
        <v>2788</v>
      </c>
      <c r="H877" t="s">
        <v>2691</v>
      </c>
      <c r="I877" t="s">
        <v>36</v>
      </c>
      <c r="J877" t="s">
        <v>90</v>
      </c>
      <c r="K877" t="s">
        <v>63</v>
      </c>
      <c r="L877" t="s">
        <v>64</v>
      </c>
      <c r="M877" t="s">
        <v>65</v>
      </c>
      <c r="N877" t="s">
        <v>74</v>
      </c>
      <c r="O877" t="s">
        <v>80</v>
      </c>
      <c r="P877" t="s">
        <v>2692</v>
      </c>
      <c r="Q877" t="s">
        <v>50</v>
      </c>
      <c r="R877">
        <v>7</v>
      </c>
      <c r="S877">
        <v>3852.62</v>
      </c>
      <c r="T877">
        <v>0.2</v>
      </c>
      <c r="U877">
        <v>21574.67</v>
      </c>
      <c r="V877">
        <v>14672.83</v>
      </c>
      <c r="W877">
        <v>6901.84</v>
      </c>
      <c r="X877" t="s">
        <v>32</v>
      </c>
      <c r="Y877" t="s">
        <v>33</v>
      </c>
      <c r="Z877" t="str">
        <f t="shared" si="182"/>
        <v>Unique</v>
      </c>
      <c r="AA877" t="str">
        <f t="shared" si="183"/>
        <v>Unique</v>
      </c>
      <c r="AB877" t="str">
        <f t="shared" si="187"/>
        <v>OK</v>
      </c>
      <c r="AC877">
        <f t="shared" si="188"/>
        <v>0.2</v>
      </c>
      <c r="AD877" t="str">
        <f t="shared" si="189"/>
        <v>OK</v>
      </c>
      <c r="AE877">
        <f t="shared" si="190"/>
        <v>21574.672000000002</v>
      </c>
      <c r="AF877">
        <f t="shared" si="191"/>
        <v>6901.8420000000024</v>
      </c>
      <c r="AG877">
        <f t="shared" si="192"/>
        <v>0.31990484026825539</v>
      </c>
      <c r="AH877" t="str">
        <f t="shared" si="184"/>
        <v>August</v>
      </c>
      <c r="AI877">
        <f t="shared" si="185"/>
        <v>2024</v>
      </c>
      <c r="AJ877" t="str">
        <f t="shared" si="193"/>
        <v>OK</v>
      </c>
      <c r="AK877" t="str">
        <f t="shared" si="194"/>
        <v>OK</v>
      </c>
      <c r="AL877" t="str">
        <f t="shared" si="195"/>
        <v>Include</v>
      </c>
      <c r="AM877" t="str">
        <f t="shared" si="186"/>
        <v>Clean</v>
      </c>
    </row>
    <row r="878" spans="1:39">
      <c r="A878" t="s">
        <v>2693</v>
      </c>
      <c r="B878" s="4">
        <v>45614</v>
      </c>
      <c r="C878" s="4">
        <v>45616</v>
      </c>
      <c r="D878" s="6">
        <v>2</v>
      </c>
      <c r="E878" t="s">
        <v>2788</v>
      </c>
      <c r="F878" t="s">
        <v>2788</v>
      </c>
      <c r="G878" t="s">
        <v>2788</v>
      </c>
      <c r="H878" t="s">
        <v>2694</v>
      </c>
      <c r="I878" t="s">
        <v>114</v>
      </c>
      <c r="J878" t="s">
        <v>24</v>
      </c>
      <c r="K878" t="s">
        <v>63</v>
      </c>
      <c r="L878" t="s">
        <v>26</v>
      </c>
      <c r="M878" t="s">
        <v>109</v>
      </c>
      <c r="N878" t="s">
        <v>41</v>
      </c>
      <c r="O878" t="s">
        <v>66</v>
      </c>
      <c r="P878" t="s">
        <v>845</v>
      </c>
      <c r="Q878" t="s">
        <v>50</v>
      </c>
      <c r="R878">
        <v>6</v>
      </c>
      <c r="S878">
        <v>3790.22</v>
      </c>
      <c r="T878">
        <v>0</v>
      </c>
      <c r="U878">
        <v>22741.32</v>
      </c>
      <c r="V878">
        <v>16388.57</v>
      </c>
      <c r="W878">
        <v>6352.75</v>
      </c>
      <c r="X878" t="s">
        <v>32</v>
      </c>
      <c r="Y878" t="s">
        <v>33</v>
      </c>
      <c r="Z878" t="str">
        <f t="shared" si="182"/>
        <v>Unique</v>
      </c>
      <c r="AA878" t="str">
        <f t="shared" si="183"/>
        <v>Unique</v>
      </c>
      <c r="AB878" t="str">
        <f t="shared" si="187"/>
        <v>OK</v>
      </c>
      <c r="AC878">
        <f t="shared" si="188"/>
        <v>0</v>
      </c>
      <c r="AD878" t="str">
        <f t="shared" si="189"/>
        <v>OK</v>
      </c>
      <c r="AE878">
        <f t="shared" si="190"/>
        <v>22741.32</v>
      </c>
      <c r="AF878">
        <f t="shared" si="191"/>
        <v>6352.75</v>
      </c>
      <c r="AG878">
        <f t="shared" si="192"/>
        <v>0.27934834037777928</v>
      </c>
      <c r="AH878" t="str">
        <f t="shared" si="184"/>
        <v>November</v>
      </c>
      <c r="AI878">
        <f t="shared" si="185"/>
        <v>2024</v>
      </c>
      <c r="AJ878" t="str">
        <f t="shared" si="193"/>
        <v>OK</v>
      </c>
      <c r="AK878" t="str">
        <f t="shared" si="194"/>
        <v>OK</v>
      </c>
      <c r="AL878" t="str">
        <f t="shared" si="195"/>
        <v>Include</v>
      </c>
      <c r="AM878" t="str">
        <f t="shared" si="186"/>
        <v>Clean</v>
      </c>
    </row>
    <row r="879" spans="1:39">
      <c r="A879" t="s">
        <v>2695</v>
      </c>
      <c r="B879" s="4">
        <v>45895</v>
      </c>
      <c r="C879" s="4">
        <v>45903</v>
      </c>
      <c r="D879" s="6">
        <v>8</v>
      </c>
      <c r="E879" t="s">
        <v>2788</v>
      </c>
      <c r="F879" t="s">
        <v>2788</v>
      </c>
      <c r="G879" t="s">
        <v>2788</v>
      </c>
      <c r="H879" t="s">
        <v>2696</v>
      </c>
      <c r="I879" t="s">
        <v>128</v>
      </c>
      <c r="J879" t="s">
        <v>24</v>
      </c>
      <c r="K879" t="s">
        <v>63</v>
      </c>
      <c r="L879" t="s">
        <v>26</v>
      </c>
      <c r="M879" t="s">
        <v>109</v>
      </c>
      <c r="N879" t="s">
        <v>28</v>
      </c>
      <c r="O879" t="s">
        <v>124</v>
      </c>
      <c r="P879" t="s">
        <v>2697</v>
      </c>
      <c r="Q879" t="s">
        <v>31</v>
      </c>
      <c r="R879">
        <v>6</v>
      </c>
      <c r="S879">
        <v>674.36</v>
      </c>
      <c r="T879">
        <v>0.1</v>
      </c>
      <c r="U879">
        <v>3641.54</v>
      </c>
      <c r="V879">
        <v>2690.37</v>
      </c>
      <c r="W879">
        <v>951.17</v>
      </c>
      <c r="X879" t="s">
        <v>32</v>
      </c>
      <c r="Y879" t="s">
        <v>33</v>
      </c>
      <c r="Z879" t="str">
        <f t="shared" si="182"/>
        <v>Unique</v>
      </c>
      <c r="AA879" t="str">
        <f t="shared" si="183"/>
        <v>Unique</v>
      </c>
      <c r="AB879" t="str">
        <f t="shared" si="187"/>
        <v>OK</v>
      </c>
      <c r="AC879">
        <f t="shared" si="188"/>
        <v>0.1</v>
      </c>
      <c r="AD879" t="str">
        <f t="shared" si="189"/>
        <v>OK</v>
      </c>
      <c r="AE879">
        <f t="shared" si="190"/>
        <v>3641.5439999999999</v>
      </c>
      <c r="AF879">
        <f t="shared" si="191"/>
        <v>951.17399999999998</v>
      </c>
      <c r="AG879">
        <f t="shared" si="192"/>
        <v>0.26120074342092253</v>
      </c>
      <c r="AH879" t="str">
        <f t="shared" si="184"/>
        <v>August</v>
      </c>
      <c r="AI879">
        <f t="shared" si="185"/>
        <v>2025</v>
      </c>
      <c r="AJ879" t="str">
        <f t="shared" si="193"/>
        <v>OK</v>
      </c>
      <c r="AK879" t="str">
        <f t="shared" si="194"/>
        <v>OK</v>
      </c>
      <c r="AL879" t="str">
        <f t="shared" si="195"/>
        <v>Include</v>
      </c>
      <c r="AM879" t="str">
        <f t="shared" si="186"/>
        <v>Clean</v>
      </c>
    </row>
    <row r="880" spans="1:39">
      <c r="A880" t="s">
        <v>2698</v>
      </c>
      <c r="B880" s="4">
        <v>45313</v>
      </c>
      <c r="C880" s="4">
        <v>45313</v>
      </c>
      <c r="D880" s="6">
        <v>0</v>
      </c>
      <c r="E880" t="s">
        <v>2788</v>
      </c>
      <c r="F880" t="s">
        <v>2788</v>
      </c>
      <c r="G880" t="s">
        <v>2788</v>
      </c>
      <c r="H880" t="s">
        <v>2699</v>
      </c>
      <c r="I880" t="s">
        <v>23</v>
      </c>
      <c r="J880" t="s">
        <v>90</v>
      </c>
      <c r="K880" t="s">
        <v>38</v>
      </c>
      <c r="L880" t="s">
        <v>99</v>
      </c>
      <c r="M880" t="s">
        <v>100</v>
      </c>
      <c r="N880" t="s">
        <v>28</v>
      </c>
      <c r="O880" t="s">
        <v>29</v>
      </c>
      <c r="P880" t="s">
        <v>2700</v>
      </c>
      <c r="Q880" t="s">
        <v>50</v>
      </c>
      <c r="R880">
        <v>8</v>
      </c>
      <c r="S880">
        <v>1557.21</v>
      </c>
      <c r="T880">
        <v>0.05</v>
      </c>
      <c r="U880">
        <v>11834.8</v>
      </c>
      <c r="V880">
        <v>9322.36</v>
      </c>
      <c r="W880">
        <v>2512.44</v>
      </c>
      <c r="X880" t="s">
        <v>32</v>
      </c>
      <c r="Y880" t="s">
        <v>33</v>
      </c>
      <c r="Z880" t="str">
        <f t="shared" si="182"/>
        <v>Unique</v>
      </c>
      <c r="AA880" t="str">
        <f t="shared" si="183"/>
        <v>Unique</v>
      </c>
      <c r="AB880" t="str">
        <f t="shared" si="187"/>
        <v>OK</v>
      </c>
      <c r="AC880">
        <f t="shared" si="188"/>
        <v>0.05</v>
      </c>
      <c r="AD880" t="str">
        <f t="shared" si="189"/>
        <v>OK</v>
      </c>
      <c r="AE880">
        <f t="shared" si="190"/>
        <v>11834.796</v>
      </c>
      <c r="AF880">
        <f t="shared" si="191"/>
        <v>2512.4359999999997</v>
      </c>
      <c r="AG880">
        <f t="shared" si="192"/>
        <v>0.21229229468763125</v>
      </c>
      <c r="AH880" t="str">
        <f t="shared" si="184"/>
        <v>January</v>
      </c>
      <c r="AI880">
        <f t="shared" si="185"/>
        <v>2024</v>
      </c>
      <c r="AJ880" t="str">
        <f t="shared" si="193"/>
        <v>OK</v>
      </c>
      <c r="AK880" t="str">
        <f t="shared" si="194"/>
        <v>OK</v>
      </c>
      <c r="AL880" t="str">
        <f t="shared" si="195"/>
        <v>Include</v>
      </c>
      <c r="AM880" t="str">
        <f t="shared" si="186"/>
        <v>Clean</v>
      </c>
    </row>
    <row r="881" spans="1:39">
      <c r="A881" t="s">
        <v>2701</v>
      </c>
      <c r="B881" s="4">
        <v>45896</v>
      </c>
      <c r="C881" s="4">
        <v>45897</v>
      </c>
      <c r="D881" s="6">
        <v>1</v>
      </c>
      <c r="E881" t="s">
        <v>2788</v>
      </c>
      <c r="F881" t="s">
        <v>2788</v>
      </c>
      <c r="G881" t="s">
        <v>2788</v>
      </c>
      <c r="H881" t="s">
        <v>2702</v>
      </c>
      <c r="I881" t="s">
        <v>62</v>
      </c>
      <c r="J881" t="s">
        <v>95</v>
      </c>
      <c r="K881" t="s">
        <v>25</v>
      </c>
      <c r="L881" t="s">
        <v>136</v>
      </c>
      <c r="M881" t="s">
        <v>137</v>
      </c>
      <c r="N881" t="s">
        <v>28</v>
      </c>
      <c r="O881" t="s">
        <v>48</v>
      </c>
      <c r="P881" t="s">
        <v>2703</v>
      </c>
      <c r="Q881" t="s">
        <v>59</v>
      </c>
      <c r="R881">
        <v>6</v>
      </c>
      <c r="S881">
        <v>1182.03</v>
      </c>
      <c r="T881">
        <v>0.15</v>
      </c>
      <c r="U881">
        <v>6028.35</v>
      </c>
      <c r="V881">
        <v>4433.63</v>
      </c>
      <c r="W881">
        <v>1594.72</v>
      </c>
      <c r="X881" t="s">
        <v>32</v>
      </c>
      <c r="Y881" t="s">
        <v>33</v>
      </c>
      <c r="Z881" t="str">
        <f t="shared" si="182"/>
        <v>Unique</v>
      </c>
      <c r="AA881" t="str">
        <f t="shared" si="183"/>
        <v>Unique</v>
      </c>
      <c r="AB881" t="str">
        <f t="shared" si="187"/>
        <v>OK</v>
      </c>
      <c r="AC881">
        <f t="shared" si="188"/>
        <v>0.15</v>
      </c>
      <c r="AD881" t="str">
        <f t="shared" si="189"/>
        <v>OK</v>
      </c>
      <c r="AE881">
        <f t="shared" si="190"/>
        <v>6028.3530000000001</v>
      </c>
      <c r="AF881">
        <f t="shared" si="191"/>
        <v>1594.723</v>
      </c>
      <c r="AG881">
        <f t="shared" si="192"/>
        <v>0.26453709661660491</v>
      </c>
      <c r="AH881" t="str">
        <f t="shared" si="184"/>
        <v>August</v>
      </c>
      <c r="AI881">
        <f t="shared" si="185"/>
        <v>2025</v>
      </c>
      <c r="AJ881" t="str">
        <f t="shared" si="193"/>
        <v>OK</v>
      </c>
      <c r="AK881" t="str">
        <f t="shared" si="194"/>
        <v>OK</v>
      </c>
      <c r="AL881" t="str">
        <f t="shared" si="195"/>
        <v>Include</v>
      </c>
      <c r="AM881" t="str">
        <f t="shared" si="186"/>
        <v>Clean</v>
      </c>
    </row>
    <row r="882" spans="1:39">
      <c r="A882" t="s">
        <v>2704</v>
      </c>
      <c r="B882" s="4">
        <v>45359</v>
      </c>
      <c r="C882" s="4">
        <v>45366</v>
      </c>
      <c r="D882" s="6">
        <v>7</v>
      </c>
      <c r="E882" t="s">
        <v>2788</v>
      </c>
      <c r="F882" t="s">
        <v>2788</v>
      </c>
      <c r="G882" t="s">
        <v>2788</v>
      </c>
      <c r="H882" t="s">
        <v>2705</v>
      </c>
      <c r="I882" t="s">
        <v>128</v>
      </c>
      <c r="J882" t="s">
        <v>37</v>
      </c>
      <c r="K882" t="s">
        <v>2783</v>
      </c>
      <c r="L882" t="s">
        <v>122</v>
      </c>
      <c r="M882" t="s">
        <v>123</v>
      </c>
      <c r="N882" t="s">
        <v>41</v>
      </c>
      <c r="O882" t="s">
        <v>66</v>
      </c>
      <c r="P882" t="s">
        <v>2706</v>
      </c>
      <c r="Q882" t="s">
        <v>50</v>
      </c>
      <c r="R882">
        <v>5</v>
      </c>
      <c r="S882">
        <v>3234.77</v>
      </c>
      <c r="T882">
        <v>0</v>
      </c>
      <c r="U882">
        <v>16173.85</v>
      </c>
      <c r="V882">
        <v>13636.34</v>
      </c>
      <c r="W882">
        <v>2537.5100000000002</v>
      </c>
      <c r="X882" t="s">
        <v>32</v>
      </c>
      <c r="Y882" t="s">
        <v>33</v>
      </c>
      <c r="Z882" t="str">
        <f t="shared" si="182"/>
        <v>Unique</v>
      </c>
      <c r="AA882" t="str">
        <f t="shared" si="183"/>
        <v>Unique</v>
      </c>
      <c r="AB882" t="str">
        <f t="shared" si="187"/>
        <v>OK</v>
      </c>
      <c r="AC882">
        <f t="shared" si="188"/>
        <v>0</v>
      </c>
      <c r="AD882" t="str">
        <f t="shared" si="189"/>
        <v>OK</v>
      </c>
      <c r="AE882">
        <f t="shared" si="190"/>
        <v>16173.85</v>
      </c>
      <c r="AF882">
        <f t="shared" si="191"/>
        <v>2537.5100000000002</v>
      </c>
      <c r="AG882">
        <f t="shared" si="192"/>
        <v>0.15688967067210344</v>
      </c>
      <c r="AH882" t="str">
        <f t="shared" si="184"/>
        <v>March</v>
      </c>
      <c r="AI882">
        <f t="shared" si="185"/>
        <v>2024</v>
      </c>
      <c r="AJ882" t="str">
        <f t="shared" si="193"/>
        <v>OK</v>
      </c>
      <c r="AK882" t="str">
        <f t="shared" si="194"/>
        <v>OK</v>
      </c>
      <c r="AL882" t="str">
        <f t="shared" si="195"/>
        <v>Include</v>
      </c>
      <c r="AM882" t="str">
        <f t="shared" si="186"/>
        <v>Clean</v>
      </c>
    </row>
    <row r="883" spans="1:39">
      <c r="A883" t="s">
        <v>2707</v>
      </c>
      <c r="B883" s="4">
        <v>45627</v>
      </c>
      <c r="C883" s="4">
        <v>45631</v>
      </c>
      <c r="D883" s="6">
        <v>4</v>
      </c>
      <c r="E883" t="s">
        <v>2788</v>
      </c>
      <c r="F883" t="s">
        <v>2788</v>
      </c>
      <c r="G883" t="s">
        <v>2788</v>
      </c>
      <c r="H883" t="s">
        <v>2708</v>
      </c>
      <c r="I883" t="s">
        <v>62</v>
      </c>
      <c r="J883" t="s">
        <v>37</v>
      </c>
      <c r="K883" t="s">
        <v>54</v>
      </c>
      <c r="L883" t="s">
        <v>84</v>
      </c>
      <c r="M883" t="s">
        <v>85</v>
      </c>
      <c r="N883" t="s">
        <v>74</v>
      </c>
      <c r="O883" t="s">
        <v>80</v>
      </c>
      <c r="P883" t="s">
        <v>2709</v>
      </c>
      <c r="Q883" t="s">
        <v>31</v>
      </c>
      <c r="R883">
        <v>9</v>
      </c>
      <c r="S883">
        <v>3726.75</v>
      </c>
      <c r="T883">
        <v>0.25</v>
      </c>
      <c r="U883">
        <v>25155.56</v>
      </c>
      <c r="V883">
        <v>17592.689999999999</v>
      </c>
      <c r="W883">
        <v>7562.87</v>
      </c>
      <c r="X883" t="s">
        <v>32</v>
      </c>
      <c r="Y883" t="s">
        <v>33</v>
      </c>
      <c r="Z883" t="str">
        <f t="shared" si="182"/>
        <v>Unique</v>
      </c>
      <c r="AA883" t="str">
        <f t="shared" si="183"/>
        <v>Unique</v>
      </c>
      <c r="AB883" t="str">
        <f t="shared" si="187"/>
        <v>OK</v>
      </c>
      <c r="AC883">
        <f t="shared" si="188"/>
        <v>0.25</v>
      </c>
      <c r="AD883" t="str">
        <f t="shared" si="189"/>
        <v>OK</v>
      </c>
      <c r="AE883">
        <f t="shared" si="190"/>
        <v>25155.5625</v>
      </c>
      <c r="AF883">
        <f t="shared" si="191"/>
        <v>7562.8725000000013</v>
      </c>
      <c r="AG883">
        <f t="shared" si="192"/>
        <v>0.30064414182747856</v>
      </c>
      <c r="AH883" t="str">
        <f t="shared" si="184"/>
        <v>December</v>
      </c>
      <c r="AI883">
        <f t="shared" si="185"/>
        <v>2024</v>
      </c>
      <c r="AJ883" t="str">
        <f t="shared" si="193"/>
        <v>OK</v>
      </c>
      <c r="AK883" t="str">
        <f t="shared" si="194"/>
        <v>OK</v>
      </c>
      <c r="AL883" t="str">
        <f t="shared" si="195"/>
        <v>Include</v>
      </c>
      <c r="AM883" t="str">
        <f t="shared" si="186"/>
        <v>Clean</v>
      </c>
    </row>
    <row r="884" spans="1:39">
      <c r="A884" t="s">
        <v>2710</v>
      </c>
      <c r="B884" s="4">
        <v>45690</v>
      </c>
      <c r="C884" s="4">
        <v>45698</v>
      </c>
      <c r="D884" s="6">
        <v>8</v>
      </c>
      <c r="E884" t="s">
        <v>2788</v>
      </c>
      <c r="F884" t="s">
        <v>2788</v>
      </c>
      <c r="G884" t="s">
        <v>2788</v>
      </c>
      <c r="H884" t="s">
        <v>2711</v>
      </c>
      <c r="I884" t="s">
        <v>132</v>
      </c>
      <c r="J884" t="s">
        <v>90</v>
      </c>
      <c r="K884" t="s">
        <v>38</v>
      </c>
      <c r="L884" t="s">
        <v>145</v>
      </c>
      <c r="M884" t="s">
        <v>146</v>
      </c>
      <c r="N884" t="s">
        <v>74</v>
      </c>
      <c r="O884" t="s">
        <v>75</v>
      </c>
      <c r="P884" t="s">
        <v>2712</v>
      </c>
      <c r="Q884" t="s">
        <v>59</v>
      </c>
      <c r="R884">
        <v>4</v>
      </c>
      <c r="S884">
        <v>1912.45</v>
      </c>
      <c r="T884">
        <v>0</v>
      </c>
      <c r="U884">
        <v>7649.8</v>
      </c>
      <c r="V884">
        <v>4894.53</v>
      </c>
      <c r="W884">
        <v>2755.27</v>
      </c>
      <c r="X884" t="s">
        <v>111</v>
      </c>
      <c r="Y884" t="s">
        <v>103</v>
      </c>
      <c r="Z884" t="str">
        <f t="shared" si="182"/>
        <v>Unique</v>
      </c>
      <c r="AA884" t="str">
        <f t="shared" si="183"/>
        <v>Unique</v>
      </c>
      <c r="AB884" t="str">
        <f t="shared" si="187"/>
        <v>OK</v>
      </c>
      <c r="AC884">
        <f t="shared" si="188"/>
        <v>0</v>
      </c>
      <c r="AD884" t="str">
        <f t="shared" si="189"/>
        <v>OK</v>
      </c>
      <c r="AE884">
        <f t="shared" si="190"/>
        <v>7649.8</v>
      </c>
      <c r="AF884">
        <f t="shared" si="191"/>
        <v>2755.2700000000004</v>
      </c>
      <c r="AG884">
        <f t="shared" si="192"/>
        <v>0.36017542942299152</v>
      </c>
      <c r="AH884" t="str">
        <f t="shared" si="184"/>
        <v>February</v>
      </c>
      <c r="AI884">
        <f t="shared" si="185"/>
        <v>2025</v>
      </c>
      <c r="AJ884" t="str">
        <f t="shared" si="193"/>
        <v>OK</v>
      </c>
      <c r="AK884" t="str">
        <f t="shared" si="194"/>
        <v>OK</v>
      </c>
      <c r="AL884" t="str">
        <f t="shared" si="195"/>
        <v>Exclude</v>
      </c>
      <c r="AM884" t="str">
        <f t="shared" si="186"/>
        <v>Clean</v>
      </c>
    </row>
    <row r="885" spans="1:39">
      <c r="A885" t="s">
        <v>2713</v>
      </c>
      <c r="B885" s="4">
        <v>45775</v>
      </c>
      <c r="C885" s="4">
        <v>45778</v>
      </c>
      <c r="D885" s="6">
        <v>3</v>
      </c>
      <c r="E885" t="s">
        <v>2788</v>
      </c>
      <c r="F885" t="s">
        <v>2788</v>
      </c>
      <c r="G885" t="s">
        <v>2788</v>
      </c>
      <c r="H885" t="s">
        <v>2714</v>
      </c>
      <c r="I885" t="s">
        <v>128</v>
      </c>
      <c r="J885" t="s">
        <v>37</v>
      </c>
      <c r="K885" t="s">
        <v>63</v>
      </c>
      <c r="L885" t="s">
        <v>190</v>
      </c>
      <c r="M885" t="s">
        <v>191</v>
      </c>
      <c r="N885" t="s">
        <v>28</v>
      </c>
      <c r="O885" t="s">
        <v>124</v>
      </c>
      <c r="P885" t="s">
        <v>2715</v>
      </c>
      <c r="Q885" t="s">
        <v>44</v>
      </c>
      <c r="R885">
        <v>1</v>
      </c>
      <c r="S885">
        <v>1620.87</v>
      </c>
      <c r="T885">
        <v>0</v>
      </c>
      <c r="U885">
        <v>1620.87</v>
      </c>
      <c r="V885">
        <v>1103.6099999999999</v>
      </c>
      <c r="W885">
        <v>517.26</v>
      </c>
      <c r="X885" t="s">
        <v>32</v>
      </c>
      <c r="Y885" t="s">
        <v>33</v>
      </c>
      <c r="Z885" t="str">
        <f t="shared" si="182"/>
        <v>Unique</v>
      </c>
      <c r="AA885" t="str">
        <f t="shared" si="183"/>
        <v>Unique</v>
      </c>
      <c r="AB885" t="str">
        <f t="shared" si="187"/>
        <v>OK</v>
      </c>
      <c r="AC885">
        <f t="shared" si="188"/>
        <v>0</v>
      </c>
      <c r="AD885" t="str">
        <f t="shared" si="189"/>
        <v>OK</v>
      </c>
      <c r="AE885">
        <f t="shared" si="190"/>
        <v>1620.87</v>
      </c>
      <c r="AF885">
        <f t="shared" si="191"/>
        <v>517.26</v>
      </c>
      <c r="AG885">
        <f t="shared" si="192"/>
        <v>0.31912491439782342</v>
      </c>
      <c r="AH885" t="str">
        <f t="shared" si="184"/>
        <v>April</v>
      </c>
      <c r="AI885">
        <f t="shared" si="185"/>
        <v>2025</v>
      </c>
      <c r="AJ885" t="str">
        <f t="shared" si="193"/>
        <v>OK</v>
      </c>
      <c r="AK885" t="str">
        <f t="shared" si="194"/>
        <v>OK</v>
      </c>
      <c r="AL885" t="str">
        <f t="shared" si="195"/>
        <v>Include</v>
      </c>
      <c r="AM885" t="str">
        <f t="shared" si="186"/>
        <v>Clean</v>
      </c>
    </row>
    <row r="886" spans="1:39">
      <c r="A886" t="s">
        <v>2716</v>
      </c>
      <c r="B886" s="4">
        <v>45675</v>
      </c>
      <c r="C886" s="4">
        <v>45682</v>
      </c>
      <c r="D886" s="6">
        <v>7</v>
      </c>
      <c r="E886" t="s">
        <v>2788</v>
      </c>
      <c r="F886" t="s">
        <v>2788</v>
      </c>
      <c r="G886" t="s">
        <v>2788</v>
      </c>
      <c r="H886" t="s">
        <v>2717</v>
      </c>
      <c r="I886" t="s">
        <v>79</v>
      </c>
      <c r="J886" t="s">
        <v>95</v>
      </c>
      <c r="K886" t="s">
        <v>54</v>
      </c>
      <c r="L886" t="s">
        <v>175</v>
      </c>
      <c r="M886" t="s">
        <v>176</v>
      </c>
      <c r="N886" t="s">
        <v>28</v>
      </c>
      <c r="O886" t="s">
        <v>124</v>
      </c>
      <c r="P886" t="s">
        <v>2718</v>
      </c>
      <c r="Q886" t="s">
        <v>44</v>
      </c>
      <c r="R886">
        <v>2</v>
      </c>
      <c r="S886">
        <v>2098.54</v>
      </c>
      <c r="T886">
        <v>0.15</v>
      </c>
      <c r="U886">
        <v>3567.52</v>
      </c>
      <c r="V886">
        <v>2411.8000000000002</v>
      </c>
      <c r="W886">
        <v>1155.72</v>
      </c>
      <c r="X886" t="s">
        <v>32</v>
      </c>
      <c r="Y886" t="s">
        <v>33</v>
      </c>
      <c r="Z886" t="str">
        <f t="shared" si="182"/>
        <v>Unique</v>
      </c>
      <c r="AA886" t="str">
        <f t="shared" si="183"/>
        <v>Unique</v>
      </c>
      <c r="AB886" t="str">
        <f t="shared" si="187"/>
        <v>OK</v>
      </c>
      <c r="AC886">
        <f t="shared" si="188"/>
        <v>0.15</v>
      </c>
      <c r="AD886" t="str">
        <f t="shared" si="189"/>
        <v>OK</v>
      </c>
      <c r="AE886">
        <f t="shared" si="190"/>
        <v>3567.518</v>
      </c>
      <c r="AF886">
        <f t="shared" si="191"/>
        <v>1155.7179999999998</v>
      </c>
      <c r="AG886">
        <f t="shared" si="192"/>
        <v>0.32395575859743381</v>
      </c>
      <c r="AH886" t="str">
        <f t="shared" si="184"/>
        <v>January</v>
      </c>
      <c r="AI886">
        <f t="shared" si="185"/>
        <v>2025</v>
      </c>
      <c r="AJ886" t="str">
        <f t="shared" si="193"/>
        <v>OK</v>
      </c>
      <c r="AK886" t="str">
        <f t="shared" si="194"/>
        <v>OK</v>
      </c>
      <c r="AL886" t="str">
        <f t="shared" si="195"/>
        <v>Include</v>
      </c>
      <c r="AM886" t="str">
        <f t="shared" si="186"/>
        <v>Clean</v>
      </c>
    </row>
    <row r="887" spans="1:39">
      <c r="A887" t="s">
        <v>2719</v>
      </c>
      <c r="B887" s="4">
        <v>45296</v>
      </c>
      <c r="C887" s="4">
        <v>45296</v>
      </c>
      <c r="D887" s="6">
        <v>0</v>
      </c>
      <c r="E887" t="s">
        <v>2788</v>
      </c>
      <c r="F887" t="s">
        <v>2788</v>
      </c>
      <c r="G887" t="s">
        <v>2788</v>
      </c>
      <c r="H887" t="s">
        <v>2720</v>
      </c>
      <c r="I887" t="s">
        <v>162</v>
      </c>
      <c r="J887" t="s">
        <v>24</v>
      </c>
      <c r="K887" t="s">
        <v>25</v>
      </c>
      <c r="L887" t="s">
        <v>26</v>
      </c>
      <c r="M887" t="s">
        <v>27</v>
      </c>
      <c r="N887" t="s">
        <v>41</v>
      </c>
      <c r="O887" t="s">
        <v>42</v>
      </c>
      <c r="P887" t="s">
        <v>2721</v>
      </c>
      <c r="Q887" t="s">
        <v>59</v>
      </c>
      <c r="R887">
        <v>1</v>
      </c>
      <c r="S887">
        <v>2167.08</v>
      </c>
      <c r="T887">
        <v>0.25</v>
      </c>
      <c r="U887">
        <v>1625.31</v>
      </c>
      <c r="V887">
        <v>1157.8900000000001</v>
      </c>
      <c r="W887">
        <v>467.42</v>
      </c>
      <c r="X887" t="s">
        <v>32</v>
      </c>
      <c r="Y887" t="s">
        <v>33</v>
      </c>
      <c r="Z887" t="str">
        <f t="shared" si="182"/>
        <v>Unique</v>
      </c>
      <c r="AA887" t="str">
        <f t="shared" si="183"/>
        <v>Unique</v>
      </c>
      <c r="AB887" t="str">
        <f t="shared" si="187"/>
        <v>OK</v>
      </c>
      <c r="AC887">
        <f t="shared" si="188"/>
        <v>0.25</v>
      </c>
      <c r="AD887" t="str">
        <f t="shared" si="189"/>
        <v>OK</v>
      </c>
      <c r="AE887">
        <f t="shared" si="190"/>
        <v>1625.31</v>
      </c>
      <c r="AF887">
        <f t="shared" si="191"/>
        <v>467.41999999999985</v>
      </c>
      <c r="AG887">
        <f t="shared" si="192"/>
        <v>0.28758821394072509</v>
      </c>
      <c r="AH887" t="str">
        <f t="shared" si="184"/>
        <v>January</v>
      </c>
      <c r="AI887">
        <f t="shared" si="185"/>
        <v>2024</v>
      </c>
      <c r="AJ887" t="str">
        <f t="shared" si="193"/>
        <v>OK</v>
      </c>
      <c r="AK887" t="str">
        <f t="shared" si="194"/>
        <v>OK</v>
      </c>
      <c r="AL887" t="str">
        <f t="shared" si="195"/>
        <v>Include</v>
      </c>
      <c r="AM887" t="str">
        <f t="shared" si="186"/>
        <v>Clean</v>
      </c>
    </row>
    <row r="888" spans="1:39">
      <c r="A888" t="s">
        <v>2722</v>
      </c>
      <c r="B888" s="4">
        <v>45773</v>
      </c>
      <c r="C888" s="4">
        <v>45780</v>
      </c>
      <c r="D888" s="6">
        <v>7</v>
      </c>
      <c r="E888" t="s">
        <v>2788</v>
      </c>
      <c r="F888" t="s">
        <v>2788</v>
      </c>
      <c r="G888" t="s">
        <v>2788</v>
      </c>
      <c r="H888" t="s">
        <v>2723</v>
      </c>
      <c r="I888" t="s">
        <v>53</v>
      </c>
      <c r="J888" t="s">
        <v>95</v>
      </c>
      <c r="K888" t="s">
        <v>54</v>
      </c>
      <c r="L888" t="s">
        <v>247</v>
      </c>
      <c r="M888" t="s">
        <v>248</v>
      </c>
      <c r="N888" t="s">
        <v>74</v>
      </c>
      <c r="O888" t="s">
        <v>75</v>
      </c>
      <c r="P888" t="s">
        <v>2724</v>
      </c>
      <c r="Q888" t="s">
        <v>50</v>
      </c>
      <c r="R888">
        <v>7</v>
      </c>
      <c r="S888">
        <v>3989.9</v>
      </c>
      <c r="T888">
        <v>0.15</v>
      </c>
      <c r="U888">
        <v>23739.9</v>
      </c>
      <c r="V888">
        <v>17716.52</v>
      </c>
      <c r="W888">
        <v>6023.38</v>
      </c>
      <c r="X888" t="s">
        <v>32</v>
      </c>
      <c r="Y888" t="s">
        <v>68</v>
      </c>
      <c r="Z888" t="str">
        <f t="shared" si="182"/>
        <v>Unique</v>
      </c>
      <c r="AA888" t="str">
        <f t="shared" si="183"/>
        <v>Unique</v>
      </c>
      <c r="AB888" t="str">
        <f t="shared" si="187"/>
        <v>OK</v>
      </c>
      <c r="AC888">
        <f t="shared" si="188"/>
        <v>0.15</v>
      </c>
      <c r="AD888" t="str">
        <f t="shared" si="189"/>
        <v>OK</v>
      </c>
      <c r="AE888">
        <f t="shared" si="190"/>
        <v>23739.904999999999</v>
      </c>
      <c r="AF888">
        <f t="shared" si="191"/>
        <v>6023.3849999999984</v>
      </c>
      <c r="AG888">
        <f t="shared" si="192"/>
        <v>0.25372405660427028</v>
      </c>
      <c r="AH888" t="str">
        <f t="shared" si="184"/>
        <v>April</v>
      </c>
      <c r="AI888">
        <f t="shared" si="185"/>
        <v>2025</v>
      </c>
      <c r="AJ888" t="str">
        <f t="shared" si="193"/>
        <v>OK</v>
      </c>
      <c r="AK888" t="str">
        <f t="shared" si="194"/>
        <v>OK</v>
      </c>
      <c r="AL888" t="str">
        <f t="shared" si="195"/>
        <v>Exclude</v>
      </c>
      <c r="AM888" t="str">
        <f t="shared" si="186"/>
        <v>Clean</v>
      </c>
    </row>
    <row r="889" spans="1:39">
      <c r="A889" t="s">
        <v>2725</v>
      </c>
      <c r="B889" s="4">
        <v>45455</v>
      </c>
      <c r="C889" s="4">
        <v>45461</v>
      </c>
      <c r="D889" s="6">
        <v>6</v>
      </c>
      <c r="E889" t="s">
        <v>2788</v>
      </c>
      <c r="F889" t="s">
        <v>2788</v>
      </c>
      <c r="G889" t="s">
        <v>2788</v>
      </c>
      <c r="H889" t="s">
        <v>2726</v>
      </c>
      <c r="I889" t="s">
        <v>128</v>
      </c>
      <c r="J889" t="s">
        <v>37</v>
      </c>
      <c r="K889" t="s">
        <v>54</v>
      </c>
      <c r="L889" t="s">
        <v>84</v>
      </c>
      <c r="M889" t="s">
        <v>85</v>
      </c>
      <c r="N889" t="s">
        <v>28</v>
      </c>
      <c r="O889" t="s">
        <v>48</v>
      </c>
      <c r="P889" t="s">
        <v>2727</v>
      </c>
      <c r="Q889" t="s">
        <v>59</v>
      </c>
      <c r="R889">
        <v>4</v>
      </c>
      <c r="S889">
        <v>4176.13</v>
      </c>
      <c r="T889">
        <v>0</v>
      </c>
      <c r="U889">
        <v>16704.52</v>
      </c>
      <c r="V889">
        <v>10158.280000000001</v>
      </c>
      <c r="W889">
        <v>6546.24</v>
      </c>
      <c r="X889" t="s">
        <v>32</v>
      </c>
      <c r="Y889" t="s">
        <v>33</v>
      </c>
      <c r="Z889" t="str">
        <f t="shared" si="182"/>
        <v>Unique</v>
      </c>
      <c r="AA889" t="str">
        <f t="shared" si="183"/>
        <v>Unique</v>
      </c>
      <c r="AB889" t="str">
        <f t="shared" si="187"/>
        <v>OK</v>
      </c>
      <c r="AC889">
        <f t="shared" si="188"/>
        <v>0</v>
      </c>
      <c r="AD889" t="str">
        <f t="shared" si="189"/>
        <v>OK</v>
      </c>
      <c r="AE889">
        <f t="shared" si="190"/>
        <v>16704.52</v>
      </c>
      <c r="AF889">
        <f t="shared" si="191"/>
        <v>6546.24</v>
      </c>
      <c r="AG889">
        <f t="shared" si="192"/>
        <v>0.39188435225914897</v>
      </c>
      <c r="AH889" t="str">
        <f t="shared" si="184"/>
        <v>June</v>
      </c>
      <c r="AI889">
        <f t="shared" si="185"/>
        <v>2024</v>
      </c>
      <c r="AJ889" t="str">
        <f t="shared" si="193"/>
        <v>OK</v>
      </c>
      <c r="AK889" t="str">
        <f t="shared" si="194"/>
        <v>OK</v>
      </c>
      <c r="AL889" t="str">
        <f t="shared" si="195"/>
        <v>Include</v>
      </c>
      <c r="AM889" t="str">
        <f t="shared" si="186"/>
        <v>Clean</v>
      </c>
    </row>
    <row r="890" spans="1:39">
      <c r="A890" t="s">
        <v>2728</v>
      </c>
      <c r="B890" s="4">
        <v>45875</v>
      </c>
      <c r="C890" s="4">
        <v>45876</v>
      </c>
      <c r="D890" s="6">
        <v>1</v>
      </c>
      <c r="E890" t="s">
        <v>2788</v>
      </c>
      <c r="F890" t="s">
        <v>2788</v>
      </c>
      <c r="G890" t="s">
        <v>2788</v>
      </c>
      <c r="H890" t="s">
        <v>2729</v>
      </c>
      <c r="I890" t="s">
        <v>118</v>
      </c>
      <c r="J890" t="s">
        <v>37</v>
      </c>
      <c r="K890" t="s">
        <v>63</v>
      </c>
      <c r="L890" t="s">
        <v>64</v>
      </c>
      <c r="M890" t="s">
        <v>65</v>
      </c>
      <c r="N890" t="s">
        <v>28</v>
      </c>
      <c r="O890" t="s">
        <v>48</v>
      </c>
      <c r="P890" t="s">
        <v>2730</v>
      </c>
      <c r="Q890" t="s">
        <v>59</v>
      </c>
      <c r="R890">
        <v>4</v>
      </c>
      <c r="S890">
        <v>3523.64</v>
      </c>
      <c r="T890">
        <v>0.1</v>
      </c>
      <c r="U890">
        <v>12685.1</v>
      </c>
      <c r="V890">
        <v>10779.56</v>
      </c>
      <c r="W890">
        <v>1905.54</v>
      </c>
      <c r="X890" t="s">
        <v>102</v>
      </c>
      <c r="Y890" t="s">
        <v>68</v>
      </c>
      <c r="Z890" t="str">
        <f t="shared" si="182"/>
        <v>Unique</v>
      </c>
      <c r="AA890" t="str">
        <f t="shared" si="183"/>
        <v>Unique</v>
      </c>
      <c r="AB890" t="str">
        <f t="shared" si="187"/>
        <v>OK</v>
      </c>
      <c r="AC890">
        <f t="shared" si="188"/>
        <v>0.1</v>
      </c>
      <c r="AD890" t="str">
        <f t="shared" si="189"/>
        <v>OK</v>
      </c>
      <c r="AE890">
        <f t="shared" si="190"/>
        <v>12685.103999999999</v>
      </c>
      <c r="AF890">
        <f t="shared" si="191"/>
        <v>1905.5439999999999</v>
      </c>
      <c r="AG890">
        <f t="shared" si="192"/>
        <v>0.15021902855506741</v>
      </c>
      <c r="AH890" t="str">
        <f t="shared" si="184"/>
        <v>August</v>
      </c>
      <c r="AI890">
        <f t="shared" si="185"/>
        <v>2025</v>
      </c>
      <c r="AJ890" t="str">
        <f t="shared" si="193"/>
        <v>OK</v>
      </c>
      <c r="AK890" t="str">
        <f t="shared" si="194"/>
        <v>OK</v>
      </c>
      <c r="AL890" t="str">
        <f t="shared" si="195"/>
        <v>Exclude</v>
      </c>
      <c r="AM890" t="str">
        <f t="shared" si="186"/>
        <v>Clean</v>
      </c>
    </row>
    <row r="891" spans="1:39">
      <c r="A891" t="s">
        <v>2731</v>
      </c>
      <c r="B891" s="4">
        <v>45726</v>
      </c>
      <c r="C891" s="4">
        <v>45727</v>
      </c>
      <c r="D891" s="6">
        <v>1</v>
      </c>
      <c r="E891" t="s">
        <v>2788</v>
      </c>
      <c r="F891" t="s">
        <v>2788</v>
      </c>
      <c r="G891" t="s">
        <v>2788</v>
      </c>
      <c r="H891" t="s">
        <v>883</v>
      </c>
      <c r="I891" t="s">
        <v>89</v>
      </c>
      <c r="J891" t="s">
        <v>95</v>
      </c>
      <c r="K891" t="s">
        <v>63</v>
      </c>
      <c r="L891" t="s">
        <v>72</v>
      </c>
      <c r="M891" t="s">
        <v>73</v>
      </c>
      <c r="N891" t="s">
        <v>28</v>
      </c>
      <c r="O891" t="s">
        <v>124</v>
      </c>
      <c r="P891" t="s">
        <v>2732</v>
      </c>
      <c r="Q891" t="s">
        <v>50</v>
      </c>
      <c r="R891">
        <v>2</v>
      </c>
      <c r="S891">
        <v>3922.08</v>
      </c>
      <c r="T891">
        <v>0.25</v>
      </c>
      <c r="U891">
        <v>5883.12</v>
      </c>
      <c r="V891">
        <v>4647.91</v>
      </c>
      <c r="W891">
        <v>1235.21</v>
      </c>
      <c r="X891" t="s">
        <v>32</v>
      </c>
      <c r="Y891" t="s">
        <v>103</v>
      </c>
      <c r="Z891" t="str">
        <f t="shared" si="182"/>
        <v>Unique</v>
      </c>
      <c r="AA891" t="str">
        <f t="shared" si="183"/>
        <v>Unique</v>
      </c>
      <c r="AB891" t="str">
        <f t="shared" si="187"/>
        <v>OK</v>
      </c>
      <c r="AC891">
        <f t="shared" si="188"/>
        <v>0.25</v>
      </c>
      <c r="AD891" t="str">
        <f t="shared" si="189"/>
        <v>OK</v>
      </c>
      <c r="AE891">
        <f t="shared" si="190"/>
        <v>5883.12</v>
      </c>
      <c r="AF891">
        <f t="shared" si="191"/>
        <v>1235.21</v>
      </c>
      <c r="AG891">
        <f t="shared" si="192"/>
        <v>0.20995832143488491</v>
      </c>
      <c r="AH891" t="str">
        <f t="shared" si="184"/>
        <v>March</v>
      </c>
      <c r="AI891">
        <f t="shared" si="185"/>
        <v>2025</v>
      </c>
      <c r="AJ891" t="str">
        <f t="shared" si="193"/>
        <v>OK</v>
      </c>
      <c r="AK891" t="str">
        <f t="shared" si="194"/>
        <v>OK</v>
      </c>
      <c r="AL891" t="str">
        <f t="shared" si="195"/>
        <v>Exclude</v>
      </c>
      <c r="AM891" t="str">
        <f t="shared" si="186"/>
        <v>Clean</v>
      </c>
    </row>
    <row r="892" spans="1:39">
      <c r="A892" t="s">
        <v>2733</v>
      </c>
      <c r="B892" s="4">
        <v>45427</v>
      </c>
      <c r="C892" s="4">
        <v>45433</v>
      </c>
      <c r="D892" s="6">
        <v>6</v>
      </c>
      <c r="E892" t="s">
        <v>2788</v>
      </c>
      <c r="F892" t="s">
        <v>2788</v>
      </c>
      <c r="G892" t="s">
        <v>2788</v>
      </c>
      <c r="H892" t="s">
        <v>2734</v>
      </c>
      <c r="I892" t="s">
        <v>23</v>
      </c>
      <c r="J892" t="s">
        <v>24</v>
      </c>
      <c r="K892" t="s">
        <v>63</v>
      </c>
      <c r="L892" t="s">
        <v>190</v>
      </c>
      <c r="M892" t="s">
        <v>191</v>
      </c>
      <c r="N892" t="s">
        <v>28</v>
      </c>
      <c r="O892" t="s">
        <v>124</v>
      </c>
      <c r="P892" t="s">
        <v>2735</v>
      </c>
      <c r="Q892" t="s">
        <v>59</v>
      </c>
      <c r="R892">
        <v>6</v>
      </c>
      <c r="S892">
        <v>2909.56</v>
      </c>
      <c r="T892">
        <v>0.2</v>
      </c>
      <c r="U892">
        <v>13965.89</v>
      </c>
      <c r="V892">
        <v>11646.12</v>
      </c>
      <c r="W892">
        <v>2319.77</v>
      </c>
      <c r="X892" t="s">
        <v>32</v>
      </c>
      <c r="Y892" t="s">
        <v>33</v>
      </c>
      <c r="Z892" t="str">
        <f t="shared" si="182"/>
        <v>Unique</v>
      </c>
      <c r="AA892" t="str">
        <f t="shared" si="183"/>
        <v>Unique</v>
      </c>
      <c r="AB892" t="str">
        <f t="shared" si="187"/>
        <v>OK</v>
      </c>
      <c r="AC892">
        <f t="shared" si="188"/>
        <v>0.2</v>
      </c>
      <c r="AD892" t="str">
        <f t="shared" si="189"/>
        <v>OK</v>
      </c>
      <c r="AE892">
        <f t="shared" si="190"/>
        <v>13965.888000000001</v>
      </c>
      <c r="AF892">
        <f t="shared" si="191"/>
        <v>2319.768</v>
      </c>
      <c r="AG892">
        <f t="shared" si="192"/>
        <v>0.16610243473239938</v>
      </c>
      <c r="AH892" t="str">
        <f t="shared" si="184"/>
        <v>May</v>
      </c>
      <c r="AI892">
        <f t="shared" si="185"/>
        <v>2024</v>
      </c>
      <c r="AJ892" t="str">
        <f t="shared" si="193"/>
        <v>OK</v>
      </c>
      <c r="AK892" t="str">
        <f t="shared" si="194"/>
        <v>OK</v>
      </c>
      <c r="AL892" t="str">
        <f t="shared" si="195"/>
        <v>Include</v>
      </c>
      <c r="AM892" t="str">
        <f t="shared" si="186"/>
        <v>Clean</v>
      </c>
    </row>
    <row r="893" spans="1:39">
      <c r="A893" t="s">
        <v>2736</v>
      </c>
      <c r="B893" s="4">
        <v>45573</v>
      </c>
      <c r="C893" s="4">
        <v>45574</v>
      </c>
      <c r="D893" s="6">
        <v>1</v>
      </c>
      <c r="E893" t="s">
        <v>2788</v>
      </c>
      <c r="F893" t="s">
        <v>2788</v>
      </c>
      <c r="G893" t="s">
        <v>2788</v>
      </c>
      <c r="H893" t="s">
        <v>2737</v>
      </c>
      <c r="I893" t="s">
        <v>264</v>
      </c>
      <c r="J893" t="s">
        <v>90</v>
      </c>
      <c r="K893" t="s">
        <v>54</v>
      </c>
      <c r="L893" t="s">
        <v>247</v>
      </c>
      <c r="M893" t="s">
        <v>248</v>
      </c>
      <c r="N893" t="s">
        <v>74</v>
      </c>
      <c r="O893" t="s">
        <v>274</v>
      </c>
      <c r="P893" t="s">
        <v>2738</v>
      </c>
      <c r="Q893" t="s">
        <v>44</v>
      </c>
      <c r="R893">
        <v>5</v>
      </c>
      <c r="S893">
        <v>2407.9699999999998</v>
      </c>
      <c r="T893">
        <v>0.1</v>
      </c>
      <c r="U893">
        <v>10835.86</v>
      </c>
      <c r="V893">
        <v>6419.92</v>
      </c>
      <c r="W893">
        <v>4415.9399999999996</v>
      </c>
      <c r="X893" t="s">
        <v>155</v>
      </c>
      <c r="Y893" t="s">
        <v>68</v>
      </c>
      <c r="Z893" t="str">
        <f t="shared" si="182"/>
        <v>Unique</v>
      </c>
      <c r="AA893" t="str">
        <f t="shared" si="183"/>
        <v>Unique</v>
      </c>
      <c r="AB893" t="str">
        <f t="shared" si="187"/>
        <v>OK</v>
      </c>
      <c r="AC893">
        <f t="shared" si="188"/>
        <v>0.1</v>
      </c>
      <c r="AD893" t="str">
        <f t="shared" si="189"/>
        <v>OK</v>
      </c>
      <c r="AE893">
        <f t="shared" si="190"/>
        <v>10835.865</v>
      </c>
      <c r="AF893">
        <f t="shared" si="191"/>
        <v>4415.9449999999997</v>
      </c>
      <c r="AG893">
        <f t="shared" si="192"/>
        <v>0.40753045557507406</v>
      </c>
      <c r="AH893" t="str">
        <f t="shared" si="184"/>
        <v>October</v>
      </c>
      <c r="AI893">
        <f t="shared" si="185"/>
        <v>2024</v>
      </c>
      <c r="AJ893" t="str">
        <f t="shared" si="193"/>
        <v>OK</v>
      </c>
      <c r="AK893" t="str">
        <f t="shared" si="194"/>
        <v>OK</v>
      </c>
      <c r="AL893" t="str">
        <f t="shared" si="195"/>
        <v>Exclude</v>
      </c>
      <c r="AM893" t="str">
        <f t="shared" si="186"/>
        <v>Clean</v>
      </c>
    </row>
    <row r="894" spans="1:39">
      <c r="A894" t="s">
        <v>2739</v>
      </c>
      <c r="B894" s="4">
        <v>45759</v>
      </c>
      <c r="C894" s="4">
        <v>45765</v>
      </c>
      <c r="D894" s="6">
        <v>6</v>
      </c>
      <c r="E894" t="s">
        <v>2788</v>
      </c>
      <c r="F894" t="s">
        <v>2788</v>
      </c>
      <c r="G894" t="s">
        <v>2788</v>
      </c>
      <c r="H894" t="s">
        <v>2740</v>
      </c>
      <c r="I894" t="s">
        <v>47</v>
      </c>
      <c r="J894" t="s">
        <v>37</v>
      </c>
      <c r="K894" t="s">
        <v>38</v>
      </c>
      <c r="L894" t="s">
        <v>228</v>
      </c>
      <c r="M894" t="s">
        <v>229</v>
      </c>
      <c r="N894" t="s">
        <v>74</v>
      </c>
      <c r="O894" t="s">
        <v>80</v>
      </c>
      <c r="P894" t="s">
        <v>2741</v>
      </c>
      <c r="Q894" t="s">
        <v>44</v>
      </c>
      <c r="R894">
        <v>1</v>
      </c>
      <c r="S894">
        <v>726.89</v>
      </c>
      <c r="T894">
        <v>0.2</v>
      </c>
      <c r="U894">
        <v>581.51</v>
      </c>
      <c r="V894">
        <v>423.86</v>
      </c>
      <c r="W894">
        <v>157.65</v>
      </c>
      <c r="X894" t="s">
        <v>32</v>
      </c>
      <c r="Y894" t="s">
        <v>33</v>
      </c>
      <c r="Z894" t="str">
        <f t="shared" si="182"/>
        <v>Unique</v>
      </c>
      <c r="AA894" t="str">
        <f t="shared" si="183"/>
        <v>Unique</v>
      </c>
      <c r="AB894" t="str">
        <f t="shared" si="187"/>
        <v>OK</v>
      </c>
      <c r="AC894">
        <f t="shared" si="188"/>
        <v>0.2</v>
      </c>
      <c r="AD894" t="str">
        <f t="shared" si="189"/>
        <v>OK</v>
      </c>
      <c r="AE894">
        <f t="shared" si="190"/>
        <v>581.51200000000006</v>
      </c>
      <c r="AF894">
        <f t="shared" si="191"/>
        <v>157.65200000000004</v>
      </c>
      <c r="AG894">
        <f t="shared" si="192"/>
        <v>0.27110704508247468</v>
      </c>
      <c r="AH894" t="str">
        <f t="shared" si="184"/>
        <v>April</v>
      </c>
      <c r="AI894">
        <f t="shared" si="185"/>
        <v>2025</v>
      </c>
      <c r="AJ894" t="str">
        <f t="shared" si="193"/>
        <v>OK</v>
      </c>
      <c r="AK894" t="str">
        <f t="shared" si="194"/>
        <v>OK</v>
      </c>
      <c r="AL894" t="str">
        <f t="shared" si="195"/>
        <v>Include</v>
      </c>
      <c r="AM894" t="str">
        <f t="shared" si="186"/>
        <v>Clean</v>
      </c>
    </row>
    <row r="895" spans="1:39">
      <c r="A895" t="s">
        <v>2742</v>
      </c>
      <c r="B895" s="4">
        <v>45449</v>
      </c>
      <c r="C895" s="4">
        <v>45451</v>
      </c>
      <c r="D895" s="6">
        <v>2</v>
      </c>
      <c r="E895" t="s">
        <v>2788</v>
      </c>
      <c r="F895" t="s">
        <v>2788</v>
      </c>
      <c r="G895" t="s">
        <v>2788</v>
      </c>
      <c r="H895" t="s">
        <v>2743</v>
      </c>
      <c r="I895" t="s">
        <v>128</v>
      </c>
      <c r="J895" t="s">
        <v>90</v>
      </c>
      <c r="K895" t="s">
        <v>54</v>
      </c>
      <c r="L895" t="s">
        <v>175</v>
      </c>
      <c r="M895" t="s">
        <v>176</v>
      </c>
      <c r="N895" t="s">
        <v>41</v>
      </c>
      <c r="O895" t="s">
        <v>42</v>
      </c>
      <c r="P895" t="s">
        <v>2744</v>
      </c>
      <c r="Q895" t="s">
        <v>31</v>
      </c>
      <c r="R895">
        <v>3</v>
      </c>
      <c r="S895">
        <v>395.49</v>
      </c>
      <c r="T895">
        <v>0.05</v>
      </c>
      <c r="U895">
        <v>1127.1500000000001</v>
      </c>
      <c r="V895">
        <v>845.62</v>
      </c>
      <c r="W895">
        <v>281.52999999999997</v>
      </c>
      <c r="X895" t="s">
        <v>32</v>
      </c>
      <c r="Y895" t="s">
        <v>103</v>
      </c>
      <c r="Z895" t="str">
        <f t="shared" si="182"/>
        <v>Unique</v>
      </c>
      <c r="AA895" t="str">
        <f t="shared" si="183"/>
        <v>Unique</v>
      </c>
      <c r="AB895" t="str">
        <f t="shared" si="187"/>
        <v>OK</v>
      </c>
      <c r="AC895">
        <f t="shared" si="188"/>
        <v>0.05</v>
      </c>
      <c r="AD895" t="str">
        <f t="shared" si="189"/>
        <v>OK</v>
      </c>
      <c r="AE895">
        <f t="shared" si="190"/>
        <v>1127.1465000000001</v>
      </c>
      <c r="AF895">
        <f t="shared" si="191"/>
        <v>281.52650000000006</v>
      </c>
      <c r="AG895">
        <f t="shared" si="192"/>
        <v>0.24976921810962466</v>
      </c>
      <c r="AH895" t="str">
        <f t="shared" si="184"/>
        <v>June</v>
      </c>
      <c r="AI895">
        <f t="shared" si="185"/>
        <v>2024</v>
      </c>
      <c r="AJ895" t="str">
        <f t="shared" si="193"/>
        <v>OK</v>
      </c>
      <c r="AK895" t="str">
        <f t="shared" si="194"/>
        <v>OK</v>
      </c>
      <c r="AL895" t="str">
        <f t="shared" si="195"/>
        <v>Exclude</v>
      </c>
      <c r="AM895" t="str">
        <f t="shared" si="186"/>
        <v>Clean</v>
      </c>
    </row>
    <row r="896" spans="1:39">
      <c r="A896" t="s">
        <v>2745</v>
      </c>
      <c r="B896" s="4">
        <v>45344</v>
      </c>
      <c r="C896" s="4">
        <v>45351</v>
      </c>
      <c r="D896" s="6">
        <v>7</v>
      </c>
      <c r="E896" t="s">
        <v>2788</v>
      </c>
      <c r="F896" t="s">
        <v>2788</v>
      </c>
      <c r="G896" t="s">
        <v>2788</v>
      </c>
      <c r="H896" t="s">
        <v>2746</v>
      </c>
      <c r="I896" t="s">
        <v>47</v>
      </c>
      <c r="J896" t="s">
        <v>95</v>
      </c>
      <c r="K896" t="s">
        <v>54</v>
      </c>
      <c r="L896" t="s">
        <v>55</v>
      </c>
      <c r="M896" t="s">
        <v>56</v>
      </c>
      <c r="N896" t="s">
        <v>41</v>
      </c>
      <c r="O896" t="s">
        <v>42</v>
      </c>
      <c r="P896" t="s">
        <v>2747</v>
      </c>
      <c r="Q896" t="s">
        <v>50</v>
      </c>
      <c r="R896">
        <v>6</v>
      </c>
      <c r="S896">
        <v>4254.05</v>
      </c>
      <c r="T896">
        <v>0</v>
      </c>
      <c r="U896">
        <v>25524.3</v>
      </c>
      <c r="V896">
        <v>16711.93</v>
      </c>
      <c r="W896">
        <v>8812.3700000000008</v>
      </c>
      <c r="X896" t="s">
        <v>32</v>
      </c>
      <c r="Y896" t="s">
        <v>33</v>
      </c>
      <c r="Z896" t="str">
        <f t="shared" si="182"/>
        <v>Unique</v>
      </c>
      <c r="AA896" t="str">
        <f t="shared" si="183"/>
        <v>Unique</v>
      </c>
      <c r="AB896" t="str">
        <f t="shared" si="187"/>
        <v>OK</v>
      </c>
      <c r="AC896">
        <f t="shared" si="188"/>
        <v>0</v>
      </c>
      <c r="AD896" t="str">
        <f t="shared" si="189"/>
        <v>OK</v>
      </c>
      <c r="AE896">
        <f t="shared" si="190"/>
        <v>25524.300000000003</v>
      </c>
      <c r="AF896">
        <f t="shared" si="191"/>
        <v>8812.3700000000026</v>
      </c>
      <c r="AG896">
        <f t="shared" si="192"/>
        <v>0.34525413037771857</v>
      </c>
      <c r="AH896" t="str">
        <f t="shared" si="184"/>
        <v>February</v>
      </c>
      <c r="AI896">
        <f t="shared" si="185"/>
        <v>2024</v>
      </c>
      <c r="AJ896" t="str">
        <f t="shared" si="193"/>
        <v>OK</v>
      </c>
      <c r="AK896" t="str">
        <f t="shared" si="194"/>
        <v>OK</v>
      </c>
      <c r="AL896" t="str">
        <f t="shared" si="195"/>
        <v>Include</v>
      </c>
      <c r="AM896" t="str">
        <f t="shared" si="186"/>
        <v>Clean</v>
      </c>
    </row>
    <row r="897" spans="1:39">
      <c r="A897" t="s">
        <v>2748</v>
      </c>
      <c r="B897" s="4">
        <v>45601</v>
      </c>
      <c r="C897" s="4">
        <v>45606</v>
      </c>
      <c r="D897" s="6">
        <v>5</v>
      </c>
      <c r="E897" t="s">
        <v>2788</v>
      </c>
      <c r="F897" t="s">
        <v>2788</v>
      </c>
      <c r="G897" t="s">
        <v>2788</v>
      </c>
      <c r="H897" t="s">
        <v>2749</v>
      </c>
      <c r="I897" t="s">
        <v>53</v>
      </c>
      <c r="J897" t="s">
        <v>24</v>
      </c>
      <c r="K897" t="s">
        <v>54</v>
      </c>
      <c r="L897" t="s">
        <v>185</v>
      </c>
      <c r="M897" t="s">
        <v>186</v>
      </c>
      <c r="N897" t="s">
        <v>41</v>
      </c>
      <c r="O897" t="s">
        <v>66</v>
      </c>
      <c r="P897" t="s">
        <v>2750</v>
      </c>
      <c r="Q897" t="s">
        <v>44</v>
      </c>
      <c r="R897">
        <v>4</v>
      </c>
      <c r="S897">
        <v>711.18</v>
      </c>
      <c r="T897">
        <v>0.15</v>
      </c>
      <c r="U897">
        <v>2418.0100000000002</v>
      </c>
      <c r="V897">
        <v>1441.89</v>
      </c>
      <c r="W897">
        <v>976.12</v>
      </c>
      <c r="X897" t="s">
        <v>111</v>
      </c>
      <c r="Y897" t="s">
        <v>103</v>
      </c>
      <c r="Z897" t="str">
        <f t="shared" si="182"/>
        <v>Unique</v>
      </c>
      <c r="AA897" t="str">
        <f t="shared" si="183"/>
        <v>Unique</v>
      </c>
      <c r="AB897" t="str">
        <f t="shared" si="187"/>
        <v>OK</v>
      </c>
      <c r="AC897">
        <f t="shared" si="188"/>
        <v>0.15</v>
      </c>
      <c r="AD897" t="str">
        <f t="shared" si="189"/>
        <v>OK</v>
      </c>
      <c r="AE897">
        <f t="shared" si="190"/>
        <v>2418.0119999999997</v>
      </c>
      <c r="AF897">
        <f t="shared" si="191"/>
        <v>976.12199999999962</v>
      </c>
      <c r="AG897">
        <f t="shared" si="192"/>
        <v>0.40368782288921634</v>
      </c>
      <c r="AH897" t="str">
        <f t="shared" si="184"/>
        <v>November</v>
      </c>
      <c r="AI897">
        <f t="shared" si="185"/>
        <v>2024</v>
      </c>
      <c r="AJ897" t="str">
        <f t="shared" si="193"/>
        <v>OK</v>
      </c>
      <c r="AK897" t="str">
        <f t="shared" si="194"/>
        <v>OK</v>
      </c>
      <c r="AL897" t="str">
        <f t="shared" si="195"/>
        <v>Exclude</v>
      </c>
      <c r="AM897" t="str">
        <f t="shared" si="186"/>
        <v>Clean</v>
      </c>
    </row>
    <row r="898" spans="1:39">
      <c r="A898" t="s">
        <v>2751</v>
      </c>
      <c r="B898" s="4">
        <v>45650</v>
      </c>
      <c r="C898" s="4">
        <v>45651</v>
      </c>
      <c r="D898" s="6">
        <v>1</v>
      </c>
      <c r="E898" t="s">
        <v>2788</v>
      </c>
      <c r="F898" t="s">
        <v>2788</v>
      </c>
      <c r="G898" t="s">
        <v>2788</v>
      </c>
      <c r="H898" t="s">
        <v>2752</v>
      </c>
      <c r="I898" t="s">
        <v>62</v>
      </c>
      <c r="J898" t="s">
        <v>37</v>
      </c>
      <c r="K898" t="s">
        <v>54</v>
      </c>
      <c r="L898" t="s">
        <v>247</v>
      </c>
      <c r="M898" t="s">
        <v>248</v>
      </c>
      <c r="N898" t="s">
        <v>74</v>
      </c>
      <c r="O898" t="s">
        <v>80</v>
      </c>
      <c r="P898" t="s">
        <v>2753</v>
      </c>
      <c r="Q898" t="s">
        <v>31</v>
      </c>
      <c r="R898">
        <v>1</v>
      </c>
      <c r="S898">
        <v>3693.03</v>
      </c>
      <c r="T898">
        <v>0.05</v>
      </c>
      <c r="U898">
        <v>3508.38</v>
      </c>
      <c r="V898">
        <v>2828.06</v>
      </c>
      <c r="W898">
        <v>680.32</v>
      </c>
      <c r="X898" t="s">
        <v>155</v>
      </c>
      <c r="Y898" t="s">
        <v>103</v>
      </c>
      <c r="Z898" t="str">
        <f t="shared" ref="Z898:Z933" si="196">IF(COUNTIFS($A:$A,A898,$B:$B,B898,$C:$C,C898,$H:$H,H898,$U:$U,U898,$W:$W,W898)&gt;1,"Exact Duplicate","Unique")</f>
        <v>Unique</v>
      </c>
      <c r="AA898" t="str">
        <f t="shared" ref="AA898:AA933" si="197">IF(COUNTIF($A:$A,A898)&gt;1,"Duplicate Order ID","Unique")</f>
        <v>Unique</v>
      </c>
      <c r="AB898" t="str">
        <f t="shared" si="187"/>
        <v>OK</v>
      </c>
      <c r="AC898">
        <f t="shared" si="188"/>
        <v>0.05</v>
      </c>
      <c r="AD898" t="str">
        <f t="shared" si="189"/>
        <v>OK</v>
      </c>
      <c r="AE898">
        <f t="shared" si="190"/>
        <v>3508.3784999999998</v>
      </c>
      <c r="AF898">
        <f t="shared" si="191"/>
        <v>680.31849999999986</v>
      </c>
      <c r="AG898">
        <f t="shared" si="192"/>
        <v>0.19391251542557336</v>
      </c>
      <c r="AH898" t="str">
        <f t="shared" ref="AH898:AH933" si="198">IFERROR(TEXT(B898,"mmmm"),"")</f>
        <v>December</v>
      </c>
      <c r="AI898">
        <f t="shared" ref="AI898:AI933" si="199">IFERROR(YEAR(B898),"")</f>
        <v>2024</v>
      </c>
      <c r="AJ898" t="str">
        <f t="shared" si="193"/>
        <v>OK</v>
      </c>
      <c r="AK898" t="str">
        <f t="shared" si="194"/>
        <v>OK</v>
      </c>
      <c r="AL898" t="str">
        <f t="shared" si="195"/>
        <v>Exclude</v>
      </c>
      <c r="AM898" t="str">
        <f t="shared" ref="AM898:AM933" si="200">IF(OR(E898&lt;&gt;"OK",F898&lt;&gt;"OK",AD898&lt;&gt;"OK",AB898="Conflicting Duplicate"),"Invalid",IF(OR(G898&lt;&gt;"OK",AJ898&lt;&gt;"OK",AK898&lt;&gt;"OK"),"Warning","Clean"))</f>
        <v>Clean</v>
      </c>
    </row>
    <row r="899" spans="1:39">
      <c r="A899" t="s">
        <v>2754</v>
      </c>
      <c r="B899" s="4">
        <v>45776</v>
      </c>
      <c r="C899" s="4">
        <v>45780</v>
      </c>
      <c r="D899" s="6">
        <v>4</v>
      </c>
      <c r="E899" t="s">
        <v>2788</v>
      </c>
      <c r="F899" t="s">
        <v>2788</v>
      </c>
      <c r="G899" t="s">
        <v>2788</v>
      </c>
      <c r="H899" t="s">
        <v>2121</v>
      </c>
      <c r="I899" t="s">
        <v>141</v>
      </c>
      <c r="J899" t="s">
        <v>90</v>
      </c>
      <c r="K899" t="s">
        <v>25</v>
      </c>
      <c r="L899" t="s">
        <v>236</v>
      </c>
      <c r="M899" t="s">
        <v>237</v>
      </c>
      <c r="N899" t="s">
        <v>28</v>
      </c>
      <c r="O899" t="s">
        <v>29</v>
      </c>
      <c r="P899" t="s">
        <v>2755</v>
      </c>
      <c r="Q899" t="s">
        <v>50</v>
      </c>
      <c r="R899">
        <v>4</v>
      </c>
      <c r="S899">
        <v>1786.65</v>
      </c>
      <c r="T899">
        <v>0.05</v>
      </c>
      <c r="U899">
        <v>6789.27</v>
      </c>
      <c r="V899">
        <v>5626.43</v>
      </c>
      <c r="W899">
        <v>1162.8399999999999</v>
      </c>
      <c r="X899" t="s">
        <v>32</v>
      </c>
      <c r="Y899" t="s">
        <v>33</v>
      </c>
      <c r="Z899" t="str">
        <f t="shared" si="196"/>
        <v>Unique</v>
      </c>
      <c r="AA899" t="str">
        <f t="shared" si="197"/>
        <v>Unique</v>
      </c>
      <c r="AB899" t="str">
        <f t="shared" ref="AB899:AB933" si="201">IF(AND(AA899="Duplicate Order ID",Z899&lt;&gt;"Exact Duplicate"),"Conflicting Duplicate","OK")</f>
        <v>OK</v>
      </c>
      <c r="AC899">
        <f t="shared" ref="AC899:AC933" si="202">IF(OR(T899="",ISBLANK(T899)),0,T899)</f>
        <v>0.05</v>
      </c>
      <c r="AD899" t="str">
        <f t="shared" ref="AD899:AD933" si="203">IF(AC899&lt;0,"Invalid Negative Discount",IF(AC899&gt;1,"Invalid High Discount","OK"))</f>
        <v>OK</v>
      </c>
      <c r="AE899">
        <f t="shared" ref="AE899:AE933" si="204">R899*S899*(1-AC899)</f>
        <v>6789.27</v>
      </c>
      <c r="AF899">
        <f t="shared" ref="AF899:AF933" si="205">AE899-V899</f>
        <v>1162.8400000000001</v>
      </c>
      <c r="AG899">
        <f t="shared" ref="AG899:AG933" si="206">IF(AE899=0,0,AF899/AE899)</f>
        <v>0.17127614603631908</v>
      </c>
      <c r="AH899" t="str">
        <f t="shared" si="198"/>
        <v>April</v>
      </c>
      <c r="AI899">
        <f t="shared" si="199"/>
        <v>2025</v>
      </c>
      <c r="AJ899" t="str">
        <f t="shared" ref="AJ899:AJ933" si="207">IF(ABS(U899-AE899)&gt;1,"Sales Mismatch","OK")</f>
        <v>OK</v>
      </c>
      <c r="AK899" t="str">
        <f t="shared" ref="AK899:AK933" si="208">IF(ABS(W899-AF899)&gt;1,"Profit Mismatch","OK")</f>
        <v>OK</v>
      </c>
      <c r="AL899" t="str">
        <f t="shared" ref="AL899:AL933" si="209">IF(AND(X899="Paid",Y899="Completed"),"Include","Exclude")</f>
        <v>Include</v>
      </c>
      <c r="AM899" t="str">
        <f t="shared" si="200"/>
        <v>Clean</v>
      </c>
    </row>
    <row r="900" spans="1:39">
      <c r="A900" t="s">
        <v>2756</v>
      </c>
      <c r="B900" s="4">
        <v>45445</v>
      </c>
      <c r="C900" s="4">
        <v>45451</v>
      </c>
      <c r="D900" s="6">
        <v>6</v>
      </c>
      <c r="E900" t="s">
        <v>2788</v>
      </c>
      <c r="F900" t="s">
        <v>2788</v>
      </c>
      <c r="G900" t="s">
        <v>2788</v>
      </c>
      <c r="H900" t="s">
        <v>2757</v>
      </c>
      <c r="I900" t="s">
        <v>71</v>
      </c>
      <c r="J900" t="s">
        <v>24</v>
      </c>
      <c r="K900" t="s">
        <v>25</v>
      </c>
      <c r="L900" t="s">
        <v>350</v>
      </c>
      <c r="M900" t="s">
        <v>351</v>
      </c>
      <c r="N900" t="s">
        <v>41</v>
      </c>
      <c r="O900" t="s">
        <v>42</v>
      </c>
      <c r="P900" t="s">
        <v>2758</v>
      </c>
      <c r="Q900" t="s">
        <v>50</v>
      </c>
      <c r="R900">
        <v>4</v>
      </c>
      <c r="S900">
        <v>1536.7</v>
      </c>
      <c r="T900">
        <v>0.2</v>
      </c>
      <c r="U900">
        <v>4917.4399999999996</v>
      </c>
      <c r="V900">
        <v>3846.77</v>
      </c>
      <c r="W900">
        <v>1070.67</v>
      </c>
      <c r="X900" t="s">
        <v>32</v>
      </c>
      <c r="Y900" t="s">
        <v>33</v>
      </c>
      <c r="Z900" t="str">
        <f t="shared" si="196"/>
        <v>Unique</v>
      </c>
      <c r="AA900" t="str">
        <f t="shared" si="197"/>
        <v>Unique</v>
      </c>
      <c r="AB900" t="str">
        <f t="shared" si="201"/>
        <v>OK</v>
      </c>
      <c r="AC900">
        <f t="shared" si="202"/>
        <v>0.2</v>
      </c>
      <c r="AD900" t="str">
        <f t="shared" si="203"/>
        <v>OK</v>
      </c>
      <c r="AE900">
        <f t="shared" si="204"/>
        <v>4917.4400000000005</v>
      </c>
      <c r="AF900">
        <f t="shared" si="205"/>
        <v>1070.6700000000005</v>
      </c>
      <c r="AG900">
        <f t="shared" si="206"/>
        <v>0.21772914361944434</v>
      </c>
      <c r="AH900" t="str">
        <f t="shared" si="198"/>
        <v>June</v>
      </c>
      <c r="AI900">
        <f t="shared" si="199"/>
        <v>2024</v>
      </c>
      <c r="AJ900" t="str">
        <f t="shared" si="207"/>
        <v>OK</v>
      </c>
      <c r="AK900" t="str">
        <f t="shared" si="208"/>
        <v>OK</v>
      </c>
      <c r="AL900" t="str">
        <f t="shared" si="209"/>
        <v>Include</v>
      </c>
      <c r="AM900" t="str">
        <f t="shared" si="200"/>
        <v>Clean</v>
      </c>
    </row>
    <row r="901" spans="1:39">
      <c r="A901" t="s">
        <v>2759</v>
      </c>
      <c r="B901" s="4">
        <v>45804</v>
      </c>
      <c r="C901" s="4">
        <v>45811</v>
      </c>
      <c r="D901" s="6">
        <v>7</v>
      </c>
      <c r="E901" t="s">
        <v>2788</v>
      </c>
      <c r="F901" t="s">
        <v>2788</v>
      </c>
      <c r="G901" t="s">
        <v>2788</v>
      </c>
      <c r="H901" t="s">
        <v>2760</v>
      </c>
      <c r="I901" t="s">
        <v>23</v>
      </c>
      <c r="J901" t="s">
        <v>24</v>
      </c>
      <c r="K901" t="s">
        <v>25</v>
      </c>
      <c r="L901" t="s">
        <v>122</v>
      </c>
      <c r="M901" t="s">
        <v>123</v>
      </c>
      <c r="N901" t="s">
        <v>41</v>
      </c>
      <c r="O901" t="s">
        <v>66</v>
      </c>
      <c r="P901" t="s">
        <v>2761</v>
      </c>
      <c r="Q901" t="s">
        <v>50</v>
      </c>
      <c r="R901">
        <v>5</v>
      </c>
      <c r="S901">
        <v>881.08</v>
      </c>
      <c r="T901">
        <v>0.25</v>
      </c>
      <c r="U901">
        <v>3304.05</v>
      </c>
      <c r="V901">
        <v>2279.41</v>
      </c>
      <c r="W901">
        <v>1024.6400000000001</v>
      </c>
      <c r="X901" t="s">
        <v>155</v>
      </c>
      <c r="Y901" t="s">
        <v>68</v>
      </c>
      <c r="Z901" t="str">
        <f t="shared" si="196"/>
        <v>Unique</v>
      </c>
      <c r="AA901" t="str">
        <f t="shared" si="197"/>
        <v>Unique</v>
      </c>
      <c r="AB901" t="str">
        <f t="shared" si="201"/>
        <v>OK</v>
      </c>
      <c r="AC901">
        <f t="shared" si="202"/>
        <v>0.25</v>
      </c>
      <c r="AD901" t="str">
        <f t="shared" si="203"/>
        <v>OK</v>
      </c>
      <c r="AE901">
        <f t="shared" si="204"/>
        <v>3304.05</v>
      </c>
      <c r="AF901">
        <f t="shared" si="205"/>
        <v>1024.6400000000003</v>
      </c>
      <c r="AG901">
        <f t="shared" si="206"/>
        <v>0.31011637233092726</v>
      </c>
      <c r="AH901" t="str">
        <f t="shared" si="198"/>
        <v>May</v>
      </c>
      <c r="AI901">
        <f t="shared" si="199"/>
        <v>2025</v>
      </c>
      <c r="AJ901" t="str">
        <f t="shared" si="207"/>
        <v>OK</v>
      </c>
      <c r="AK901" t="str">
        <f t="shared" si="208"/>
        <v>OK</v>
      </c>
      <c r="AL901" t="str">
        <f t="shared" si="209"/>
        <v>Exclude</v>
      </c>
      <c r="AM901" t="str">
        <f t="shared" si="200"/>
        <v>Clean</v>
      </c>
    </row>
    <row r="902" spans="1:39">
      <c r="A902" t="s">
        <v>1605</v>
      </c>
      <c r="B902" s="4">
        <v>45383</v>
      </c>
      <c r="C902" s="4">
        <v>45391</v>
      </c>
      <c r="D902" s="6">
        <v>8</v>
      </c>
      <c r="E902" t="s">
        <v>2788</v>
      </c>
      <c r="F902" t="s">
        <v>2788</v>
      </c>
      <c r="G902" t="s">
        <v>2788</v>
      </c>
      <c r="H902" t="s">
        <v>1606</v>
      </c>
      <c r="I902" t="s">
        <v>114</v>
      </c>
      <c r="J902" t="s">
        <v>37</v>
      </c>
      <c r="K902" t="s">
        <v>38</v>
      </c>
      <c r="L902" t="s">
        <v>39</v>
      </c>
      <c r="M902" t="s">
        <v>40</v>
      </c>
      <c r="N902" t="s">
        <v>74</v>
      </c>
      <c r="O902" t="s">
        <v>80</v>
      </c>
      <c r="P902" t="s">
        <v>1607</v>
      </c>
      <c r="Q902" t="s">
        <v>31</v>
      </c>
      <c r="R902">
        <v>6</v>
      </c>
      <c r="S902">
        <v>826.93</v>
      </c>
      <c r="T902">
        <v>0.1</v>
      </c>
      <c r="U902">
        <v>4465.42</v>
      </c>
      <c r="V902">
        <v>3377.1</v>
      </c>
      <c r="W902">
        <v>1088.32</v>
      </c>
      <c r="X902" t="s">
        <v>32</v>
      </c>
      <c r="Y902" t="s">
        <v>33</v>
      </c>
      <c r="Z902" t="str">
        <f t="shared" si="196"/>
        <v>Exact Duplicate</v>
      </c>
      <c r="AA902" t="str">
        <f t="shared" si="197"/>
        <v>Duplicate Order ID</v>
      </c>
      <c r="AB902" t="str">
        <f t="shared" si="201"/>
        <v>OK</v>
      </c>
      <c r="AC902">
        <f t="shared" si="202"/>
        <v>0.1</v>
      </c>
      <c r="AD902" t="str">
        <f t="shared" si="203"/>
        <v>OK</v>
      </c>
      <c r="AE902">
        <f t="shared" si="204"/>
        <v>4465.4220000000005</v>
      </c>
      <c r="AF902">
        <f t="shared" si="205"/>
        <v>1088.3220000000006</v>
      </c>
      <c r="AG902">
        <f t="shared" si="206"/>
        <v>0.24372209390288319</v>
      </c>
      <c r="AH902" t="str">
        <f t="shared" si="198"/>
        <v>April</v>
      </c>
      <c r="AI902">
        <f t="shared" si="199"/>
        <v>2024</v>
      </c>
      <c r="AJ902" t="str">
        <f t="shared" si="207"/>
        <v>OK</v>
      </c>
      <c r="AK902" t="str">
        <f t="shared" si="208"/>
        <v>OK</v>
      </c>
      <c r="AL902" t="str">
        <f t="shared" si="209"/>
        <v>Include</v>
      </c>
      <c r="AM902" t="str">
        <f t="shared" si="200"/>
        <v>Clean</v>
      </c>
    </row>
    <row r="903" spans="1:39">
      <c r="A903" t="s">
        <v>1887</v>
      </c>
      <c r="B903" s="4">
        <v>45521</v>
      </c>
      <c r="C903" s="4">
        <v>45528</v>
      </c>
      <c r="D903" s="6">
        <v>7</v>
      </c>
      <c r="E903" t="s">
        <v>2788</v>
      </c>
      <c r="F903" t="s">
        <v>2788</v>
      </c>
      <c r="G903" t="s">
        <v>2788</v>
      </c>
      <c r="H903" t="s">
        <v>1888</v>
      </c>
      <c r="I903" t="s">
        <v>62</v>
      </c>
      <c r="J903" t="s">
        <v>90</v>
      </c>
      <c r="K903" t="s">
        <v>38</v>
      </c>
      <c r="L903" t="s">
        <v>99</v>
      </c>
      <c r="M903" t="s">
        <v>100</v>
      </c>
      <c r="N903" t="s">
        <v>74</v>
      </c>
      <c r="O903" t="s">
        <v>80</v>
      </c>
      <c r="P903" t="s">
        <v>1889</v>
      </c>
      <c r="Q903" t="s">
        <v>44</v>
      </c>
      <c r="R903">
        <v>3</v>
      </c>
      <c r="S903">
        <v>1490.69</v>
      </c>
      <c r="T903">
        <v>0.25</v>
      </c>
      <c r="U903">
        <v>3354.05</v>
      </c>
      <c r="V903">
        <v>2672.67</v>
      </c>
      <c r="W903">
        <v>681.38</v>
      </c>
      <c r="X903" t="s">
        <v>32</v>
      </c>
      <c r="Y903" t="s">
        <v>33</v>
      </c>
      <c r="Z903" t="str">
        <f t="shared" si="196"/>
        <v>Exact Duplicate</v>
      </c>
      <c r="AA903" t="str">
        <f t="shared" si="197"/>
        <v>Duplicate Order ID</v>
      </c>
      <c r="AB903" t="str">
        <f t="shared" si="201"/>
        <v>OK</v>
      </c>
      <c r="AC903">
        <f t="shared" si="202"/>
        <v>0.25</v>
      </c>
      <c r="AD903" t="str">
        <f t="shared" si="203"/>
        <v>OK</v>
      </c>
      <c r="AE903">
        <f t="shared" si="204"/>
        <v>3354.0524999999998</v>
      </c>
      <c r="AF903">
        <f t="shared" si="205"/>
        <v>681.38249999999971</v>
      </c>
      <c r="AG903">
        <f t="shared" si="206"/>
        <v>0.20315200790685289</v>
      </c>
      <c r="AH903" t="str">
        <f t="shared" si="198"/>
        <v>August</v>
      </c>
      <c r="AI903">
        <f t="shared" si="199"/>
        <v>2024</v>
      </c>
      <c r="AJ903" t="str">
        <f t="shared" si="207"/>
        <v>OK</v>
      </c>
      <c r="AK903" t="str">
        <f t="shared" si="208"/>
        <v>OK</v>
      </c>
      <c r="AL903" t="str">
        <f t="shared" si="209"/>
        <v>Include</v>
      </c>
      <c r="AM903" t="str">
        <f t="shared" si="200"/>
        <v>Clean</v>
      </c>
    </row>
    <row r="904" spans="1:39">
      <c r="A904" t="s">
        <v>2164</v>
      </c>
      <c r="B904" s="4">
        <v>45870</v>
      </c>
      <c r="C904" s="4">
        <v>45878</v>
      </c>
      <c r="D904" s="6">
        <v>8</v>
      </c>
      <c r="E904" t="s">
        <v>2788</v>
      </c>
      <c r="F904" t="s">
        <v>2788</v>
      </c>
      <c r="G904" t="s">
        <v>2788</v>
      </c>
      <c r="H904" t="s">
        <v>1137</v>
      </c>
      <c r="I904" t="s">
        <v>47</v>
      </c>
      <c r="J904" t="s">
        <v>24</v>
      </c>
      <c r="K904" t="s">
        <v>54</v>
      </c>
      <c r="L904" t="s">
        <v>84</v>
      </c>
      <c r="M904" t="s">
        <v>85</v>
      </c>
      <c r="N904" t="s">
        <v>28</v>
      </c>
      <c r="O904" t="s">
        <v>124</v>
      </c>
      <c r="P904" t="s">
        <v>2165</v>
      </c>
      <c r="Q904" t="s">
        <v>50</v>
      </c>
      <c r="R904">
        <v>5</v>
      </c>
      <c r="S904">
        <v>2736.24</v>
      </c>
      <c r="T904">
        <v>0.15</v>
      </c>
      <c r="U904">
        <v>11629.02</v>
      </c>
      <c r="V904">
        <v>9627.2099999999991</v>
      </c>
      <c r="W904">
        <v>2001.81</v>
      </c>
      <c r="X904" t="s">
        <v>32</v>
      </c>
      <c r="Y904" t="s">
        <v>33</v>
      </c>
      <c r="Z904" t="str">
        <f t="shared" si="196"/>
        <v>Exact Duplicate</v>
      </c>
      <c r="AA904" t="str">
        <f t="shared" si="197"/>
        <v>Duplicate Order ID</v>
      </c>
      <c r="AB904" t="str">
        <f t="shared" si="201"/>
        <v>OK</v>
      </c>
      <c r="AC904">
        <f t="shared" si="202"/>
        <v>0.15</v>
      </c>
      <c r="AD904" t="str">
        <f t="shared" si="203"/>
        <v>OK</v>
      </c>
      <c r="AE904">
        <f t="shared" si="204"/>
        <v>11629.019999999999</v>
      </c>
      <c r="AF904">
        <f t="shared" si="205"/>
        <v>2001.8099999999995</v>
      </c>
      <c r="AG904">
        <f t="shared" si="206"/>
        <v>0.17213918283741877</v>
      </c>
      <c r="AH904" t="str">
        <f t="shared" si="198"/>
        <v>August</v>
      </c>
      <c r="AI904">
        <f t="shared" si="199"/>
        <v>2025</v>
      </c>
      <c r="AJ904" t="str">
        <f t="shared" si="207"/>
        <v>OK</v>
      </c>
      <c r="AK904" t="str">
        <f t="shared" si="208"/>
        <v>OK</v>
      </c>
      <c r="AL904" t="str">
        <f t="shared" si="209"/>
        <v>Include</v>
      </c>
      <c r="AM904" t="str">
        <f t="shared" si="200"/>
        <v>Clean</v>
      </c>
    </row>
    <row r="905" spans="1:39">
      <c r="A905" t="s">
        <v>2193</v>
      </c>
      <c r="B905" s="4">
        <v>45364</v>
      </c>
      <c r="C905" s="4">
        <v>45371</v>
      </c>
      <c r="D905" s="6">
        <v>7</v>
      </c>
      <c r="E905" t="s">
        <v>2788</v>
      </c>
      <c r="F905" t="s">
        <v>2788</v>
      </c>
      <c r="G905" t="s">
        <v>2788</v>
      </c>
      <c r="H905" t="s">
        <v>2194</v>
      </c>
      <c r="I905" t="s">
        <v>114</v>
      </c>
      <c r="J905" t="s">
        <v>95</v>
      </c>
      <c r="K905" t="s">
        <v>54</v>
      </c>
      <c r="L905" t="s">
        <v>247</v>
      </c>
      <c r="M905" t="s">
        <v>248</v>
      </c>
      <c r="N905" t="s">
        <v>41</v>
      </c>
      <c r="O905" t="s">
        <v>158</v>
      </c>
      <c r="P905" t="s">
        <v>2195</v>
      </c>
      <c r="Q905" t="s">
        <v>2783</v>
      </c>
      <c r="R905">
        <v>1</v>
      </c>
      <c r="S905">
        <v>2825.63</v>
      </c>
      <c r="T905">
        <v>0.15</v>
      </c>
      <c r="U905">
        <v>2401.79</v>
      </c>
      <c r="V905">
        <v>1820.34</v>
      </c>
      <c r="W905">
        <v>581.45000000000005</v>
      </c>
      <c r="X905" t="s">
        <v>32</v>
      </c>
      <c r="Y905" t="s">
        <v>33</v>
      </c>
      <c r="Z905" t="str">
        <f t="shared" si="196"/>
        <v>Exact Duplicate</v>
      </c>
      <c r="AA905" t="str">
        <f t="shared" si="197"/>
        <v>Duplicate Order ID</v>
      </c>
      <c r="AB905" t="str">
        <f t="shared" si="201"/>
        <v>OK</v>
      </c>
      <c r="AC905">
        <f t="shared" si="202"/>
        <v>0.15</v>
      </c>
      <c r="AD905" t="str">
        <f t="shared" si="203"/>
        <v>OK</v>
      </c>
      <c r="AE905">
        <f t="shared" si="204"/>
        <v>2401.7855</v>
      </c>
      <c r="AF905">
        <f t="shared" si="205"/>
        <v>581.44550000000004</v>
      </c>
      <c r="AG905">
        <f t="shared" si="206"/>
        <v>0.24208885431276025</v>
      </c>
      <c r="AH905" t="str">
        <f t="shared" si="198"/>
        <v>March</v>
      </c>
      <c r="AI905">
        <f t="shared" si="199"/>
        <v>2024</v>
      </c>
      <c r="AJ905" t="str">
        <f t="shared" si="207"/>
        <v>OK</v>
      </c>
      <c r="AK905" t="str">
        <f t="shared" si="208"/>
        <v>OK</v>
      </c>
      <c r="AL905" t="str">
        <f t="shared" si="209"/>
        <v>Include</v>
      </c>
      <c r="AM905" t="str">
        <f t="shared" si="200"/>
        <v>Clean</v>
      </c>
    </row>
    <row r="906" spans="1:39">
      <c r="A906" t="s">
        <v>935</v>
      </c>
      <c r="B906" s="4">
        <v>45313</v>
      </c>
      <c r="C906" s="4">
        <v>45314</v>
      </c>
      <c r="D906" s="6">
        <v>1</v>
      </c>
      <c r="E906" t="s">
        <v>2788</v>
      </c>
      <c r="F906" t="s">
        <v>2788</v>
      </c>
      <c r="G906" t="s">
        <v>2788</v>
      </c>
      <c r="H906" t="s">
        <v>936</v>
      </c>
      <c r="I906" t="s">
        <v>128</v>
      </c>
      <c r="J906" t="s">
        <v>37</v>
      </c>
      <c r="K906" t="s">
        <v>2783</v>
      </c>
      <c r="L906" t="s">
        <v>166</v>
      </c>
      <c r="M906" t="s">
        <v>167</v>
      </c>
      <c r="N906" t="s">
        <v>41</v>
      </c>
      <c r="O906" t="s">
        <v>66</v>
      </c>
      <c r="P906" t="s">
        <v>937</v>
      </c>
      <c r="Q906" t="s">
        <v>31</v>
      </c>
      <c r="R906">
        <v>6</v>
      </c>
      <c r="S906">
        <v>3391.53</v>
      </c>
      <c r="T906">
        <v>-0.14000000000000001</v>
      </c>
      <c r="U906">
        <v>15261.89</v>
      </c>
      <c r="V906">
        <v>8413.5300000000007</v>
      </c>
      <c r="W906">
        <v>6848.36</v>
      </c>
      <c r="X906" t="s">
        <v>32</v>
      </c>
      <c r="Y906" t="s">
        <v>33</v>
      </c>
      <c r="Z906" t="str">
        <f t="shared" si="196"/>
        <v>Exact Duplicate</v>
      </c>
      <c r="AA906" t="str">
        <f t="shared" si="197"/>
        <v>Duplicate Order ID</v>
      </c>
      <c r="AB906" t="str">
        <f t="shared" si="201"/>
        <v>OK</v>
      </c>
      <c r="AC906">
        <f t="shared" si="202"/>
        <v>-0.14000000000000001</v>
      </c>
      <c r="AD906" t="str">
        <f t="shared" si="203"/>
        <v>Invalid Negative Discount</v>
      </c>
      <c r="AE906">
        <f t="shared" si="204"/>
        <v>23198.065200000005</v>
      </c>
      <c r="AF906">
        <f t="shared" si="205"/>
        <v>14784.535200000004</v>
      </c>
      <c r="AG906">
        <f t="shared" si="206"/>
        <v>0.63731759836591895</v>
      </c>
      <c r="AH906" t="str">
        <f t="shared" si="198"/>
        <v>January</v>
      </c>
      <c r="AI906">
        <f t="shared" si="199"/>
        <v>2024</v>
      </c>
      <c r="AJ906" t="str">
        <f t="shared" si="207"/>
        <v>Sales Mismatch</v>
      </c>
      <c r="AK906" t="str">
        <f t="shared" si="208"/>
        <v>Profit Mismatch</v>
      </c>
      <c r="AL906" t="str">
        <f t="shared" si="209"/>
        <v>Include</v>
      </c>
      <c r="AM906" t="str">
        <f t="shared" si="200"/>
        <v>Invalid</v>
      </c>
    </row>
    <row r="907" spans="1:39">
      <c r="A907" t="s">
        <v>1986</v>
      </c>
      <c r="B907" s="4">
        <v>45762</v>
      </c>
      <c r="C907" s="4">
        <v>45763</v>
      </c>
      <c r="D907" s="6">
        <v>1</v>
      </c>
      <c r="E907" t="s">
        <v>2788</v>
      </c>
      <c r="F907" t="s">
        <v>2788</v>
      </c>
      <c r="G907" t="s">
        <v>2788</v>
      </c>
      <c r="H907" t="s">
        <v>1987</v>
      </c>
      <c r="I907" t="s">
        <v>132</v>
      </c>
      <c r="J907" t="s">
        <v>37</v>
      </c>
      <c r="K907" t="s">
        <v>54</v>
      </c>
      <c r="L907" t="s">
        <v>175</v>
      </c>
      <c r="M907" t="s">
        <v>176</v>
      </c>
      <c r="N907" t="s">
        <v>41</v>
      </c>
      <c r="O907" t="s">
        <v>57</v>
      </c>
      <c r="P907" t="s">
        <v>1988</v>
      </c>
      <c r="Q907" t="s">
        <v>50</v>
      </c>
      <c r="R907">
        <v>5</v>
      </c>
      <c r="S907">
        <v>2850.53</v>
      </c>
      <c r="T907">
        <v>0</v>
      </c>
      <c r="U907">
        <v>14252.65</v>
      </c>
      <c r="V907">
        <v>11558.31</v>
      </c>
      <c r="W907">
        <v>2694.34</v>
      </c>
      <c r="X907" t="s">
        <v>32</v>
      </c>
      <c r="Y907" t="s">
        <v>33</v>
      </c>
      <c r="Z907" t="str">
        <f t="shared" si="196"/>
        <v>Exact Duplicate</v>
      </c>
      <c r="AA907" t="str">
        <f t="shared" si="197"/>
        <v>Duplicate Order ID</v>
      </c>
      <c r="AB907" t="str">
        <f t="shared" si="201"/>
        <v>OK</v>
      </c>
      <c r="AC907">
        <f t="shared" si="202"/>
        <v>0</v>
      </c>
      <c r="AD907" t="str">
        <f t="shared" si="203"/>
        <v>OK</v>
      </c>
      <c r="AE907">
        <f t="shared" si="204"/>
        <v>14252.650000000001</v>
      </c>
      <c r="AF907">
        <f t="shared" si="205"/>
        <v>2694.340000000002</v>
      </c>
      <c r="AG907">
        <f t="shared" si="206"/>
        <v>0.18904133617257154</v>
      </c>
      <c r="AH907" t="str">
        <f t="shared" si="198"/>
        <v>April</v>
      </c>
      <c r="AI907">
        <f t="shared" si="199"/>
        <v>2025</v>
      </c>
      <c r="AJ907" t="str">
        <f t="shared" si="207"/>
        <v>OK</v>
      </c>
      <c r="AK907" t="str">
        <f t="shared" si="208"/>
        <v>OK</v>
      </c>
      <c r="AL907" t="str">
        <f t="shared" si="209"/>
        <v>Include</v>
      </c>
      <c r="AM907" t="str">
        <f t="shared" si="200"/>
        <v>Clean</v>
      </c>
    </row>
    <row r="908" spans="1:39">
      <c r="A908" t="s">
        <v>2266</v>
      </c>
      <c r="B908" s="4">
        <v>45794</v>
      </c>
      <c r="C908" s="4">
        <v>45802</v>
      </c>
      <c r="D908" s="6">
        <v>8</v>
      </c>
      <c r="E908" t="s">
        <v>2788</v>
      </c>
      <c r="F908" t="s">
        <v>2788</v>
      </c>
      <c r="G908" t="s">
        <v>2788</v>
      </c>
      <c r="H908" t="s">
        <v>2267</v>
      </c>
      <c r="I908" t="s">
        <v>62</v>
      </c>
      <c r="J908" t="s">
        <v>90</v>
      </c>
      <c r="K908" t="s">
        <v>54</v>
      </c>
      <c r="L908" t="s">
        <v>247</v>
      </c>
      <c r="M908" t="s">
        <v>248</v>
      </c>
      <c r="N908" t="s">
        <v>74</v>
      </c>
      <c r="O908" t="s">
        <v>274</v>
      </c>
      <c r="P908" t="s">
        <v>2268</v>
      </c>
      <c r="Q908" t="s">
        <v>44</v>
      </c>
      <c r="R908">
        <v>6</v>
      </c>
      <c r="S908">
        <v>1810.63</v>
      </c>
      <c r="T908">
        <v>0.15</v>
      </c>
      <c r="U908">
        <v>9234.2099999999991</v>
      </c>
      <c r="V908">
        <v>5516.52</v>
      </c>
      <c r="W908">
        <v>3717.69</v>
      </c>
      <c r="X908" t="s">
        <v>32</v>
      </c>
      <c r="Y908" t="s">
        <v>33</v>
      </c>
      <c r="Z908" t="str">
        <f t="shared" si="196"/>
        <v>Exact Duplicate</v>
      </c>
      <c r="AA908" t="str">
        <f t="shared" si="197"/>
        <v>Duplicate Order ID</v>
      </c>
      <c r="AB908" t="str">
        <f t="shared" si="201"/>
        <v>OK</v>
      </c>
      <c r="AC908">
        <f t="shared" si="202"/>
        <v>0.15</v>
      </c>
      <c r="AD908" t="str">
        <f t="shared" si="203"/>
        <v>OK</v>
      </c>
      <c r="AE908">
        <f t="shared" si="204"/>
        <v>9234.2129999999997</v>
      </c>
      <c r="AF908">
        <f t="shared" si="205"/>
        <v>3717.6929999999993</v>
      </c>
      <c r="AG908">
        <f t="shared" si="206"/>
        <v>0.40259987505161504</v>
      </c>
      <c r="AH908" t="str">
        <f t="shared" si="198"/>
        <v>May</v>
      </c>
      <c r="AI908">
        <f t="shared" si="199"/>
        <v>2025</v>
      </c>
      <c r="AJ908" t="str">
        <f t="shared" si="207"/>
        <v>OK</v>
      </c>
      <c r="AK908" t="str">
        <f t="shared" si="208"/>
        <v>OK</v>
      </c>
      <c r="AL908" t="str">
        <f t="shared" si="209"/>
        <v>Include</v>
      </c>
      <c r="AM908" t="str">
        <f t="shared" si="200"/>
        <v>Clean</v>
      </c>
    </row>
    <row r="909" spans="1:39">
      <c r="A909" t="s">
        <v>509</v>
      </c>
      <c r="B909" s="4">
        <v>45639</v>
      </c>
      <c r="C909" s="4">
        <v>45644</v>
      </c>
      <c r="D909" s="6">
        <v>5</v>
      </c>
      <c r="E909" t="s">
        <v>2788</v>
      </c>
      <c r="F909" t="s">
        <v>2788</v>
      </c>
      <c r="G909" t="s">
        <v>2788</v>
      </c>
      <c r="H909" t="s">
        <v>510</v>
      </c>
      <c r="I909" t="s">
        <v>23</v>
      </c>
      <c r="J909" t="s">
        <v>24</v>
      </c>
      <c r="K909" t="s">
        <v>63</v>
      </c>
      <c r="L909" t="s">
        <v>190</v>
      </c>
      <c r="M909" t="s">
        <v>191</v>
      </c>
      <c r="N909" t="s">
        <v>74</v>
      </c>
      <c r="O909" t="s">
        <v>171</v>
      </c>
      <c r="P909" t="s">
        <v>511</v>
      </c>
      <c r="Q909" t="s">
        <v>31</v>
      </c>
      <c r="R909">
        <v>8</v>
      </c>
      <c r="S909">
        <v>3372.15</v>
      </c>
      <c r="T909">
        <v>0.15</v>
      </c>
      <c r="U909">
        <v>22930.62</v>
      </c>
      <c r="V909">
        <v>16875.55</v>
      </c>
      <c r="W909">
        <v>6055.07</v>
      </c>
      <c r="X909" t="s">
        <v>32</v>
      </c>
      <c r="Y909" t="s">
        <v>33</v>
      </c>
      <c r="Z909" t="str">
        <f t="shared" si="196"/>
        <v>Exact Duplicate</v>
      </c>
      <c r="AA909" t="str">
        <f t="shared" si="197"/>
        <v>Duplicate Order ID</v>
      </c>
      <c r="AB909" t="str">
        <f t="shared" si="201"/>
        <v>OK</v>
      </c>
      <c r="AC909">
        <f t="shared" si="202"/>
        <v>0.15</v>
      </c>
      <c r="AD909" t="str">
        <f t="shared" si="203"/>
        <v>OK</v>
      </c>
      <c r="AE909">
        <f t="shared" si="204"/>
        <v>22930.62</v>
      </c>
      <c r="AF909">
        <f t="shared" si="205"/>
        <v>6055.07</v>
      </c>
      <c r="AG909">
        <f t="shared" si="206"/>
        <v>0.26406045715292475</v>
      </c>
      <c r="AH909" t="str">
        <f t="shared" si="198"/>
        <v>December</v>
      </c>
      <c r="AI909">
        <f t="shared" si="199"/>
        <v>2024</v>
      </c>
      <c r="AJ909" t="str">
        <f t="shared" si="207"/>
        <v>OK</v>
      </c>
      <c r="AK909" t="str">
        <f t="shared" si="208"/>
        <v>OK</v>
      </c>
      <c r="AL909" t="str">
        <f t="shared" si="209"/>
        <v>Include</v>
      </c>
      <c r="AM909" t="str">
        <f t="shared" si="200"/>
        <v>Clean</v>
      </c>
    </row>
    <row r="910" spans="1:39">
      <c r="A910" t="s">
        <v>2237</v>
      </c>
      <c r="B910" s="4">
        <v>45908</v>
      </c>
      <c r="C910" s="4">
        <v>45909</v>
      </c>
      <c r="D910" s="6">
        <v>1</v>
      </c>
      <c r="E910" t="s">
        <v>2788</v>
      </c>
      <c r="F910" t="s">
        <v>2788</v>
      </c>
      <c r="G910" t="s">
        <v>2788</v>
      </c>
      <c r="H910" t="s">
        <v>144</v>
      </c>
      <c r="I910" t="s">
        <v>264</v>
      </c>
      <c r="J910" t="s">
        <v>90</v>
      </c>
      <c r="K910" t="s">
        <v>63</v>
      </c>
      <c r="L910" t="s">
        <v>180</v>
      </c>
      <c r="M910" t="s">
        <v>181</v>
      </c>
      <c r="N910" t="s">
        <v>28</v>
      </c>
      <c r="O910" t="s">
        <v>48</v>
      </c>
      <c r="P910" t="s">
        <v>2238</v>
      </c>
      <c r="Q910" t="s">
        <v>44</v>
      </c>
      <c r="R910">
        <v>2</v>
      </c>
      <c r="S910">
        <v>2372.41</v>
      </c>
      <c r="T910">
        <v>0.2</v>
      </c>
      <c r="U910">
        <v>3795.86</v>
      </c>
      <c r="V910">
        <v>2264.92</v>
      </c>
      <c r="W910">
        <v>1530.94</v>
      </c>
      <c r="X910" t="s">
        <v>32</v>
      </c>
      <c r="Y910" t="s">
        <v>33</v>
      </c>
      <c r="Z910" t="str">
        <f t="shared" si="196"/>
        <v>Exact Duplicate</v>
      </c>
      <c r="AA910" t="str">
        <f t="shared" si="197"/>
        <v>Duplicate Order ID</v>
      </c>
      <c r="AB910" t="str">
        <f t="shared" si="201"/>
        <v>OK</v>
      </c>
      <c r="AC910">
        <f t="shared" si="202"/>
        <v>0.2</v>
      </c>
      <c r="AD910" t="str">
        <f t="shared" si="203"/>
        <v>OK</v>
      </c>
      <c r="AE910">
        <f t="shared" si="204"/>
        <v>3795.8559999999998</v>
      </c>
      <c r="AF910">
        <f t="shared" si="205"/>
        <v>1530.9359999999997</v>
      </c>
      <c r="AG910">
        <f t="shared" si="206"/>
        <v>0.40331772332775528</v>
      </c>
      <c r="AH910" t="str">
        <f t="shared" si="198"/>
        <v>September</v>
      </c>
      <c r="AI910">
        <f t="shared" si="199"/>
        <v>2025</v>
      </c>
      <c r="AJ910" t="str">
        <f t="shared" si="207"/>
        <v>OK</v>
      </c>
      <c r="AK910" t="str">
        <f t="shared" si="208"/>
        <v>OK</v>
      </c>
      <c r="AL910" t="str">
        <f t="shared" si="209"/>
        <v>Include</v>
      </c>
      <c r="AM910" t="str">
        <f t="shared" si="200"/>
        <v>Clean</v>
      </c>
    </row>
    <row r="911" spans="1:39">
      <c r="A911" t="s">
        <v>1299</v>
      </c>
      <c r="B911" s="4">
        <v>45771</v>
      </c>
      <c r="C911" s="4">
        <v>45776</v>
      </c>
      <c r="D911" s="6">
        <v>5</v>
      </c>
      <c r="E911" t="s">
        <v>2788</v>
      </c>
      <c r="F911" t="s">
        <v>2788</v>
      </c>
      <c r="G911" t="s">
        <v>2788</v>
      </c>
      <c r="H911" t="s">
        <v>1300</v>
      </c>
      <c r="I911" t="s">
        <v>162</v>
      </c>
      <c r="J911" t="s">
        <v>37</v>
      </c>
      <c r="K911" t="s">
        <v>54</v>
      </c>
      <c r="L911" t="s">
        <v>84</v>
      </c>
      <c r="M911" t="s">
        <v>85</v>
      </c>
      <c r="N911" t="s">
        <v>28</v>
      </c>
      <c r="O911" t="s">
        <v>29</v>
      </c>
      <c r="P911" t="s">
        <v>1301</v>
      </c>
      <c r="Q911" t="s">
        <v>44</v>
      </c>
      <c r="R911">
        <v>1</v>
      </c>
      <c r="S911">
        <v>4358.5</v>
      </c>
      <c r="T911">
        <v>0.25</v>
      </c>
      <c r="U911">
        <v>3268.88</v>
      </c>
      <c r="V911">
        <v>1993.74</v>
      </c>
      <c r="W911">
        <v>1275.1400000000001</v>
      </c>
      <c r="X911" t="s">
        <v>32</v>
      </c>
      <c r="Y911" t="s">
        <v>33</v>
      </c>
      <c r="Z911" t="str">
        <f t="shared" si="196"/>
        <v>Exact Duplicate</v>
      </c>
      <c r="AA911" t="str">
        <f t="shared" si="197"/>
        <v>Duplicate Order ID</v>
      </c>
      <c r="AB911" t="str">
        <f t="shared" si="201"/>
        <v>OK</v>
      </c>
      <c r="AC911">
        <f t="shared" si="202"/>
        <v>0.25</v>
      </c>
      <c r="AD911" t="str">
        <f t="shared" si="203"/>
        <v>OK</v>
      </c>
      <c r="AE911">
        <f t="shared" si="204"/>
        <v>3268.875</v>
      </c>
      <c r="AF911">
        <f t="shared" si="205"/>
        <v>1275.135</v>
      </c>
      <c r="AG911">
        <f t="shared" si="206"/>
        <v>0.39008374440747962</v>
      </c>
      <c r="AH911" t="str">
        <f t="shared" si="198"/>
        <v>April</v>
      </c>
      <c r="AI911">
        <f t="shared" si="199"/>
        <v>2025</v>
      </c>
      <c r="AJ911" t="str">
        <f t="shared" si="207"/>
        <v>OK</v>
      </c>
      <c r="AK911" t="str">
        <f t="shared" si="208"/>
        <v>OK</v>
      </c>
      <c r="AL911" t="str">
        <f t="shared" si="209"/>
        <v>Include</v>
      </c>
      <c r="AM911" t="str">
        <f t="shared" si="200"/>
        <v>Clean</v>
      </c>
    </row>
    <row r="912" spans="1:39">
      <c r="A912" t="s">
        <v>479</v>
      </c>
      <c r="B912" s="4">
        <v>45436</v>
      </c>
      <c r="C912" s="4">
        <v>45437</v>
      </c>
      <c r="D912" s="6">
        <v>1</v>
      </c>
      <c r="E912" t="s">
        <v>2788</v>
      </c>
      <c r="F912" t="s">
        <v>2788</v>
      </c>
      <c r="G912" t="s">
        <v>2788</v>
      </c>
      <c r="H912" t="s">
        <v>480</v>
      </c>
      <c r="I912" t="s">
        <v>132</v>
      </c>
      <c r="J912" t="s">
        <v>37</v>
      </c>
      <c r="K912" t="s">
        <v>25</v>
      </c>
      <c r="L912" t="s">
        <v>122</v>
      </c>
      <c r="M912" t="s">
        <v>123</v>
      </c>
      <c r="N912" t="s">
        <v>74</v>
      </c>
      <c r="O912" t="s">
        <v>80</v>
      </c>
      <c r="P912" t="s">
        <v>481</v>
      </c>
      <c r="Q912" t="s">
        <v>44</v>
      </c>
      <c r="R912">
        <v>1</v>
      </c>
      <c r="S912">
        <v>634.13</v>
      </c>
      <c r="T912">
        <v>0</v>
      </c>
      <c r="U912">
        <v>634.13</v>
      </c>
      <c r="V912">
        <v>453.35</v>
      </c>
      <c r="W912">
        <v>180.78</v>
      </c>
      <c r="X912" t="s">
        <v>102</v>
      </c>
      <c r="Y912" t="s">
        <v>68</v>
      </c>
      <c r="Z912" t="str">
        <f t="shared" si="196"/>
        <v>Exact Duplicate</v>
      </c>
      <c r="AA912" t="str">
        <f t="shared" si="197"/>
        <v>Duplicate Order ID</v>
      </c>
      <c r="AB912" t="str">
        <f t="shared" si="201"/>
        <v>OK</v>
      </c>
      <c r="AC912">
        <f t="shared" si="202"/>
        <v>0</v>
      </c>
      <c r="AD912" t="str">
        <f t="shared" si="203"/>
        <v>OK</v>
      </c>
      <c r="AE912">
        <f t="shared" si="204"/>
        <v>634.13</v>
      </c>
      <c r="AF912">
        <f t="shared" si="205"/>
        <v>180.77999999999997</v>
      </c>
      <c r="AG912">
        <f t="shared" si="206"/>
        <v>0.28508350022865969</v>
      </c>
      <c r="AH912" t="str">
        <f t="shared" si="198"/>
        <v>May</v>
      </c>
      <c r="AI912">
        <f t="shared" si="199"/>
        <v>2024</v>
      </c>
      <c r="AJ912" t="str">
        <f t="shared" si="207"/>
        <v>OK</v>
      </c>
      <c r="AK912" t="str">
        <f t="shared" si="208"/>
        <v>OK</v>
      </c>
      <c r="AL912" t="str">
        <f t="shared" si="209"/>
        <v>Exclude</v>
      </c>
      <c r="AM912" t="str">
        <f t="shared" si="200"/>
        <v>Clean</v>
      </c>
    </row>
    <row r="913" spans="1:39">
      <c r="A913" t="s">
        <v>858</v>
      </c>
      <c r="B913" s="4">
        <v>45343</v>
      </c>
      <c r="C913" s="4">
        <v>45349</v>
      </c>
      <c r="D913" s="6">
        <v>6</v>
      </c>
      <c r="E913" t="s">
        <v>2788</v>
      </c>
      <c r="F913" t="s">
        <v>2788</v>
      </c>
      <c r="G913" t="s">
        <v>2788</v>
      </c>
      <c r="H913" t="s">
        <v>859</v>
      </c>
      <c r="I913" t="s">
        <v>53</v>
      </c>
      <c r="J913" t="s">
        <v>37</v>
      </c>
      <c r="K913" t="s">
        <v>38</v>
      </c>
      <c r="L913" t="s">
        <v>99</v>
      </c>
      <c r="M913" t="s">
        <v>100</v>
      </c>
      <c r="N913" t="s">
        <v>41</v>
      </c>
      <c r="O913" t="s">
        <v>57</v>
      </c>
      <c r="P913" t="s">
        <v>860</v>
      </c>
      <c r="Q913" t="s">
        <v>59</v>
      </c>
      <c r="R913">
        <v>5</v>
      </c>
      <c r="S913">
        <v>3373.86</v>
      </c>
      <c r="T913">
        <v>0.15</v>
      </c>
      <c r="U913">
        <v>14338.9</v>
      </c>
      <c r="V913">
        <v>11897.65</v>
      </c>
      <c r="W913">
        <v>2441.25</v>
      </c>
      <c r="X913" t="s">
        <v>111</v>
      </c>
      <c r="Y913" t="s">
        <v>103</v>
      </c>
      <c r="Z913" t="str">
        <f t="shared" si="196"/>
        <v>Exact Duplicate</v>
      </c>
      <c r="AA913" t="str">
        <f t="shared" si="197"/>
        <v>Duplicate Order ID</v>
      </c>
      <c r="AB913" t="str">
        <f t="shared" si="201"/>
        <v>OK</v>
      </c>
      <c r="AC913">
        <f t="shared" si="202"/>
        <v>0.15</v>
      </c>
      <c r="AD913" t="str">
        <f t="shared" si="203"/>
        <v>OK</v>
      </c>
      <c r="AE913">
        <f t="shared" si="204"/>
        <v>14338.904999999999</v>
      </c>
      <c r="AF913">
        <f t="shared" si="205"/>
        <v>2441.2549999999992</v>
      </c>
      <c r="AG913">
        <f t="shared" si="206"/>
        <v>0.17025393501107647</v>
      </c>
      <c r="AH913" t="str">
        <f t="shared" si="198"/>
        <v>February</v>
      </c>
      <c r="AI913">
        <f t="shared" si="199"/>
        <v>2024</v>
      </c>
      <c r="AJ913" t="str">
        <f t="shared" si="207"/>
        <v>OK</v>
      </c>
      <c r="AK913" t="str">
        <f t="shared" si="208"/>
        <v>OK</v>
      </c>
      <c r="AL913" t="str">
        <f t="shared" si="209"/>
        <v>Exclude</v>
      </c>
      <c r="AM913" t="str">
        <f t="shared" si="200"/>
        <v>Clean</v>
      </c>
    </row>
    <row r="914" spans="1:39">
      <c r="A914" t="s">
        <v>1234</v>
      </c>
      <c r="B914" s="4">
        <v>45801</v>
      </c>
      <c r="C914" s="4">
        <v>45807</v>
      </c>
      <c r="D914" s="6">
        <v>6</v>
      </c>
      <c r="E914" t="s">
        <v>2788</v>
      </c>
      <c r="F914" t="s">
        <v>2788</v>
      </c>
      <c r="G914" t="s">
        <v>2788</v>
      </c>
      <c r="H914" t="s">
        <v>1235</v>
      </c>
      <c r="I914" t="s">
        <v>264</v>
      </c>
      <c r="J914" t="s">
        <v>37</v>
      </c>
      <c r="K914" t="s">
        <v>38</v>
      </c>
      <c r="L914" t="s">
        <v>39</v>
      </c>
      <c r="M914" t="s">
        <v>40</v>
      </c>
      <c r="N914" t="s">
        <v>28</v>
      </c>
      <c r="O914" t="s">
        <v>124</v>
      </c>
      <c r="P914" t="s">
        <v>1236</v>
      </c>
      <c r="Q914" t="s">
        <v>44</v>
      </c>
      <c r="R914">
        <v>1</v>
      </c>
      <c r="S914">
        <v>2564.7399999999998</v>
      </c>
      <c r="T914">
        <v>0</v>
      </c>
      <c r="U914">
        <v>2564.7399999999998</v>
      </c>
      <c r="V914">
        <v>1754.58</v>
      </c>
      <c r="W914">
        <v>810.16</v>
      </c>
      <c r="X914" t="s">
        <v>32</v>
      </c>
      <c r="Y914" t="s">
        <v>33</v>
      </c>
      <c r="Z914" t="str">
        <f t="shared" si="196"/>
        <v>Exact Duplicate</v>
      </c>
      <c r="AA914" t="str">
        <f t="shared" si="197"/>
        <v>Duplicate Order ID</v>
      </c>
      <c r="AB914" t="str">
        <f t="shared" si="201"/>
        <v>OK</v>
      </c>
      <c r="AC914">
        <f t="shared" si="202"/>
        <v>0</v>
      </c>
      <c r="AD914" t="str">
        <f t="shared" si="203"/>
        <v>OK</v>
      </c>
      <c r="AE914">
        <f t="shared" si="204"/>
        <v>2564.7399999999998</v>
      </c>
      <c r="AF914">
        <f t="shared" si="205"/>
        <v>810.15999999999985</v>
      </c>
      <c r="AG914">
        <f t="shared" si="206"/>
        <v>0.31588387126960232</v>
      </c>
      <c r="AH914" t="str">
        <f t="shared" si="198"/>
        <v>May</v>
      </c>
      <c r="AI914">
        <f t="shared" si="199"/>
        <v>2025</v>
      </c>
      <c r="AJ914" t="str">
        <f t="shared" si="207"/>
        <v>OK</v>
      </c>
      <c r="AK914" t="str">
        <f t="shared" si="208"/>
        <v>OK</v>
      </c>
      <c r="AL914" t="str">
        <f t="shared" si="209"/>
        <v>Include</v>
      </c>
      <c r="AM914" t="str">
        <f t="shared" si="200"/>
        <v>Clean</v>
      </c>
    </row>
    <row r="915" spans="1:39">
      <c r="A915" t="s">
        <v>946</v>
      </c>
      <c r="B915" s="4">
        <v>45649</v>
      </c>
      <c r="C915" s="4">
        <v>45652</v>
      </c>
      <c r="D915" s="6">
        <v>3</v>
      </c>
      <c r="E915" t="s">
        <v>2788</v>
      </c>
      <c r="F915" t="s">
        <v>2788</v>
      </c>
      <c r="G915" t="s">
        <v>2788</v>
      </c>
      <c r="H915" t="s">
        <v>947</v>
      </c>
      <c r="I915" t="s">
        <v>89</v>
      </c>
      <c r="J915" t="s">
        <v>24</v>
      </c>
      <c r="K915" t="s">
        <v>54</v>
      </c>
      <c r="L915" t="s">
        <v>175</v>
      </c>
      <c r="M915" t="s">
        <v>176</v>
      </c>
      <c r="N915" t="s">
        <v>74</v>
      </c>
      <c r="O915" t="s">
        <v>80</v>
      </c>
      <c r="P915" t="s">
        <v>948</v>
      </c>
      <c r="Q915" t="s">
        <v>59</v>
      </c>
      <c r="R915">
        <v>9</v>
      </c>
      <c r="S915">
        <v>993.67</v>
      </c>
      <c r="T915">
        <v>0</v>
      </c>
      <c r="U915">
        <v>8943.0300000000007</v>
      </c>
      <c r="V915">
        <v>5165.38</v>
      </c>
      <c r="W915">
        <v>3777.65</v>
      </c>
      <c r="X915" t="s">
        <v>32</v>
      </c>
      <c r="Y915" t="s">
        <v>33</v>
      </c>
      <c r="Z915" t="str">
        <f t="shared" si="196"/>
        <v>Exact Duplicate</v>
      </c>
      <c r="AA915" t="str">
        <f t="shared" si="197"/>
        <v>Duplicate Order ID</v>
      </c>
      <c r="AB915" t="str">
        <f t="shared" si="201"/>
        <v>OK</v>
      </c>
      <c r="AC915">
        <f t="shared" si="202"/>
        <v>0</v>
      </c>
      <c r="AD915" t="str">
        <f t="shared" si="203"/>
        <v>OK</v>
      </c>
      <c r="AE915">
        <f t="shared" si="204"/>
        <v>8943.0299999999988</v>
      </c>
      <c r="AF915">
        <f t="shared" si="205"/>
        <v>3777.6499999999987</v>
      </c>
      <c r="AG915">
        <f t="shared" si="206"/>
        <v>0.42241276167026154</v>
      </c>
      <c r="AH915" t="str">
        <f t="shared" si="198"/>
        <v>December</v>
      </c>
      <c r="AI915">
        <f t="shared" si="199"/>
        <v>2024</v>
      </c>
      <c r="AJ915" t="str">
        <f t="shared" si="207"/>
        <v>OK</v>
      </c>
      <c r="AK915" t="str">
        <f t="shared" si="208"/>
        <v>OK</v>
      </c>
      <c r="AL915" t="str">
        <f t="shared" si="209"/>
        <v>Include</v>
      </c>
      <c r="AM915" t="str">
        <f t="shared" si="200"/>
        <v>Clean</v>
      </c>
    </row>
    <row r="916" spans="1:39">
      <c r="A916" t="s">
        <v>2217</v>
      </c>
      <c r="B916" s="4">
        <v>45332</v>
      </c>
      <c r="C916" s="4">
        <v>45340</v>
      </c>
      <c r="D916" s="6">
        <v>8</v>
      </c>
      <c r="E916" t="s">
        <v>2788</v>
      </c>
      <c r="F916" t="s">
        <v>2788</v>
      </c>
      <c r="G916" t="s">
        <v>2788</v>
      </c>
      <c r="H916" t="s">
        <v>2218</v>
      </c>
      <c r="I916" t="s">
        <v>47</v>
      </c>
      <c r="J916" t="s">
        <v>95</v>
      </c>
      <c r="K916" t="s">
        <v>63</v>
      </c>
      <c r="L916" t="s">
        <v>72</v>
      </c>
      <c r="M916" t="s">
        <v>73</v>
      </c>
      <c r="N916" t="s">
        <v>41</v>
      </c>
      <c r="O916" t="s">
        <v>66</v>
      </c>
      <c r="P916" t="s">
        <v>2219</v>
      </c>
      <c r="Q916" t="s">
        <v>50</v>
      </c>
      <c r="R916">
        <v>7</v>
      </c>
      <c r="S916">
        <v>1382.86</v>
      </c>
      <c r="T916">
        <v>0</v>
      </c>
      <c r="U916">
        <v>9680.02</v>
      </c>
      <c r="V916">
        <v>6876.66</v>
      </c>
      <c r="W916">
        <v>2803.36</v>
      </c>
      <c r="X916" t="s">
        <v>32</v>
      </c>
      <c r="Y916" t="s">
        <v>33</v>
      </c>
      <c r="Z916" t="str">
        <f t="shared" si="196"/>
        <v>Exact Duplicate</v>
      </c>
      <c r="AA916" t="str">
        <f t="shared" si="197"/>
        <v>Duplicate Order ID</v>
      </c>
      <c r="AB916" t="str">
        <f t="shared" si="201"/>
        <v>OK</v>
      </c>
      <c r="AC916">
        <f t="shared" si="202"/>
        <v>0</v>
      </c>
      <c r="AD916" t="str">
        <f t="shared" si="203"/>
        <v>OK</v>
      </c>
      <c r="AE916">
        <f t="shared" si="204"/>
        <v>9680.0199999999986</v>
      </c>
      <c r="AF916">
        <f t="shared" si="205"/>
        <v>2803.3599999999988</v>
      </c>
      <c r="AG916">
        <f t="shared" si="206"/>
        <v>0.28960270743242256</v>
      </c>
      <c r="AH916" t="str">
        <f t="shared" si="198"/>
        <v>February</v>
      </c>
      <c r="AI916">
        <f t="shared" si="199"/>
        <v>2024</v>
      </c>
      <c r="AJ916" t="str">
        <f t="shared" si="207"/>
        <v>OK</v>
      </c>
      <c r="AK916" t="str">
        <f t="shared" si="208"/>
        <v>OK</v>
      </c>
      <c r="AL916" t="str">
        <f t="shared" si="209"/>
        <v>Include</v>
      </c>
      <c r="AM916" t="str">
        <f t="shared" si="200"/>
        <v>Clean</v>
      </c>
    </row>
    <row r="917" spans="1:39">
      <c r="A917" t="s">
        <v>1744</v>
      </c>
      <c r="B917" s="4">
        <v>45941</v>
      </c>
      <c r="C917" s="4">
        <v>45943</v>
      </c>
      <c r="D917" s="6">
        <v>2</v>
      </c>
      <c r="E917" t="s">
        <v>2788</v>
      </c>
      <c r="F917" t="s">
        <v>2788</v>
      </c>
      <c r="G917" t="s">
        <v>2788</v>
      </c>
      <c r="H917" t="s">
        <v>1745</v>
      </c>
      <c r="I917" t="s">
        <v>36</v>
      </c>
      <c r="J917" t="s">
        <v>90</v>
      </c>
      <c r="K917" t="s">
        <v>54</v>
      </c>
      <c r="L917" t="s">
        <v>55</v>
      </c>
      <c r="M917" t="s">
        <v>56</v>
      </c>
      <c r="N917" t="s">
        <v>28</v>
      </c>
      <c r="O917" t="s">
        <v>48</v>
      </c>
      <c r="P917" t="s">
        <v>1746</v>
      </c>
      <c r="Q917" t="s">
        <v>31</v>
      </c>
      <c r="R917">
        <v>3</v>
      </c>
      <c r="S917">
        <v>3804.27</v>
      </c>
      <c r="T917">
        <v>0.1</v>
      </c>
      <c r="U917">
        <v>10271.530000000001</v>
      </c>
      <c r="V917">
        <v>8272.24</v>
      </c>
      <c r="W917">
        <v>1999.29</v>
      </c>
      <c r="X917" t="s">
        <v>32</v>
      </c>
      <c r="Y917" t="s">
        <v>33</v>
      </c>
      <c r="Z917" t="str">
        <f t="shared" si="196"/>
        <v>Exact Duplicate</v>
      </c>
      <c r="AA917" t="str">
        <f t="shared" si="197"/>
        <v>Duplicate Order ID</v>
      </c>
      <c r="AB917" t="str">
        <f t="shared" si="201"/>
        <v>OK</v>
      </c>
      <c r="AC917">
        <f t="shared" si="202"/>
        <v>0.1</v>
      </c>
      <c r="AD917" t="str">
        <f t="shared" si="203"/>
        <v>OK</v>
      </c>
      <c r="AE917">
        <f t="shared" si="204"/>
        <v>10271.529</v>
      </c>
      <c r="AF917">
        <f t="shared" si="205"/>
        <v>1999.2890000000007</v>
      </c>
      <c r="AG917">
        <f t="shared" si="206"/>
        <v>0.19464375751652949</v>
      </c>
      <c r="AH917" t="str">
        <f t="shared" si="198"/>
        <v>October</v>
      </c>
      <c r="AI917">
        <f t="shared" si="199"/>
        <v>2025</v>
      </c>
      <c r="AJ917" t="str">
        <f t="shared" si="207"/>
        <v>OK</v>
      </c>
      <c r="AK917" t="str">
        <f t="shared" si="208"/>
        <v>OK</v>
      </c>
      <c r="AL917" t="str">
        <f t="shared" si="209"/>
        <v>Include</v>
      </c>
      <c r="AM917" t="str">
        <f t="shared" si="200"/>
        <v>Clean</v>
      </c>
    </row>
    <row r="918" spans="1:39">
      <c r="A918" t="s">
        <v>2618</v>
      </c>
      <c r="B918" s="4">
        <v>45357</v>
      </c>
      <c r="C918" s="4">
        <v>45363</v>
      </c>
      <c r="D918" s="6">
        <v>6</v>
      </c>
      <c r="E918" t="s">
        <v>2788</v>
      </c>
      <c r="F918" t="s">
        <v>2788</v>
      </c>
      <c r="G918" t="s">
        <v>2788</v>
      </c>
      <c r="H918" t="s">
        <v>2619</v>
      </c>
      <c r="I918" t="s">
        <v>47</v>
      </c>
      <c r="J918" t="s">
        <v>95</v>
      </c>
      <c r="K918" t="s">
        <v>63</v>
      </c>
      <c r="L918" t="s">
        <v>180</v>
      </c>
      <c r="M918" t="s">
        <v>181</v>
      </c>
      <c r="N918" t="s">
        <v>41</v>
      </c>
      <c r="O918" t="s">
        <v>158</v>
      </c>
      <c r="P918" t="s">
        <v>2620</v>
      </c>
      <c r="Q918" t="s">
        <v>59</v>
      </c>
      <c r="R918">
        <v>3</v>
      </c>
      <c r="S918">
        <v>679.63</v>
      </c>
      <c r="T918">
        <v>0.2</v>
      </c>
      <c r="U918">
        <v>1631.11</v>
      </c>
      <c r="V918">
        <v>898.73</v>
      </c>
      <c r="W918">
        <v>396.58</v>
      </c>
      <c r="X918" t="s">
        <v>32</v>
      </c>
      <c r="Y918" t="s">
        <v>33</v>
      </c>
      <c r="Z918" t="str">
        <f t="shared" si="196"/>
        <v>Exact Duplicate</v>
      </c>
      <c r="AA918" t="str">
        <f t="shared" si="197"/>
        <v>Duplicate Order ID</v>
      </c>
      <c r="AB918" t="str">
        <f t="shared" si="201"/>
        <v>OK</v>
      </c>
      <c r="AC918">
        <f t="shared" si="202"/>
        <v>0.2</v>
      </c>
      <c r="AD918" t="str">
        <f t="shared" si="203"/>
        <v>OK</v>
      </c>
      <c r="AE918">
        <f t="shared" si="204"/>
        <v>1631.1120000000001</v>
      </c>
      <c r="AF918">
        <f t="shared" si="205"/>
        <v>732.38200000000006</v>
      </c>
      <c r="AG918">
        <f t="shared" si="206"/>
        <v>0.44900779345624336</v>
      </c>
      <c r="AH918" t="str">
        <f t="shared" si="198"/>
        <v>March</v>
      </c>
      <c r="AI918">
        <f t="shared" si="199"/>
        <v>2024</v>
      </c>
      <c r="AJ918" t="str">
        <f t="shared" si="207"/>
        <v>OK</v>
      </c>
      <c r="AK918" t="str">
        <f t="shared" si="208"/>
        <v>Profit Mismatch</v>
      </c>
      <c r="AL918" t="str">
        <f t="shared" si="209"/>
        <v>Include</v>
      </c>
      <c r="AM918" t="str">
        <f t="shared" si="200"/>
        <v>Warning</v>
      </c>
    </row>
    <row r="919" spans="1:39">
      <c r="A919" t="s">
        <v>491</v>
      </c>
      <c r="B919" s="4">
        <v>45687</v>
      </c>
      <c r="C919" s="4">
        <v>45683</v>
      </c>
      <c r="D919" s="6">
        <v>-4</v>
      </c>
      <c r="E919" t="s">
        <v>2788</v>
      </c>
      <c r="F919" t="s">
        <v>2788</v>
      </c>
      <c r="G919" t="s">
        <v>2790</v>
      </c>
      <c r="H919" t="s">
        <v>492</v>
      </c>
      <c r="I919" t="s">
        <v>114</v>
      </c>
      <c r="J919" t="s">
        <v>90</v>
      </c>
      <c r="K919" t="s">
        <v>63</v>
      </c>
      <c r="L919" t="s">
        <v>72</v>
      </c>
      <c r="M919" t="s">
        <v>73</v>
      </c>
      <c r="N919" t="s">
        <v>28</v>
      </c>
      <c r="O919" t="s">
        <v>124</v>
      </c>
      <c r="P919" t="s">
        <v>493</v>
      </c>
      <c r="Q919" t="s">
        <v>31</v>
      </c>
      <c r="R919">
        <v>2</v>
      </c>
      <c r="S919">
        <v>3039.3</v>
      </c>
      <c r="T919">
        <v>0.05</v>
      </c>
      <c r="U919">
        <v>5774.67</v>
      </c>
      <c r="V919">
        <v>3518.36</v>
      </c>
      <c r="W919">
        <v>2256.31</v>
      </c>
      <c r="X919" t="s">
        <v>32</v>
      </c>
      <c r="Y919" t="s">
        <v>33</v>
      </c>
      <c r="Z919" t="str">
        <f t="shared" si="196"/>
        <v>Exact Duplicate</v>
      </c>
      <c r="AA919" t="str">
        <f t="shared" si="197"/>
        <v>Duplicate Order ID</v>
      </c>
      <c r="AB919" t="str">
        <f t="shared" si="201"/>
        <v>OK</v>
      </c>
      <c r="AC919">
        <f t="shared" si="202"/>
        <v>0.05</v>
      </c>
      <c r="AD919" t="str">
        <f t="shared" si="203"/>
        <v>OK</v>
      </c>
      <c r="AE919">
        <f t="shared" si="204"/>
        <v>5774.67</v>
      </c>
      <c r="AF919">
        <f t="shared" si="205"/>
        <v>2256.31</v>
      </c>
      <c r="AG919">
        <f t="shared" si="206"/>
        <v>0.39072535746631409</v>
      </c>
      <c r="AH919" t="str">
        <f t="shared" si="198"/>
        <v>January</v>
      </c>
      <c r="AI919">
        <f t="shared" si="199"/>
        <v>2025</v>
      </c>
      <c r="AJ919" t="str">
        <f t="shared" si="207"/>
        <v>OK</v>
      </c>
      <c r="AK919" t="str">
        <f t="shared" si="208"/>
        <v>OK</v>
      </c>
      <c r="AL919" t="str">
        <f t="shared" si="209"/>
        <v>Include</v>
      </c>
      <c r="AM919" t="str">
        <f t="shared" si="200"/>
        <v>Warning</v>
      </c>
    </row>
    <row r="920" spans="1:39">
      <c r="A920" t="s">
        <v>2112</v>
      </c>
      <c r="B920" s="4">
        <v>45911</v>
      </c>
      <c r="C920" s="4">
        <v>45918</v>
      </c>
      <c r="D920" s="6">
        <v>7</v>
      </c>
      <c r="E920" t="s">
        <v>2788</v>
      </c>
      <c r="F920" t="s">
        <v>2788</v>
      </c>
      <c r="G920" t="s">
        <v>2788</v>
      </c>
      <c r="H920" t="s">
        <v>2113</v>
      </c>
      <c r="I920" t="s">
        <v>118</v>
      </c>
      <c r="J920" t="s">
        <v>37</v>
      </c>
      <c r="K920" t="s">
        <v>25</v>
      </c>
      <c r="L920" t="s">
        <v>350</v>
      </c>
      <c r="M920" t="s">
        <v>351</v>
      </c>
      <c r="N920" t="s">
        <v>74</v>
      </c>
      <c r="O920" t="s">
        <v>171</v>
      </c>
      <c r="P920" t="s">
        <v>2114</v>
      </c>
      <c r="Q920" t="s">
        <v>44</v>
      </c>
      <c r="R920">
        <v>7</v>
      </c>
      <c r="S920">
        <v>3411.21</v>
      </c>
      <c r="T920">
        <v>0.15</v>
      </c>
      <c r="U920">
        <v>20296.7</v>
      </c>
      <c r="V920">
        <v>14920.87</v>
      </c>
      <c r="W920">
        <v>5375.83</v>
      </c>
      <c r="X920" t="s">
        <v>32</v>
      </c>
      <c r="Y920" t="s">
        <v>33</v>
      </c>
      <c r="Z920" t="str">
        <f t="shared" si="196"/>
        <v>Exact Duplicate</v>
      </c>
      <c r="AA920" t="str">
        <f t="shared" si="197"/>
        <v>Duplicate Order ID</v>
      </c>
      <c r="AB920" t="str">
        <f t="shared" si="201"/>
        <v>OK</v>
      </c>
      <c r="AC920">
        <f t="shared" si="202"/>
        <v>0.15</v>
      </c>
      <c r="AD920" t="str">
        <f t="shared" si="203"/>
        <v>OK</v>
      </c>
      <c r="AE920">
        <f t="shared" si="204"/>
        <v>20296.699499999999</v>
      </c>
      <c r="AF920">
        <f t="shared" si="205"/>
        <v>5375.829499999998</v>
      </c>
      <c r="AG920">
        <f t="shared" si="206"/>
        <v>0.26486225014071862</v>
      </c>
      <c r="AH920" t="str">
        <f t="shared" si="198"/>
        <v>September</v>
      </c>
      <c r="AI920">
        <f t="shared" si="199"/>
        <v>2025</v>
      </c>
      <c r="AJ920" t="str">
        <f t="shared" si="207"/>
        <v>OK</v>
      </c>
      <c r="AK920" t="str">
        <f t="shared" si="208"/>
        <v>OK</v>
      </c>
      <c r="AL920" t="str">
        <f t="shared" si="209"/>
        <v>Include</v>
      </c>
      <c r="AM920" t="str">
        <f t="shared" si="200"/>
        <v>Clean</v>
      </c>
    </row>
    <row r="921" spans="1:39">
      <c r="A921" t="s">
        <v>77</v>
      </c>
      <c r="B921" s="4">
        <v>45757</v>
      </c>
      <c r="C921" s="4">
        <v>45763</v>
      </c>
      <c r="D921" s="6">
        <v>6</v>
      </c>
      <c r="E921" t="s">
        <v>2788</v>
      </c>
      <c r="F921" t="s">
        <v>2788</v>
      </c>
      <c r="G921" t="s">
        <v>2788</v>
      </c>
      <c r="H921" t="s">
        <v>78</v>
      </c>
      <c r="I921" t="s">
        <v>79</v>
      </c>
      <c r="J921" t="s">
        <v>24</v>
      </c>
      <c r="K921" t="s">
        <v>38</v>
      </c>
      <c r="L921" t="s">
        <v>39</v>
      </c>
      <c r="M921" t="s">
        <v>40</v>
      </c>
      <c r="N921" t="s">
        <v>74</v>
      </c>
      <c r="O921" t="s">
        <v>80</v>
      </c>
      <c r="P921" t="s">
        <v>81</v>
      </c>
      <c r="Q921" t="s">
        <v>59</v>
      </c>
      <c r="R921">
        <v>4</v>
      </c>
      <c r="S921">
        <v>1719.87</v>
      </c>
      <c r="T921">
        <v>0.15</v>
      </c>
      <c r="U921">
        <v>5847.56</v>
      </c>
      <c r="V921">
        <v>4727.25</v>
      </c>
      <c r="W921">
        <v>1120.31</v>
      </c>
      <c r="X921" t="s">
        <v>32</v>
      </c>
      <c r="Y921" t="s">
        <v>33</v>
      </c>
      <c r="Z921" t="str">
        <f t="shared" si="196"/>
        <v>Exact Duplicate</v>
      </c>
      <c r="AA921" t="str">
        <f t="shared" si="197"/>
        <v>Duplicate Order ID</v>
      </c>
      <c r="AB921" t="str">
        <f t="shared" si="201"/>
        <v>OK</v>
      </c>
      <c r="AC921">
        <f t="shared" si="202"/>
        <v>0.15</v>
      </c>
      <c r="AD921" t="str">
        <f t="shared" si="203"/>
        <v>OK</v>
      </c>
      <c r="AE921">
        <f t="shared" si="204"/>
        <v>5847.5579999999991</v>
      </c>
      <c r="AF921">
        <f t="shared" si="205"/>
        <v>1120.3079999999991</v>
      </c>
      <c r="AG921">
        <f t="shared" si="206"/>
        <v>0.19158561573908275</v>
      </c>
      <c r="AH921" t="str">
        <f t="shared" si="198"/>
        <v>April</v>
      </c>
      <c r="AI921">
        <f t="shared" si="199"/>
        <v>2025</v>
      </c>
      <c r="AJ921" t="str">
        <f t="shared" si="207"/>
        <v>OK</v>
      </c>
      <c r="AK921" t="str">
        <f t="shared" si="208"/>
        <v>OK</v>
      </c>
      <c r="AL921" t="str">
        <f t="shared" si="209"/>
        <v>Include</v>
      </c>
      <c r="AM921" t="str">
        <f t="shared" si="200"/>
        <v>Clean</v>
      </c>
    </row>
    <row r="922" spans="1:39">
      <c r="A922" t="s">
        <v>1098</v>
      </c>
      <c r="B922" s="4">
        <v>45630</v>
      </c>
      <c r="C922" s="4">
        <v>45632</v>
      </c>
      <c r="D922" s="6">
        <v>2</v>
      </c>
      <c r="E922" t="s">
        <v>2788</v>
      </c>
      <c r="F922" t="s">
        <v>2788</v>
      </c>
      <c r="G922" t="s">
        <v>2788</v>
      </c>
      <c r="H922" t="s">
        <v>1099</v>
      </c>
      <c r="I922" t="s">
        <v>132</v>
      </c>
      <c r="J922" t="s">
        <v>95</v>
      </c>
      <c r="K922" t="s">
        <v>38</v>
      </c>
      <c r="L922" t="s">
        <v>39</v>
      </c>
      <c r="M922" t="s">
        <v>40</v>
      </c>
      <c r="N922" t="s">
        <v>28</v>
      </c>
      <c r="O922" t="s">
        <v>153</v>
      </c>
      <c r="P922" t="s">
        <v>1100</v>
      </c>
      <c r="Q922" t="s">
        <v>31</v>
      </c>
      <c r="R922">
        <v>4</v>
      </c>
      <c r="S922">
        <v>2685.66</v>
      </c>
      <c r="T922">
        <v>0</v>
      </c>
      <c r="U922">
        <v>10989.89</v>
      </c>
      <c r="V922">
        <v>6477.37</v>
      </c>
      <c r="W922">
        <v>4265.2700000000004</v>
      </c>
      <c r="X922" t="s">
        <v>32</v>
      </c>
      <c r="Y922" t="s">
        <v>33</v>
      </c>
      <c r="Z922" t="str">
        <f t="shared" si="196"/>
        <v>Unique</v>
      </c>
      <c r="AA922" t="str">
        <f t="shared" si="197"/>
        <v>Duplicate Order ID</v>
      </c>
      <c r="AB922" t="str">
        <f t="shared" si="201"/>
        <v>Conflicting Duplicate</v>
      </c>
      <c r="AC922">
        <f t="shared" si="202"/>
        <v>0</v>
      </c>
      <c r="AD922" t="str">
        <f t="shared" si="203"/>
        <v>OK</v>
      </c>
      <c r="AE922">
        <f t="shared" si="204"/>
        <v>10742.64</v>
      </c>
      <c r="AF922">
        <f t="shared" si="205"/>
        <v>4265.2699999999995</v>
      </c>
      <c r="AG922">
        <f t="shared" si="206"/>
        <v>0.39704113700170535</v>
      </c>
      <c r="AH922" t="str">
        <f t="shared" si="198"/>
        <v>December</v>
      </c>
      <c r="AI922">
        <f t="shared" si="199"/>
        <v>2024</v>
      </c>
      <c r="AJ922" t="str">
        <f t="shared" si="207"/>
        <v>Sales Mismatch</v>
      </c>
      <c r="AK922" t="str">
        <f t="shared" si="208"/>
        <v>OK</v>
      </c>
      <c r="AL922" t="str">
        <f t="shared" si="209"/>
        <v>Include</v>
      </c>
      <c r="AM922" t="str">
        <f t="shared" si="200"/>
        <v>Invalid</v>
      </c>
    </row>
    <row r="923" spans="1:39">
      <c r="A923" t="s">
        <v>380</v>
      </c>
      <c r="B923" s="4">
        <v>45893</v>
      </c>
      <c r="C923" s="4">
        <v>45898</v>
      </c>
      <c r="D923" s="6">
        <v>5</v>
      </c>
      <c r="E923" t="s">
        <v>2788</v>
      </c>
      <c r="F923" t="s">
        <v>2788</v>
      </c>
      <c r="G923" t="s">
        <v>2788</v>
      </c>
      <c r="H923" t="s">
        <v>381</v>
      </c>
      <c r="I923" t="s">
        <v>128</v>
      </c>
      <c r="J923" t="s">
        <v>37</v>
      </c>
      <c r="K923" t="s">
        <v>38</v>
      </c>
      <c r="L923" t="s">
        <v>145</v>
      </c>
      <c r="M923" t="s">
        <v>146</v>
      </c>
      <c r="N923" t="s">
        <v>74</v>
      </c>
      <c r="O923" t="s">
        <v>80</v>
      </c>
      <c r="P923" t="s">
        <v>382</v>
      </c>
      <c r="Q923" t="s">
        <v>50</v>
      </c>
      <c r="R923">
        <v>3</v>
      </c>
      <c r="S923">
        <v>3703.96</v>
      </c>
      <c r="T923">
        <v>0.15</v>
      </c>
      <c r="U923">
        <v>9549.44</v>
      </c>
      <c r="V923">
        <v>5586.28</v>
      </c>
      <c r="W923">
        <v>3858.82</v>
      </c>
      <c r="X923" t="s">
        <v>32</v>
      </c>
      <c r="Y923" t="s">
        <v>103</v>
      </c>
      <c r="Z923" t="str">
        <f t="shared" si="196"/>
        <v>Unique</v>
      </c>
      <c r="AA923" t="str">
        <f t="shared" si="197"/>
        <v>Duplicate Order ID</v>
      </c>
      <c r="AB923" t="str">
        <f t="shared" si="201"/>
        <v>Conflicting Duplicate</v>
      </c>
      <c r="AC923">
        <f t="shared" si="202"/>
        <v>0.15</v>
      </c>
      <c r="AD923" t="str">
        <f t="shared" si="203"/>
        <v>OK</v>
      </c>
      <c r="AE923">
        <f t="shared" si="204"/>
        <v>9445.098</v>
      </c>
      <c r="AF923">
        <f t="shared" si="205"/>
        <v>3858.8180000000002</v>
      </c>
      <c r="AG923">
        <f t="shared" si="206"/>
        <v>0.40855245758170006</v>
      </c>
      <c r="AH923" t="str">
        <f t="shared" si="198"/>
        <v>August</v>
      </c>
      <c r="AI923">
        <f t="shared" si="199"/>
        <v>2025</v>
      </c>
      <c r="AJ923" t="str">
        <f t="shared" si="207"/>
        <v>Sales Mismatch</v>
      </c>
      <c r="AK923" t="str">
        <f t="shared" si="208"/>
        <v>OK</v>
      </c>
      <c r="AL923" t="str">
        <f t="shared" si="209"/>
        <v>Exclude</v>
      </c>
      <c r="AM923" t="str">
        <f t="shared" si="200"/>
        <v>Invalid</v>
      </c>
    </row>
    <row r="924" spans="1:39">
      <c r="A924" t="s">
        <v>1222</v>
      </c>
      <c r="B924" s="4">
        <v>45760</v>
      </c>
      <c r="C924" s="4">
        <v>45760</v>
      </c>
      <c r="D924" s="6">
        <v>0</v>
      </c>
      <c r="E924" t="s">
        <v>2788</v>
      </c>
      <c r="F924" t="s">
        <v>2788</v>
      </c>
      <c r="G924" t="s">
        <v>2788</v>
      </c>
      <c r="H924" t="s">
        <v>1223</v>
      </c>
      <c r="I924" t="s">
        <v>132</v>
      </c>
      <c r="J924" t="s">
        <v>37</v>
      </c>
      <c r="K924" t="s">
        <v>25</v>
      </c>
      <c r="L924" t="s">
        <v>136</v>
      </c>
      <c r="M924" t="s">
        <v>137</v>
      </c>
      <c r="N924" t="s">
        <v>28</v>
      </c>
      <c r="O924" t="s">
        <v>124</v>
      </c>
      <c r="P924" t="s">
        <v>1224</v>
      </c>
      <c r="Q924" t="s">
        <v>31</v>
      </c>
      <c r="R924">
        <v>9</v>
      </c>
      <c r="S924">
        <v>1118.68</v>
      </c>
      <c r="T924">
        <v>0</v>
      </c>
      <c r="U924">
        <v>10348.43</v>
      </c>
      <c r="V924">
        <v>8595.3700000000008</v>
      </c>
      <c r="W924">
        <v>1472.75</v>
      </c>
      <c r="X924" t="s">
        <v>32</v>
      </c>
      <c r="Y924" t="s">
        <v>103</v>
      </c>
      <c r="Z924" t="str">
        <f t="shared" si="196"/>
        <v>Unique</v>
      </c>
      <c r="AA924" t="str">
        <f t="shared" si="197"/>
        <v>Duplicate Order ID</v>
      </c>
      <c r="AB924" t="str">
        <f t="shared" si="201"/>
        <v>Conflicting Duplicate</v>
      </c>
      <c r="AC924">
        <f t="shared" si="202"/>
        <v>0</v>
      </c>
      <c r="AD924" t="str">
        <f t="shared" si="203"/>
        <v>OK</v>
      </c>
      <c r="AE924">
        <f t="shared" si="204"/>
        <v>10068.120000000001</v>
      </c>
      <c r="AF924">
        <f t="shared" si="205"/>
        <v>1472.75</v>
      </c>
      <c r="AG924">
        <f t="shared" si="206"/>
        <v>0.14627855051389932</v>
      </c>
      <c r="AH924" t="str">
        <f t="shared" si="198"/>
        <v>April</v>
      </c>
      <c r="AI924">
        <f t="shared" si="199"/>
        <v>2025</v>
      </c>
      <c r="AJ924" t="str">
        <f t="shared" si="207"/>
        <v>Sales Mismatch</v>
      </c>
      <c r="AK924" t="str">
        <f t="shared" si="208"/>
        <v>OK</v>
      </c>
      <c r="AL924" t="str">
        <f t="shared" si="209"/>
        <v>Exclude</v>
      </c>
      <c r="AM924" t="str">
        <f t="shared" si="200"/>
        <v>Invalid</v>
      </c>
    </row>
    <row r="925" spans="1:39">
      <c r="A925" t="s">
        <v>780</v>
      </c>
      <c r="B925" s="4">
        <v>45932</v>
      </c>
      <c r="C925" s="4">
        <v>45938</v>
      </c>
      <c r="D925" s="6">
        <v>6</v>
      </c>
      <c r="E925" t="s">
        <v>2788</v>
      </c>
      <c r="F925" t="s">
        <v>2788</v>
      </c>
      <c r="G925" t="s">
        <v>2788</v>
      </c>
      <c r="H925" t="s">
        <v>781</v>
      </c>
      <c r="I925" t="s">
        <v>47</v>
      </c>
      <c r="J925" t="s">
        <v>37</v>
      </c>
      <c r="K925" t="s">
        <v>25</v>
      </c>
      <c r="L925" t="s">
        <v>122</v>
      </c>
      <c r="M925" t="s">
        <v>123</v>
      </c>
      <c r="N925" t="s">
        <v>41</v>
      </c>
      <c r="O925" t="s">
        <v>57</v>
      </c>
      <c r="P925" t="s">
        <v>782</v>
      </c>
      <c r="Q925" t="s">
        <v>59</v>
      </c>
      <c r="R925">
        <v>4</v>
      </c>
      <c r="S925">
        <v>3944.64</v>
      </c>
      <c r="T925">
        <v>0.25</v>
      </c>
      <c r="U925">
        <v>12116.89</v>
      </c>
      <c r="V925">
        <v>6682.92</v>
      </c>
      <c r="W925">
        <v>5151</v>
      </c>
      <c r="X925" t="s">
        <v>32</v>
      </c>
      <c r="Y925" t="s">
        <v>103</v>
      </c>
      <c r="Z925" t="str">
        <f t="shared" si="196"/>
        <v>Unique</v>
      </c>
      <c r="AA925" t="str">
        <f t="shared" si="197"/>
        <v>Duplicate Order ID</v>
      </c>
      <c r="AB925" t="str">
        <f t="shared" si="201"/>
        <v>Conflicting Duplicate</v>
      </c>
      <c r="AC925">
        <f t="shared" si="202"/>
        <v>0.25</v>
      </c>
      <c r="AD925" t="str">
        <f t="shared" si="203"/>
        <v>OK</v>
      </c>
      <c r="AE925">
        <f t="shared" si="204"/>
        <v>11833.92</v>
      </c>
      <c r="AF925">
        <f t="shared" si="205"/>
        <v>5151</v>
      </c>
      <c r="AG925">
        <f t="shared" si="206"/>
        <v>0.43527419485681834</v>
      </c>
      <c r="AH925" t="str">
        <f t="shared" si="198"/>
        <v>October</v>
      </c>
      <c r="AI925">
        <f t="shared" si="199"/>
        <v>2025</v>
      </c>
      <c r="AJ925" t="str">
        <f t="shared" si="207"/>
        <v>Sales Mismatch</v>
      </c>
      <c r="AK925" t="str">
        <f t="shared" si="208"/>
        <v>OK</v>
      </c>
      <c r="AL925" t="str">
        <f t="shared" si="209"/>
        <v>Exclude</v>
      </c>
      <c r="AM925" t="str">
        <f t="shared" si="200"/>
        <v>Invalid</v>
      </c>
    </row>
    <row r="926" spans="1:39">
      <c r="A926" t="s">
        <v>1048</v>
      </c>
      <c r="B926" s="4">
        <v>45795</v>
      </c>
      <c r="C926" s="4">
        <v>45797</v>
      </c>
      <c r="D926" s="6">
        <v>2</v>
      </c>
      <c r="E926" t="s">
        <v>2788</v>
      </c>
      <c r="F926" t="s">
        <v>2788</v>
      </c>
      <c r="G926" t="s">
        <v>2788</v>
      </c>
      <c r="H926" t="s">
        <v>1049</v>
      </c>
      <c r="I926" t="s">
        <v>47</v>
      </c>
      <c r="J926" t="s">
        <v>90</v>
      </c>
      <c r="K926" t="s">
        <v>63</v>
      </c>
      <c r="L926" t="s">
        <v>72</v>
      </c>
      <c r="M926" t="s">
        <v>73</v>
      </c>
      <c r="N926" t="s">
        <v>28</v>
      </c>
      <c r="O926" t="s">
        <v>91</v>
      </c>
      <c r="P926" t="s">
        <v>1050</v>
      </c>
      <c r="Q926" t="s">
        <v>59</v>
      </c>
      <c r="R926">
        <v>9</v>
      </c>
      <c r="S926">
        <v>847.76</v>
      </c>
      <c r="T926">
        <v>0.15</v>
      </c>
      <c r="U926">
        <v>6589.37</v>
      </c>
      <c r="V926">
        <v>5376.17</v>
      </c>
      <c r="W926">
        <v>1109.19</v>
      </c>
      <c r="X926" t="s">
        <v>155</v>
      </c>
      <c r="Y926" t="s">
        <v>33</v>
      </c>
      <c r="Z926" t="str">
        <f t="shared" si="196"/>
        <v>Unique</v>
      </c>
      <c r="AA926" t="str">
        <f t="shared" si="197"/>
        <v>Duplicate Order ID</v>
      </c>
      <c r="AB926" t="str">
        <f t="shared" si="201"/>
        <v>Conflicting Duplicate</v>
      </c>
      <c r="AC926">
        <f t="shared" si="202"/>
        <v>0.15</v>
      </c>
      <c r="AD926" t="str">
        <f t="shared" si="203"/>
        <v>OK</v>
      </c>
      <c r="AE926">
        <f t="shared" si="204"/>
        <v>6485.3639999999996</v>
      </c>
      <c r="AF926">
        <f t="shared" si="205"/>
        <v>1109.1939999999995</v>
      </c>
      <c r="AG926">
        <f t="shared" si="206"/>
        <v>0.17103033846673826</v>
      </c>
      <c r="AH926" t="str">
        <f t="shared" si="198"/>
        <v>May</v>
      </c>
      <c r="AI926">
        <f t="shared" si="199"/>
        <v>2025</v>
      </c>
      <c r="AJ926" t="str">
        <f t="shared" si="207"/>
        <v>Sales Mismatch</v>
      </c>
      <c r="AK926" t="str">
        <f t="shared" si="208"/>
        <v>OK</v>
      </c>
      <c r="AL926" t="str">
        <f t="shared" si="209"/>
        <v>Exclude</v>
      </c>
      <c r="AM926" t="str">
        <f t="shared" si="200"/>
        <v>Invalid</v>
      </c>
    </row>
    <row r="927" spans="1:39">
      <c r="A927" t="s">
        <v>619</v>
      </c>
      <c r="B927" s="4">
        <v>45907</v>
      </c>
      <c r="C927" s="4">
        <v>45915</v>
      </c>
      <c r="D927" s="6">
        <v>8</v>
      </c>
      <c r="E927" t="s">
        <v>2788</v>
      </c>
      <c r="F927" t="s">
        <v>2788</v>
      </c>
      <c r="G927" t="s">
        <v>2788</v>
      </c>
      <c r="H927" t="s">
        <v>620</v>
      </c>
      <c r="I927" t="s">
        <v>141</v>
      </c>
      <c r="J927" t="s">
        <v>90</v>
      </c>
      <c r="K927" t="s">
        <v>38</v>
      </c>
      <c r="L927" t="s">
        <v>145</v>
      </c>
      <c r="M927" t="s">
        <v>146</v>
      </c>
      <c r="N927" t="s">
        <v>74</v>
      </c>
      <c r="O927" t="s">
        <v>80</v>
      </c>
      <c r="P927" t="s">
        <v>621</v>
      </c>
      <c r="Q927" t="s">
        <v>59</v>
      </c>
      <c r="R927">
        <v>3</v>
      </c>
      <c r="S927">
        <v>1711.32</v>
      </c>
      <c r="T927">
        <v>0</v>
      </c>
      <c r="U927">
        <v>5206.53</v>
      </c>
      <c r="V927">
        <v>3930</v>
      </c>
      <c r="W927">
        <v>1203.96</v>
      </c>
      <c r="X927" t="s">
        <v>32</v>
      </c>
      <c r="Y927" t="s">
        <v>103</v>
      </c>
      <c r="Z927" t="str">
        <f t="shared" si="196"/>
        <v>Unique</v>
      </c>
      <c r="AA927" t="str">
        <f t="shared" si="197"/>
        <v>Duplicate Order ID</v>
      </c>
      <c r="AB927" t="str">
        <f t="shared" si="201"/>
        <v>Conflicting Duplicate</v>
      </c>
      <c r="AC927">
        <f t="shared" si="202"/>
        <v>0</v>
      </c>
      <c r="AD927" t="str">
        <f t="shared" si="203"/>
        <v>OK</v>
      </c>
      <c r="AE927">
        <f t="shared" si="204"/>
        <v>5133.96</v>
      </c>
      <c r="AF927">
        <f t="shared" si="205"/>
        <v>1203.96</v>
      </c>
      <c r="AG927">
        <f t="shared" si="206"/>
        <v>0.23450903396208775</v>
      </c>
      <c r="AH927" t="str">
        <f t="shared" si="198"/>
        <v>September</v>
      </c>
      <c r="AI927">
        <f t="shared" si="199"/>
        <v>2025</v>
      </c>
      <c r="AJ927" t="str">
        <f t="shared" si="207"/>
        <v>Sales Mismatch</v>
      </c>
      <c r="AK927" t="str">
        <f t="shared" si="208"/>
        <v>OK</v>
      </c>
      <c r="AL927" t="str">
        <f t="shared" si="209"/>
        <v>Exclude</v>
      </c>
      <c r="AM927" t="str">
        <f t="shared" si="200"/>
        <v>Invalid</v>
      </c>
    </row>
    <row r="928" spans="1:39">
      <c r="A928" t="s">
        <v>1371</v>
      </c>
      <c r="B928" s="4">
        <v>45342</v>
      </c>
      <c r="C928" s="4">
        <v>45349</v>
      </c>
      <c r="D928" s="6">
        <v>7</v>
      </c>
      <c r="E928" t="s">
        <v>2788</v>
      </c>
      <c r="F928" t="s">
        <v>2788</v>
      </c>
      <c r="G928" t="s">
        <v>2788</v>
      </c>
      <c r="H928" t="s">
        <v>1372</v>
      </c>
      <c r="I928" t="s">
        <v>162</v>
      </c>
      <c r="J928" t="s">
        <v>24</v>
      </c>
      <c r="K928" t="s">
        <v>54</v>
      </c>
      <c r="L928" t="s">
        <v>185</v>
      </c>
      <c r="M928" t="s">
        <v>186</v>
      </c>
      <c r="N928" t="s">
        <v>74</v>
      </c>
      <c r="O928" t="s">
        <v>75</v>
      </c>
      <c r="P928" t="s">
        <v>1373</v>
      </c>
      <c r="Q928" t="s">
        <v>50</v>
      </c>
      <c r="R928">
        <v>9</v>
      </c>
      <c r="S928">
        <v>3779.31</v>
      </c>
      <c r="T928">
        <v>0.2</v>
      </c>
      <c r="U928">
        <v>27322.9</v>
      </c>
      <c r="V928">
        <v>17940.43</v>
      </c>
      <c r="W928">
        <v>9270.6</v>
      </c>
      <c r="X928" t="s">
        <v>32</v>
      </c>
      <c r="Y928" t="s">
        <v>103</v>
      </c>
      <c r="Z928" t="str">
        <f t="shared" si="196"/>
        <v>Unique</v>
      </c>
      <c r="AA928" t="str">
        <f t="shared" si="197"/>
        <v>Duplicate Order ID</v>
      </c>
      <c r="AB928" t="str">
        <f t="shared" si="201"/>
        <v>Conflicting Duplicate</v>
      </c>
      <c r="AC928">
        <f t="shared" si="202"/>
        <v>0.2</v>
      </c>
      <c r="AD928" t="str">
        <f t="shared" si="203"/>
        <v>OK</v>
      </c>
      <c r="AE928">
        <f t="shared" si="204"/>
        <v>27211.032000000003</v>
      </c>
      <c r="AF928">
        <f t="shared" si="205"/>
        <v>9270.6020000000026</v>
      </c>
      <c r="AG928">
        <f t="shared" si="206"/>
        <v>0.34069277490100347</v>
      </c>
      <c r="AH928" t="str">
        <f t="shared" si="198"/>
        <v>February</v>
      </c>
      <c r="AI928">
        <f t="shared" si="199"/>
        <v>2024</v>
      </c>
      <c r="AJ928" t="str">
        <f t="shared" si="207"/>
        <v>Sales Mismatch</v>
      </c>
      <c r="AK928" t="str">
        <f t="shared" si="208"/>
        <v>OK</v>
      </c>
      <c r="AL928" t="str">
        <f t="shared" si="209"/>
        <v>Exclude</v>
      </c>
      <c r="AM928" t="str">
        <f t="shared" si="200"/>
        <v>Invalid</v>
      </c>
    </row>
    <row r="929" spans="1:39">
      <c r="A929" t="s">
        <v>1809</v>
      </c>
      <c r="B929" s="4">
        <v>45698</v>
      </c>
      <c r="C929" s="4">
        <v>45702</v>
      </c>
      <c r="D929" s="6">
        <v>4</v>
      </c>
      <c r="E929" t="s">
        <v>2788</v>
      </c>
      <c r="F929" t="s">
        <v>2788</v>
      </c>
      <c r="G929" t="s">
        <v>2788</v>
      </c>
      <c r="H929" t="s">
        <v>1810</v>
      </c>
      <c r="I929" t="s">
        <v>114</v>
      </c>
      <c r="J929" t="s">
        <v>37</v>
      </c>
      <c r="K929" t="s">
        <v>25</v>
      </c>
      <c r="L929" t="s">
        <v>136</v>
      </c>
      <c r="M929" t="s">
        <v>137</v>
      </c>
      <c r="N929" t="s">
        <v>74</v>
      </c>
      <c r="O929" t="s">
        <v>171</v>
      </c>
      <c r="P929" t="s">
        <v>1811</v>
      </c>
      <c r="Q929" t="s">
        <v>2783</v>
      </c>
      <c r="R929">
        <v>5</v>
      </c>
      <c r="S929">
        <v>4276.29</v>
      </c>
      <c r="T929">
        <v>0</v>
      </c>
      <c r="U929">
        <v>21443.63</v>
      </c>
      <c r="V929">
        <v>13240.21</v>
      </c>
      <c r="W929">
        <v>8141.24</v>
      </c>
      <c r="X929" t="s">
        <v>155</v>
      </c>
      <c r="Y929" t="s">
        <v>33</v>
      </c>
      <c r="Z929" t="str">
        <f t="shared" si="196"/>
        <v>Unique</v>
      </c>
      <c r="AA929" t="str">
        <f t="shared" si="197"/>
        <v>Duplicate Order ID</v>
      </c>
      <c r="AB929" t="str">
        <f t="shared" si="201"/>
        <v>Conflicting Duplicate</v>
      </c>
      <c r="AC929">
        <f t="shared" si="202"/>
        <v>0</v>
      </c>
      <c r="AD929" t="str">
        <f t="shared" si="203"/>
        <v>OK</v>
      </c>
      <c r="AE929">
        <f t="shared" si="204"/>
        <v>21381.45</v>
      </c>
      <c r="AF929">
        <f t="shared" si="205"/>
        <v>8141.2400000000016</v>
      </c>
      <c r="AG929">
        <f t="shared" si="206"/>
        <v>0.38076182859441249</v>
      </c>
      <c r="AH929" t="str">
        <f t="shared" si="198"/>
        <v>February</v>
      </c>
      <c r="AI929">
        <f t="shared" si="199"/>
        <v>2025</v>
      </c>
      <c r="AJ929" t="str">
        <f t="shared" si="207"/>
        <v>Sales Mismatch</v>
      </c>
      <c r="AK929" t="str">
        <f t="shared" si="208"/>
        <v>OK</v>
      </c>
      <c r="AL929" t="str">
        <f t="shared" si="209"/>
        <v>Exclude</v>
      </c>
      <c r="AM929" t="str">
        <f t="shared" si="200"/>
        <v>Invalid</v>
      </c>
    </row>
    <row r="930" spans="1:39">
      <c r="A930" t="s">
        <v>536</v>
      </c>
      <c r="B930" s="4">
        <v>45381</v>
      </c>
      <c r="C930" s="4">
        <v>45377</v>
      </c>
      <c r="D930" s="6">
        <v>-4</v>
      </c>
      <c r="E930" t="s">
        <v>2788</v>
      </c>
      <c r="F930" t="s">
        <v>2788</v>
      </c>
      <c r="G930" t="s">
        <v>2790</v>
      </c>
      <c r="H930" t="s">
        <v>537</v>
      </c>
      <c r="I930" t="s">
        <v>89</v>
      </c>
      <c r="J930" t="s">
        <v>95</v>
      </c>
      <c r="K930" t="s">
        <v>25</v>
      </c>
      <c r="L930" t="s">
        <v>26</v>
      </c>
      <c r="M930" t="s">
        <v>27</v>
      </c>
      <c r="N930" t="s">
        <v>74</v>
      </c>
      <c r="O930" t="s">
        <v>171</v>
      </c>
      <c r="P930" t="s">
        <v>538</v>
      </c>
      <c r="Q930" t="s">
        <v>31</v>
      </c>
      <c r="R930">
        <v>5</v>
      </c>
      <c r="S930">
        <v>907.54</v>
      </c>
      <c r="T930">
        <v>0.15</v>
      </c>
      <c r="U930">
        <v>4099.6899999999996</v>
      </c>
      <c r="V930">
        <v>2769.26</v>
      </c>
      <c r="W930">
        <v>1087.78</v>
      </c>
      <c r="X930" t="s">
        <v>32</v>
      </c>
      <c r="Y930" t="s">
        <v>103</v>
      </c>
      <c r="Z930" t="str">
        <f t="shared" si="196"/>
        <v>Unique</v>
      </c>
      <c r="AA930" t="str">
        <f t="shared" si="197"/>
        <v>Duplicate Order ID</v>
      </c>
      <c r="AB930" t="str">
        <f t="shared" si="201"/>
        <v>Conflicting Duplicate</v>
      </c>
      <c r="AC930">
        <f t="shared" si="202"/>
        <v>0.15</v>
      </c>
      <c r="AD930" t="str">
        <f t="shared" si="203"/>
        <v>OK</v>
      </c>
      <c r="AE930">
        <f t="shared" si="204"/>
        <v>3857.0449999999996</v>
      </c>
      <c r="AF930">
        <f t="shared" si="205"/>
        <v>1087.7849999999994</v>
      </c>
      <c r="AG930">
        <f t="shared" si="206"/>
        <v>0.28202548842442843</v>
      </c>
      <c r="AH930" t="str">
        <f t="shared" si="198"/>
        <v>March</v>
      </c>
      <c r="AI930">
        <f t="shared" si="199"/>
        <v>2024</v>
      </c>
      <c r="AJ930" t="str">
        <f t="shared" si="207"/>
        <v>Sales Mismatch</v>
      </c>
      <c r="AK930" t="str">
        <f t="shared" si="208"/>
        <v>OK</v>
      </c>
      <c r="AL930" t="str">
        <f t="shared" si="209"/>
        <v>Exclude</v>
      </c>
      <c r="AM930" t="str">
        <f t="shared" si="200"/>
        <v>Invalid</v>
      </c>
    </row>
    <row r="931" spans="1:39">
      <c r="A931" t="s">
        <v>923</v>
      </c>
      <c r="B931" s="4">
        <v>45522</v>
      </c>
      <c r="C931" s="4">
        <v>45528</v>
      </c>
      <c r="D931" s="6">
        <v>6</v>
      </c>
      <c r="E931" t="s">
        <v>2788</v>
      </c>
      <c r="F931" t="s">
        <v>2788</v>
      </c>
      <c r="G931" t="s">
        <v>2788</v>
      </c>
      <c r="H931" t="s">
        <v>924</v>
      </c>
      <c r="I931" t="s">
        <v>53</v>
      </c>
      <c r="J931" t="s">
        <v>24</v>
      </c>
      <c r="K931" t="s">
        <v>54</v>
      </c>
      <c r="L931" t="s">
        <v>84</v>
      </c>
      <c r="M931" t="s">
        <v>85</v>
      </c>
      <c r="N931" t="s">
        <v>41</v>
      </c>
      <c r="O931" t="s">
        <v>66</v>
      </c>
      <c r="P931" t="s">
        <v>925</v>
      </c>
      <c r="Q931" t="s">
        <v>50</v>
      </c>
      <c r="R931">
        <v>7</v>
      </c>
      <c r="S931">
        <v>557.21</v>
      </c>
      <c r="T931">
        <v>0.1</v>
      </c>
      <c r="U931">
        <v>3797.79</v>
      </c>
      <c r="V931">
        <v>2191.5</v>
      </c>
      <c r="W931">
        <v>1213.48</v>
      </c>
      <c r="X931" t="s">
        <v>32</v>
      </c>
      <c r="Y931" t="s">
        <v>103</v>
      </c>
      <c r="Z931" t="str">
        <f t="shared" si="196"/>
        <v>Unique</v>
      </c>
      <c r="AA931" t="str">
        <f t="shared" si="197"/>
        <v>Duplicate Order ID</v>
      </c>
      <c r="AB931" t="str">
        <f t="shared" si="201"/>
        <v>Conflicting Duplicate</v>
      </c>
      <c r="AC931">
        <f t="shared" si="202"/>
        <v>0.1</v>
      </c>
      <c r="AD931" t="str">
        <f t="shared" si="203"/>
        <v>OK</v>
      </c>
      <c r="AE931">
        <f t="shared" si="204"/>
        <v>3510.4230000000002</v>
      </c>
      <c r="AF931">
        <f t="shared" si="205"/>
        <v>1318.9230000000002</v>
      </c>
      <c r="AG931">
        <f t="shared" si="206"/>
        <v>0.37571625983535323</v>
      </c>
      <c r="AH931" t="str">
        <f t="shared" si="198"/>
        <v>August</v>
      </c>
      <c r="AI931">
        <f t="shared" si="199"/>
        <v>2024</v>
      </c>
      <c r="AJ931" t="str">
        <f t="shared" si="207"/>
        <v>Sales Mismatch</v>
      </c>
      <c r="AK931" t="str">
        <f t="shared" si="208"/>
        <v>Profit Mismatch</v>
      </c>
      <c r="AL931" t="str">
        <f t="shared" si="209"/>
        <v>Exclude</v>
      </c>
      <c r="AM931" t="str">
        <f t="shared" si="200"/>
        <v>Invalid</v>
      </c>
    </row>
    <row r="932" spans="1:39">
      <c r="A932" t="s">
        <v>479</v>
      </c>
      <c r="B932" s="4">
        <v>45436</v>
      </c>
      <c r="C932" s="4">
        <v>45437</v>
      </c>
      <c r="D932" s="6">
        <v>1</v>
      </c>
      <c r="E932" t="s">
        <v>2788</v>
      </c>
      <c r="F932" t="s">
        <v>2788</v>
      </c>
      <c r="G932" t="s">
        <v>2788</v>
      </c>
      <c r="H932" t="s">
        <v>480</v>
      </c>
      <c r="I932" t="s">
        <v>132</v>
      </c>
      <c r="J932" t="s">
        <v>37</v>
      </c>
      <c r="K932" t="s">
        <v>25</v>
      </c>
      <c r="L932" t="s">
        <v>122</v>
      </c>
      <c r="M932" t="s">
        <v>123</v>
      </c>
      <c r="N932" t="s">
        <v>74</v>
      </c>
      <c r="O932" t="s">
        <v>80</v>
      </c>
      <c r="P932" t="s">
        <v>481</v>
      </c>
      <c r="Q932" t="s">
        <v>44</v>
      </c>
      <c r="R932">
        <v>1</v>
      </c>
      <c r="S932">
        <v>634.13</v>
      </c>
      <c r="T932">
        <v>0</v>
      </c>
      <c r="U932">
        <v>808.67</v>
      </c>
      <c r="V932">
        <v>453.35</v>
      </c>
      <c r="W932">
        <v>180.78</v>
      </c>
      <c r="X932" t="s">
        <v>102</v>
      </c>
      <c r="Y932" t="s">
        <v>103</v>
      </c>
      <c r="Z932" t="str">
        <f t="shared" si="196"/>
        <v>Unique</v>
      </c>
      <c r="AA932" t="str">
        <f t="shared" si="197"/>
        <v>Duplicate Order ID</v>
      </c>
      <c r="AB932" t="str">
        <f t="shared" si="201"/>
        <v>Conflicting Duplicate</v>
      </c>
      <c r="AC932">
        <f t="shared" si="202"/>
        <v>0</v>
      </c>
      <c r="AD932" t="str">
        <f t="shared" si="203"/>
        <v>OK</v>
      </c>
      <c r="AE932">
        <f t="shared" si="204"/>
        <v>634.13</v>
      </c>
      <c r="AF932">
        <f t="shared" si="205"/>
        <v>180.77999999999997</v>
      </c>
      <c r="AG932">
        <f t="shared" si="206"/>
        <v>0.28508350022865969</v>
      </c>
      <c r="AH932" t="str">
        <f t="shared" si="198"/>
        <v>May</v>
      </c>
      <c r="AI932">
        <f t="shared" si="199"/>
        <v>2024</v>
      </c>
      <c r="AJ932" t="str">
        <f t="shared" si="207"/>
        <v>Sales Mismatch</v>
      </c>
      <c r="AK932" t="str">
        <f t="shared" si="208"/>
        <v>OK</v>
      </c>
      <c r="AL932" t="str">
        <f t="shared" si="209"/>
        <v>Exclude</v>
      </c>
      <c r="AM932" t="str">
        <f t="shared" si="200"/>
        <v>Invalid</v>
      </c>
    </row>
    <row r="933" spans="1:39">
      <c r="A933" t="s">
        <v>1110</v>
      </c>
      <c r="B933" s="4" t="s">
        <v>2787</v>
      </c>
      <c r="C933" s="4">
        <v>45826</v>
      </c>
      <c r="D933" s="6" t="s">
        <v>2787</v>
      </c>
      <c r="E933" t="s">
        <v>2789</v>
      </c>
      <c r="F933" t="s">
        <v>2788</v>
      </c>
      <c r="G933" t="s">
        <v>2791</v>
      </c>
      <c r="H933" t="s">
        <v>1111</v>
      </c>
      <c r="I933" t="s">
        <v>118</v>
      </c>
      <c r="J933" t="s">
        <v>95</v>
      </c>
      <c r="K933" t="s">
        <v>63</v>
      </c>
      <c r="L933" t="s">
        <v>72</v>
      </c>
      <c r="M933" t="s">
        <v>73</v>
      </c>
      <c r="N933" t="s">
        <v>28</v>
      </c>
      <c r="O933" t="s">
        <v>29</v>
      </c>
      <c r="P933" t="s">
        <v>1112</v>
      </c>
      <c r="Q933" t="s">
        <v>50</v>
      </c>
      <c r="R933">
        <v>3</v>
      </c>
      <c r="S933">
        <v>4289.37</v>
      </c>
      <c r="T933">
        <v>0.1</v>
      </c>
      <c r="U933">
        <v>11778.71</v>
      </c>
      <c r="V933">
        <v>6829.43</v>
      </c>
      <c r="W933">
        <v>4751.87</v>
      </c>
      <c r="X933" t="s">
        <v>32</v>
      </c>
      <c r="Y933" t="s">
        <v>103</v>
      </c>
      <c r="Z933" t="str">
        <f t="shared" si="196"/>
        <v>Unique</v>
      </c>
      <c r="AA933" t="str">
        <f t="shared" si="197"/>
        <v>Duplicate Order ID</v>
      </c>
      <c r="AB933" t="str">
        <f t="shared" si="201"/>
        <v>Conflicting Duplicate</v>
      </c>
      <c r="AC933">
        <f t="shared" si="202"/>
        <v>0.1</v>
      </c>
      <c r="AD933" t="str">
        <f t="shared" si="203"/>
        <v>OK</v>
      </c>
      <c r="AE933">
        <f t="shared" si="204"/>
        <v>11581.299000000001</v>
      </c>
      <c r="AF933">
        <f t="shared" si="205"/>
        <v>4751.8690000000006</v>
      </c>
      <c r="AG933">
        <f t="shared" si="206"/>
        <v>0.41030535521101735</v>
      </c>
      <c r="AH933" t="str">
        <f t="shared" si="198"/>
        <v/>
      </c>
      <c r="AI933" t="str">
        <f t="shared" si="199"/>
        <v/>
      </c>
      <c r="AJ933" t="str">
        <f t="shared" si="207"/>
        <v>Sales Mismatch</v>
      </c>
      <c r="AK933" t="str">
        <f t="shared" si="208"/>
        <v>OK</v>
      </c>
      <c r="AL933" t="str">
        <f t="shared" si="209"/>
        <v>Exclude</v>
      </c>
      <c r="AM933" t="str">
        <f t="shared" si="200"/>
        <v>Invalid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2762</v>
      </c>
      <c r="B1" s="1" t="s">
        <v>2763</v>
      </c>
    </row>
    <row r="2" spans="1:2" ht="41.4">
      <c r="A2" s="2" t="s">
        <v>2764</v>
      </c>
      <c r="B2" s="2" t="s">
        <v>2765</v>
      </c>
    </row>
    <row r="3" spans="1:2" ht="27.6">
      <c r="A3" s="2" t="s">
        <v>2766</v>
      </c>
      <c r="B3" s="2" t="s">
        <v>2767</v>
      </c>
    </row>
    <row r="4" spans="1:2" ht="27.6">
      <c r="A4" s="2" t="s">
        <v>2768</v>
      </c>
      <c r="B4" s="2" t="s">
        <v>2767</v>
      </c>
    </row>
    <row r="5" spans="1:2" ht="27.6">
      <c r="A5" s="2" t="s">
        <v>2769</v>
      </c>
      <c r="B5" s="2" t="s">
        <v>2770</v>
      </c>
    </row>
    <row r="6" spans="1:2" ht="41.4">
      <c r="A6" s="2" t="s">
        <v>2771</v>
      </c>
      <c r="B6" s="2" t="s">
        <v>2772</v>
      </c>
    </row>
    <row r="7" spans="1:2" ht="55.2">
      <c r="A7" s="2" t="s">
        <v>2773</v>
      </c>
      <c r="B7" s="2" t="s">
        <v>2774</v>
      </c>
    </row>
    <row r="8" spans="1:2" ht="27.6">
      <c r="A8" s="2" t="s">
        <v>2775</v>
      </c>
      <c r="B8" s="2" t="s">
        <v>2776</v>
      </c>
    </row>
    <row r="9" spans="1:2" ht="41.4">
      <c r="A9" s="2" t="s">
        <v>2777</v>
      </c>
      <c r="B9" s="2" t="s">
        <v>2778</v>
      </c>
    </row>
    <row r="10" spans="1:2" ht="69">
      <c r="A10" s="2" t="s">
        <v>2779</v>
      </c>
      <c r="B10" s="2" t="s">
        <v>2780</v>
      </c>
    </row>
    <row r="11" spans="1:2" ht="41.4">
      <c r="A11" s="2" t="s">
        <v>2781</v>
      </c>
      <c r="B11" s="2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Tummalapalli</dc:creator>
  <cp:lastModifiedBy>Lalitha Tummalapalli</cp:lastModifiedBy>
  <dcterms:created xsi:type="dcterms:W3CDTF">2026-06-19T12:45:48Z</dcterms:created>
  <dcterms:modified xsi:type="dcterms:W3CDTF">2026-06-21T13:03:08Z</dcterms:modified>
</cp:coreProperties>
</file>